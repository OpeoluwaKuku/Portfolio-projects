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FINANCIAL MODELING TRANSCRIPT\"/>
    </mc:Choice>
  </mc:AlternateContent>
  <xr:revisionPtr revIDLastSave="0" documentId="13_ncr:1_{FAFE7A65-E255-464C-9D05-4932C2E161C3}" xr6:coauthVersionLast="47" xr6:coauthVersionMax="47" xr10:uidLastSave="{00000000-0000-0000-0000-000000000000}"/>
  <bookViews>
    <workbookView xWindow="-110" yWindow="-110" windowWidth="19420" windowHeight="11020" tabRatio="668" activeTab="6" xr2:uid="{DB97135F-2354-4641-9276-DDB1B7A19595}"/>
  </bookViews>
  <sheets>
    <sheet name="Cover" sheetId="2" r:id="rId1"/>
    <sheet name="Guide" sheetId="1" r:id="rId2"/>
    <sheet name="Summary" sheetId="3" r:id="rId3"/>
    <sheet name="Hist" sheetId="4" r:id="rId4"/>
    <sheet name="Inps" sheetId="5" r:id="rId5"/>
    <sheet name="Scn" sheetId="6" r:id="rId6"/>
    <sheet name="Calc" sheetId="12" r:id="rId7"/>
    <sheet name="IS" sheetId="7" r:id="rId8"/>
    <sheet name="BS" sheetId="8" r:id="rId9"/>
    <sheet name="CF" sheetId="9" r:id="rId10"/>
    <sheet name="Ratios" sheetId="10" r:id="rId11"/>
    <sheet name="Vals" sheetId="11" r:id="rId12"/>
  </sheets>
  <definedNames>
    <definedName name="Audit_check">Guide!$G$133</definedName>
    <definedName name="Base_year">Guide!$E$32</definedName>
    <definedName name="Circular_Toggle">Guide!$E$19</definedName>
    <definedName name="company">Guide!$E$11</definedName>
    <definedName name="currency">Guide!$E$20</definedName>
    <definedName name="Date_last_historical">Guide!$E$28</definedName>
    <definedName name="Floating">"Floating"</definedName>
    <definedName name="Forecast_year">Guide!$E$33</definedName>
    <definedName name="l_scenarios">Scn!$D$16:$D$18</definedName>
    <definedName name="Last_updated">Guide!$E$22</definedName>
    <definedName name="Live_Scenario">Scn!$D$15</definedName>
    <definedName name="Modeler">Guide!$E$23</definedName>
    <definedName name="models">Guide!$B$49</definedName>
    <definedName name="months_in_period">Guide!$E$31</definedName>
    <definedName name="onths_in_period">Guide!$E$31</definedName>
    <definedName name="_xlnm.Print_Titles" localSheetId="8">BS!$1:$8</definedName>
    <definedName name="_xlnm.Print_Titles" localSheetId="6">Calc!$1:$8</definedName>
    <definedName name="_xlnm.Print_Titles" localSheetId="9">CF!$1:$8</definedName>
    <definedName name="_xlnm.Print_Titles" localSheetId="1">Guide!$1:$7</definedName>
    <definedName name="_xlnm.Print_Titles" localSheetId="3">Hist!$1:$8</definedName>
    <definedName name="_xlnm.Print_Titles" localSheetId="4">Inps!$1:$8</definedName>
    <definedName name="_xlnm.Print_Titles" localSheetId="7">IS!$1:$8</definedName>
    <definedName name="_xlnm.Print_Titles" localSheetId="10">Ratios!$1:$8</definedName>
    <definedName name="_xlnm.Print_Titles" localSheetId="5">Scn!$1:$8</definedName>
    <definedName name="_xlnm.Print_Titles" localSheetId="2">Summary!$1:$8</definedName>
    <definedName name="_xlnm.Print_Titles" localSheetId="11">Vals!$1:$8</definedName>
    <definedName name="S_Scenarios">Scn!$F$15</definedName>
    <definedName name="Version">Guide!$E$21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1" i="12" l="1"/>
  <c r="P111" i="12"/>
  <c r="O111" i="12"/>
  <c r="N111" i="12"/>
  <c r="M111" i="12"/>
  <c r="K43" i="4"/>
  <c r="K45" i="4" s="1"/>
  <c r="K35" i="4"/>
  <c r="K38" i="4" s="1"/>
  <c r="L29" i="4"/>
  <c r="L32" i="4" s="1"/>
  <c r="L375" i="12"/>
  <c r="L374" i="12"/>
  <c r="L356" i="12"/>
  <c r="L357" i="12"/>
  <c r="H87" i="5"/>
  <c r="H88" i="5"/>
  <c r="H89" i="5"/>
  <c r="H90" i="5"/>
  <c r="H86" i="5"/>
  <c r="F90" i="5"/>
  <c r="F89" i="5"/>
  <c r="G89" i="5"/>
  <c r="G90" i="5"/>
  <c r="J90" i="5"/>
  <c r="J89" i="5"/>
  <c r="I87" i="5"/>
  <c r="I88" i="5"/>
  <c r="I89" i="5"/>
  <c r="I90" i="5"/>
  <c r="I86" i="5"/>
  <c r="D89" i="5"/>
  <c r="D90" i="5"/>
  <c r="J367" i="4"/>
  <c r="N140" i="12"/>
  <c r="O140" i="12"/>
  <c r="P140" i="12"/>
  <c r="Q140" i="12"/>
  <c r="K330" i="4"/>
  <c r="L330" i="4"/>
  <c r="K331" i="4"/>
  <c r="L331" i="4"/>
  <c r="J331" i="4"/>
  <c r="J330" i="4"/>
  <c r="D69" i="5"/>
  <c r="D131" i="1"/>
  <c r="K279" i="4"/>
  <c r="L279" i="4"/>
  <c r="J279" i="4"/>
  <c r="L273" i="4"/>
  <c r="K273" i="4"/>
  <c r="K272" i="4"/>
  <c r="J273" i="4"/>
  <c r="J272" i="4"/>
  <c r="K25" i="4"/>
  <c r="K260" i="4"/>
  <c r="L260" i="4"/>
  <c r="J260" i="4"/>
  <c r="K255" i="4"/>
  <c r="L255" i="4"/>
  <c r="J255" i="4"/>
  <c r="J257" i="4" s="1"/>
  <c r="J108" i="4" s="1"/>
  <c r="J19" i="7" s="1"/>
  <c r="K194" i="4"/>
  <c r="K195" i="4"/>
  <c r="K196" i="4"/>
  <c r="L173" i="4"/>
  <c r="K173" i="4"/>
  <c r="J173" i="4"/>
  <c r="L178" i="4"/>
  <c r="K178" i="4"/>
  <c r="J178" i="4"/>
  <c r="L177" i="4"/>
  <c r="K177" i="4"/>
  <c r="J177" i="4"/>
  <c r="L176" i="4"/>
  <c r="K176" i="4"/>
  <c r="J176" i="4"/>
  <c r="L182" i="4"/>
  <c r="K182" i="4"/>
  <c r="J182" i="4"/>
  <c r="D177" i="4"/>
  <c r="D182" i="4"/>
  <c r="J358" i="4"/>
  <c r="J357" i="4"/>
  <c r="J352" i="4"/>
  <c r="J154" i="4" s="1"/>
  <c r="J46" i="8" s="1"/>
  <c r="J350" i="4"/>
  <c r="J153" i="4" s="1"/>
  <c r="J45" i="8" s="1"/>
  <c r="J347" i="4"/>
  <c r="J346" i="4"/>
  <c r="J341" i="4"/>
  <c r="J336" i="4"/>
  <c r="J325" i="4"/>
  <c r="J151" i="4" s="1"/>
  <c r="J43" i="8" s="1"/>
  <c r="J324" i="4"/>
  <c r="J150" i="4" s="1"/>
  <c r="J42" i="8" s="1"/>
  <c r="J323" i="4"/>
  <c r="J149" i="4" s="1"/>
  <c r="J41" i="8" s="1"/>
  <c r="J322" i="4"/>
  <c r="J148" i="4" s="1"/>
  <c r="J40" i="8" s="1"/>
  <c r="J321" i="4"/>
  <c r="J145" i="4" s="1"/>
  <c r="J37" i="8" s="1"/>
  <c r="J320" i="4"/>
  <c r="J319" i="4"/>
  <c r="J143" i="4" s="1"/>
  <c r="J68" i="5" s="1"/>
  <c r="J314" i="4"/>
  <c r="J130" i="4" s="1"/>
  <c r="J22" i="8" s="1"/>
  <c r="J309" i="4"/>
  <c r="J299" i="4"/>
  <c r="J127" i="4" s="1"/>
  <c r="J19" i="8" s="1"/>
  <c r="J292" i="4"/>
  <c r="J125" i="4" s="1"/>
  <c r="J17" i="8" s="1"/>
  <c r="J281" i="4"/>
  <c r="J285" i="4" s="1"/>
  <c r="J287" i="4" s="1"/>
  <c r="J280" i="4"/>
  <c r="J265" i="4"/>
  <c r="J250" i="4"/>
  <c r="J252" i="4" s="1"/>
  <c r="J107" i="4" s="1"/>
  <c r="J18" i="7" s="1"/>
  <c r="J233" i="4"/>
  <c r="J244" i="4" s="1"/>
  <c r="J105" i="4" s="1"/>
  <c r="J16" i="7" s="1"/>
  <c r="J216" i="4"/>
  <c r="J104" i="4" s="1"/>
  <c r="J15" i="7" s="1"/>
  <c r="J202" i="4"/>
  <c r="J201" i="4"/>
  <c r="J200" i="4"/>
  <c r="J196" i="4"/>
  <c r="J195" i="4"/>
  <c r="J194" i="4"/>
  <c r="J191" i="4"/>
  <c r="J190" i="4"/>
  <c r="J183" i="4"/>
  <c r="J181" i="4"/>
  <c r="J128" i="4"/>
  <c r="J20" i="8" s="1"/>
  <c r="J126" i="4"/>
  <c r="J18" i="8" s="1"/>
  <c r="J381" i="4"/>
  <c r="J155" i="4" s="1"/>
  <c r="J47" i="8" s="1"/>
  <c r="J380" i="4"/>
  <c r="J131" i="4" s="1"/>
  <c r="J23" i="8" s="1"/>
  <c r="J375" i="4"/>
  <c r="J139" i="4" s="1"/>
  <c r="J31" i="8" s="1"/>
  <c r="J374" i="4"/>
  <c r="J138" i="4" s="1"/>
  <c r="J63" i="5" s="1"/>
  <c r="J373" i="4"/>
  <c r="J137" i="4" s="1"/>
  <c r="J62" i="5" s="1"/>
  <c r="J372" i="4"/>
  <c r="J136" i="4" s="1"/>
  <c r="J61" i="5" s="1"/>
  <c r="J112" i="4"/>
  <c r="J23" i="7" s="1"/>
  <c r="J111" i="4"/>
  <c r="J22" i="7" s="1"/>
  <c r="J109" i="4"/>
  <c r="J20" i="7" s="1"/>
  <c r="J99" i="4"/>
  <c r="J10" i="7" s="1"/>
  <c r="J38" i="4"/>
  <c r="L38" i="4"/>
  <c r="J60" i="4"/>
  <c r="J51" i="4"/>
  <c r="J45" i="4"/>
  <c r="J163" i="4" s="1"/>
  <c r="J32" i="4"/>
  <c r="L45" i="4"/>
  <c r="K32" i="4"/>
  <c r="D36" i="8"/>
  <c r="D94" i="12" s="1"/>
  <c r="D320" i="4"/>
  <c r="K320" i="4"/>
  <c r="L320" i="4"/>
  <c r="E49" i="4"/>
  <c r="E57" i="4"/>
  <c r="D122" i="1"/>
  <c r="D126" i="1"/>
  <c r="D125" i="1"/>
  <c r="D124" i="1"/>
  <c r="D411" i="12"/>
  <c r="D410" i="12"/>
  <c r="D406" i="12"/>
  <c r="D404" i="12"/>
  <c r="D39" i="9"/>
  <c r="D417" i="12" s="1"/>
  <c r="D38" i="9"/>
  <c r="D416" i="12" s="1"/>
  <c r="D395" i="12"/>
  <c r="D394" i="12"/>
  <c r="L337" i="12"/>
  <c r="L336" i="12"/>
  <c r="L317" i="12"/>
  <c r="L316" i="12"/>
  <c r="L297" i="12"/>
  <c r="L296" i="12"/>
  <c r="L277" i="12"/>
  <c r="L276" i="12"/>
  <c r="L257" i="12"/>
  <c r="L256" i="12"/>
  <c r="L237" i="12"/>
  <c r="L236" i="12"/>
  <c r="L217" i="12"/>
  <c r="L216" i="12"/>
  <c r="D152" i="12"/>
  <c r="L197" i="12"/>
  <c r="L196" i="12"/>
  <c r="D40" i="9"/>
  <c r="D418" i="12" s="1"/>
  <c r="D134" i="12"/>
  <c r="Q155" i="12"/>
  <c r="P155" i="12"/>
  <c r="O155" i="12"/>
  <c r="N155" i="12"/>
  <c r="M155" i="12"/>
  <c r="Q154" i="12"/>
  <c r="P154" i="12"/>
  <c r="O154" i="12"/>
  <c r="N154" i="12"/>
  <c r="M154" i="12"/>
  <c r="E155" i="12"/>
  <c r="E154" i="12"/>
  <c r="D155" i="12"/>
  <c r="D49" i="9"/>
  <c r="D405" i="12" s="1"/>
  <c r="D29" i="9"/>
  <c r="D16" i="9"/>
  <c r="Q150" i="12"/>
  <c r="Q382" i="12" s="1"/>
  <c r="P150" i="12"/>
  <c r="P382" i="12" s="1"/>
  <c r="O150" i="12"/>
  <c r="O382" i="12" s="1"/>
  <c r="N150" i="12"/>
  <c r="N382" i="12" s="1"/>
  <c r="M150" i="12"/>
  <c r="M382" i="12" s="1"/>
  <c r="Q149" i="12"/>
  <c r="Q389" i="12" s="1"/>
  <c r="P149" i="12"/>
  <c r="P389" i="12" s="1"/>
  <c r="O149" i="12"/>
  <c r="O389" i="12" s="1"/>
  <c r="N149" i="12"/>
  <c r="N389" i="12" s="1"/>
  <c r="M149" i="12"/>
  <c r="M389" i="12" s="1"/>
  <c r="Q148" i="12"/>
  <c r="P148" i="12"/>
  <c r="O148" i="12"/>
  <c r="N148" i="12"/>
  <c r="M148" i="12"/>
  <c r="Q147" i="12"/>
  <c r="P147" i="12"/>
  <c r="O147" i="12"/>
  <c r="N147" i="12"/>
  <c r="M147" i="12"/>
  <c r="Q146" i="12"/>
  <c r="P146" i="12"/>
  <c r="O146" i="12"/>
  <c r="N146" i="12"/>
  <c r="M146" i="12"/>
  <c r="E150" i="12"/>
  <c r="E149" i="12"/>
  <c r="E148" i="12"/>
  <c r="E147" i="12"/>
  <c r="E146" i="12"/>
  <c r="D150" i="12"/>
  <c r="D382" i="12" s="1"/>
  <c r="D147" i="12"/>
  <c r="D148" i="12"/>
  <c r="D149" i="12"/>
  <c r="D389" i="12" s="1"/>
  <c r="D146" i="12"/>
  <c r="Q72" i="12"/>
  <c r="P72" i="12"/>
  <c r="O72" i="12"/>
  <c r="N72" i="12"/>
  <c r="M72" i="12"/>
  <c r="Q71" i="12"/>
  <c r="P71" i="12"/>
  <c r="O71" i="12"/>
  <c r="N71" i="12"/>
  <c r="M71" i="12"/>
  <c r="Q70" i="12"/>
  <c r="P70" i="12"/>
  <c r="O70" i="12"/>
  <c r="N70" i="12"/>
  <c r="M70" i="12"/>
  <c r="Q69" i="12"/>
  <c r="P69" i="12"/>
  <c r="O69" i="12"/>
  <c r="N69" i="12"/>
  <c r="M69" i="12"/>
  <c r="Q68" i="12"/>
  <c r="P68" i="12"/>
  <c r="O68" i="12"/>
  <c r="N68" i="12"/>
  <c r="M68" i="12"/>
  <c r="Q67" i="12"/>
  <c r="P67" i="12"/>
  <c r="O67" i="12"/>
  <c r="N67" i="12"/>
  <c r="M67" i="12"/>
  <c r="Q66" i="12"/>
  <c r="P66" i="12"/>
  <c r="O66" i="12"/>
  <c r="N66" i="12"/>
  <c r="M66" i="12"/>
  <c r="E81" i="12"/>
  <c r="E80" i="12"/>
  <c r="E79" i="12"/>
  <c r="E78" i="12"/>
  <c r="E77" i="12"/>
  <c r="Q65" i="12"/>
  <c r="Q93" i="12" s="1"/>
  <c r="Q35" i="8" s="1"/>
  <c r="P65" i="12"/>
  <c r="P93" i="12" s="1"/>
  <c r="P35" i="8" s="1"/>
  <c r="O65" i="12"/>
  <c r="O93" i="12" s="1"/>
  <c r="O35" i="8" s="1"/>
  <c r="N65" i="12"/>
  <c r="N93" i="12" s="1"/>
  <c r="N35" i="8" s="1"/>
  <c r="M65" i="12"/>
  <c r="M93" i="12" s="1"/>
  <c r="M35" i="8" s="1"/>
  <c r="Q63" i="12"/>
  <c r="P63" i="12"/>
  <c r="O63" i="12"/>
  <c r="N63" i="12"/>
  <c r="M63" i="12"/>
  <c r="Q62" i="12"/>
  <c r="P62" i="12"/>
  <c r="O62" i="12"/>
  <c r="N62" i="12"/>
  <c r="M62" i="12"/>
  <c r="Q61" i="12"/>
  <c r="Q89" i="12" s="1"/>
  <c r="Q20" i="8" s="1"/>
  <c r="P61" i="12"/>
  <c r="P89" i="12" s="1"/>
  <c r="P20" i="8" s="1"/>
  <c r="O61" i="12"/>
  <c r="O89" i="12" s="1"/>
  <c r="O20" i="8" s="1"/>
  <c r="N61" i="12"/>
  <c r="N89" i="12" s="1"/>
  <c r="N20" i="8" s="1"/>
  <c r="M61" i="12"/>
  <c r="M89" i="12" s="1"/>
  <c r="M20" i="8" s="1"/>
  <c r="Q60" i="12"/>
  <c r="P60" i="12"/>
  <c r="O60" i="12"/>
  <c r="N60" i="12"/>
  <c r="M60" i="12"/>
  <c r="Q59" i="12"/>
  <c r="P59" i="12"/>
  <c r="O59" i="12"/>
  <c r="N59" i="12"/>
  <c r="M59" i="12"/>
  <c r="Q58" i="12"/>
  <c r="Q86" i="12" s="1"/>
  <c r="Q17" i="8" s="1"/>
  <c r="P58" i="12"/>
  <c r="P86" i="12" s="1"/>
  <c r="P17" i="8" s="1"/>
  <c r="O58" i="12"/>
  <c r="O86" i="12" s="1"/>
  <c r="O17" i="8" s="1"/>
  <c r="N58" i="12"/>
  <c r="N86" i="12" s="1"/>
  <c r="N17" i="8" s="1"/>
  <c r="M58" i="12"/>
  <c r="M86" i="12" s="1"/>
  <c r="M17" i="8" s="1"/>
  <c r="Q57" i="12"/>
  <c r="P57" i="12"/>
  <c r="O57" i="12"/>
  <c r="N57" i="12"/>
  <c r="M57" i="12"/>
  <c r="E67" i="12"/>
  <c r="E68" i="12"/>
  <c r="E69" i="12"/>
  <c r="E70" i="12"/>
  <c r="E71" i="12"/>
  <c r="E72" i="12"/>
  <c r="E66" i="12"/>
  <c r="E65" i="12"/>
  <c r="E58" i="12"/>
  <c r="E59" i="12"/>
  <c r="E60" i="12"/>
  <c r="E61" i="12"/>
  <c r="E62" i="12"/>
  <c r="E63" i="12"/>
  <c r="E57" i="12"/>
  <c r="N127" i="12"/>
  <c r="N37" i="9" s="1"/>
  <c r="N415" i="12" s="1"/>
  <c r="O127" i="12"/>
  <c r="O37" i="9" s="1"/>
  <c r="O415" i="12" s="1"/>
  <c r="P127" i="12"/>
  <c r="P37" i="9" s="1"/>
  <c r="P415" i="12" s="1"/>
  <c r="Q127" i="12"/>
  <c r="Q37" i="9" s="1"/>
  <c r="Q415" i="12" s="1"/>
  <c r="N122" i="12"/>
  <c r="N36" i="9" s="1"/>
  <c r="N414" i="12" s="1"/>
  <c r="O122" i="12"/>
  <c r="O36" i="9" s="1"/>
  <c r="O414" i="12" s="1"/>
  <c r="P122" i="12"/>
  <c r="P36" i="9" s="1"/>
  <c r="P414" i="12" s="1"/>
  <c r="Q122" i="12"/>
  <c r="Q36" i="9" s="1"/>
  <c r="Q414" i="12" s="1"/>
  <c r="N117" i="12"/>
  <c r="N35" i="9" s="1"/>
  <c r="N413" i="12" s="1"/>
  <c r="O117" i="12"/>
  <c r="O35" i="9" s="1"/>
  <c r="O413" i="12" s="1"/>
  <c r="P117" i="12"/>
  <c r="P35" i="9" s="1"/>
  <c r="P413" i="12" s="1"/>
  <c r="Q117" i="12"/>
  <c r="Q35" i="9" s="1"/>
  <c r="Q413" i="12" s="1"/>
  <c r="C11" i="8"/>
  <c r="D13" i="8"/>
  <c r="C15" i="8"/>
  <c r="D24" i="8"/>
  <c r="D25" i="8"/>
  <c r="B26" i="8"/>
  <c r="C27" i="8"/>
  <c r="D32" i="8"/>
  <c r="C33" i="8"/>
  <c r="D38" i="8"/>
  <c r="C39" i="8"/>
  <c r="D48" i="8"/>
  <c r="D49" i="8"/>
  <c r="D50" i="8"/>
  <c r="B10" i="8"/>
  <c r="Q40" i="12"/>
  <c r="Q43" i="12" s="1"/>
  <c r="P40" i="12"/>
  <c r="P43" i="12" s="1"/>
  <c r="O40" i="12"/>
  <c r="O43" i="12" s="1"/>
  <c r="N40" i="12"/>
  <c r="N43" i="12" s="1"/>
  <c r="M40" i="12"/>
  <c r="M43" i="12" s="1"/>
  <c r="Q39" i="12"/>
  <c r="P39" i="12"/>
  <c r="O39" i="12"/>
  <c r="N39" i="12"/>
  <c r="M39" i="12"/>
  <c r="E40" i="12"/>
  <c r="E39" i="12"/>
  <c r="D40" i="12"/>
  <c r="E34" i="12"/>
  <c r="E33" i="12"/>
  <c r="Q30" i="12"/>
  <c r="Q34" i="12" s="1"/>
  <c r="Q20" i="7" s="1"/>
  <c r="Q22" i="9" s="1"/>
  <c r="P30" i="12"/>
  <c r="P34" i="12" s="1"/>
  <c r="P20" i="7" s="1"/>
  <c r="P22" i="9" s="1"/>
  <c r="O30" i="12"/>
  <c r="O34" i="12" s="1"/>
  <c r="O20" i="7" s="1"/>
  <c r="O22" i="9" s="1"/>
  <c r="N30" i="12"/>
  <c r="N34" i="12" s="1"/>
  <c r="N20" i="7" s="1"/>
  <c r="N22" i="9" s="1"/>
  <c r="M30" i="12"/>
  <c r="M34" i="12" s="1"/>
  <c r="M20" i="7" s="1"/>
  <c r="M22" i="9" s="1"/>
  <c r="E30" i="12"/>
  <c r="E29" i="12"/>
  <c r="E24" i="12"/>
  <c r="E23" i="12"/>
  <c r="E14" i="12"/>
  <c r="E20" i="12"/>
  <c r="E19" i="12"/>
  <c r="E13" i="12"/>
  <c r="D11" i="7"/>
  <c r="D78" i="12" s="1"/>
  <c r="D12" i="7"/>
  <c r="D13" i="7"/>
  <c r="D79" i="12" s="1"/>
  <c r="D14" i="7"/>
  <c r="D15" i="7"/>
  <c r="D13" i="9" s="1"/>
  <c r="D16" i="7"/>
  <c r="D14" i="9" s="1"/>
  <c r="D17" i="7"/>
  <c r="D11" i="9" s="1"/>
  <c r="D18" i="7"/>
  <c r="D20" i="9" s="1"/>
  <c r="D19" i="7"/>
  <c r="D21" i="9" s="1"/>
  <c r="D20" i="7"/>
  <c r="D22" i="9" s="1"/>
  <c r="D21" i="7"/>
  <c r="D80" i="12" s="1"/>
  <c r="D22" i="7"/>
  <c r="D24" i="9" s="1"/>
  <c r="D23" i="7"/>
  <c r="D18" i="9" s="1"/>
  <c r="D24" i="7"/>
  <c r="D156" i="12" s="1"/>
  <c r="D10" i="7"/>
  <c r="D77" i="12" s="1"/>
  <c r="N37" i="6"/>
  <c r="O37" i="6"/>
  <c r="O35" i="6" s="1" a="1"/>
  <c r="P37" i="6"/>
  <c r="Q37" i="6"/>
  <c r="N38" i="6"/>
  <c r="O38" i="6"/>
  <c r="P38" i="6"/>
  <c r="Q38" i="6"/>
  <c r="M38" i="6"/>
  <c r="M37" i="6"/>
  <c r="D44" i="6"/>
  <c r="D43" i="6"/>
  <c r="D42" i="6"/>
  <c r="Q41" i="6" a="1"/>
  <c r="Q46" i="5" s="1"/>
  <c r="P41" i="6" a="1"/>
  <c r="P46" i="5" s="1"/>
  <c r="O41" i="6" a="1"/>
  <c r="O46" i="5" s="1"/>
  <c r="N41" i="6" a="1"/>
  <c r="N46" i="5" s="1"/>
  <c r="M41" i="6" a="1"/>
  <c r="M46" i="5" s="1"/>
  <c r="D41" i="6"/>
  <c r="D38" i="6"/>
  <c r="D37" i="6"/>
  <c r="D36" i="6"/>
  <c r="Q35" i="6" a="1"/>
  <c r="Q25" i="5" s="1"/>
  <c r="Q20" i="12" s="1"/>
  <c r="P35" i="6" a="1"/>
  <c r="P25" i="5" s="1"/>
  <c r="P20" i="12" s="1"/>
  <c r="N35" i="6" a="1"/>
  <c r="N25" i="5" s="1"/>
  <c r="N20" i="12" s="1"/>
  <c r="M35" i="6" a="1"/>
  <c r="M25" i="5" s="1"/>
  <c r="M20" i="12" s="1"/>
  <c r="D35" i="6"/>
  <c r="D32" i="6"/>
  <c r="D31" i="6"/>
  <c r="D30" i="6"/>
  <c r="Q29" i="6" a="1"/>
  <c r="Q23" i="5" s="1"/>
  <c r="P29" i="6" a="1"/>
  <c r="P23" i="5" s="1"/>
  <c r="O29" i="6" a="1"/>
  <c r="O23" i="5" s="1"/>
  <c r="N29" i="6" a="1"/>
  <c r="M29" i="6" a="1"/>
  <c r="M23" i="5" s="1"/>
  <c r="M19" i="12" s="1"/>
  <c r="D29" i="6"/>
  <c r="N23" i="6" a="1"/>
  <c r="N22" i="5" s="1"/>
  <c r="N13" i="12" s="1"/>
  <c r="O23" i="6" a="1"/>
  <c r="P23" i="6" a="1"/>
  <c r="P22" i="5" s="1"/>
  <c r="P13" i="12" s="1"/>
  <c r="Q23" i="6" a="1"/>
  <c r="Q22" i="5" s="1"/>
  <c r="Q13" i="12" s="1"/>
  <c r="M23" i="6" a="1"/>
  <c r="M22" i="5" s="1"/>
  <c r="M13" i="12" s="1"/>
  <c r="D23" i="6"/>
  <c r="D15" i="6"/>
  <c r="D4" i="12" s="1"/>
  <c r="D26" i="6"/>
  <c r="D25" i="6"/>
  <c r="D24" i="6"/>
  <c r="E85" i="5"/>
  <c r="D86" i="5"/>
  <c r="F86" i="5"/>
  <c r="G86" i="5"/>
  <c r="J86" i="5"/>
  <c r="D87" i="5"/>
  <c r="F87" i="5"/>
  <c r="G87" i="5"/>
  <c r="J87" i="5"/>
  <c r="D88" i="5"/>
  <c r="F88" i="5"/>
  <c r="G88" i="5"/>
  <c r="J88" i="5"/>
  <c r="J85" i="5"/>
  <c r="D85" i="5"/>
  <c r="F85" i="5"/>
  <c r="G85" i="5"/>
  <c r="H85" i="5"/>
  <c r="I85" i="5"/>
  <c r="J28" i="5" l="1"/>
  <c r="F363" i="12" a="1"/>
  <c r="J32" i="5"/>
  <c r="J35" i="5"/>
  <c r="O19" i="12"/>
  <c r="N23" i="5"/>
  <c r="N19" i="12" s="1"/>
  <c r="P19" i="12"/>
  <c r="Q19" i="12"/>
  <c r="O25" i="5"/>
  <c r="O20" i="12" s="1"/>
  <c r="O22" i="5"/>
  <c r="O13" i="12" s="1"/>
  <c r="J30" i="8"/>
  <c r="J29" i="8"/>
  <c r="F345" i="12" a="1"/>
  <c r="G347" i="12" s="1"/>
  <c r="J35" i="8"/>
  <c r="J28" i="8"/>
  <c r="L272" i="4"/>
  <c r="L332" i="4"/>
  <c r="L144" i="4" s="1"/>
  <c r="L69" i="5" s="1"/>
  <c r="M140" i="12" s="1"/>
  <c r="K332" i="4"/>
  <c r="K144" i="4" s="1"/>
  <c r="K36" i="8" s="1"/>
  <c r="J332" i="4"/>
  <c r="J144" i="4" s="1"/>
  <c r="J310" i="4"/>
  <c r="J129" i="4" s="1"/>
  <c r="J21" i="8" s="1"/>
  <c r="J278" i="4"/>
  <c r="J274" i="4"/>
  <c r="J120" i="4" s="1"/>
  <c r="J121" i="4" s="1"/>
  <c r="J348" i="4"/>
  <c r="J152" i="4" s="1"/>
  <c r="J359" i="4"/>
  <c r="J142" i="4" s="1"/>
  <c r="J34" i="8" s="1"/>
  <c r="J189" i="4"/>
  <c r="J179" i="4"/>
  <c r="J219" i="4" s="1"/>
  <c r="J184" i="4"/>
  <c r="J236" i="4" s="1"/>
  <c r="J39" i="4"/>
  <c r="J203" i="4"/>
  <c r="J237" i="4" s="1"/>
  <c r="J266" i="4"/>
  <c r="J61" i="4"/>
  <c r="J62" i="4" s="1"/>
  <c r="J140" i="4"/>
  <c r="J165" i="4" s="1"/>
  <c r="J197" i="4"/>
  <c r="J220" i="4" s="1"/>
  <c r="J303" i="4"/>
  <c r="J124" i="4"/>
  <c r="J16" i="8" s="1"/>
  <c r="J217" i="4"/>
  <c r="F265" i="12" a="1"/>
  <c r="G269" i="12" s="1"/>
  <c r="M271" i="12" s="1"/>
  <c r="F285" i="12" a="1"/>
  <c r="G289" i="12" s="1"/>
  <c r="Q291" i="12" s="1"/>
  <c r="J14" i="12"/>
  <c r="D81" i="12"/>
  <c r="D133" i="12"/>
  <c r="F325" i="12" a="1"/>
  <c r="G329" i="12" s="1"/>
  <c r="O331" i="12" s="1"/>
  <c r="F225" i="12" a="1"/>
  <c r="G229" i="12" s="1"/>
  <c r="N231" i="12" s="1"/>
  <c r="F185" i="12" a="1"/>
  <c r="F245" i="12" a="1"/>
  <c r="G249" i="12" s="1"/>
  <c r="N251" i="12" s="1"/>
  <c r="F305" i="12" a="1"/>
  <c r="G307" i="12" s="1"/>
  <c r="F205" i="12" a="1"/>
  <c r="G209" i="12" s="1"/>
  <c r="N211" i="12" s="1"/>
  <c r="D4" i="10"/>
  <c r="D4" i="8"/>
  <c r="D4" i="9"/>
  <c r="D4" i="7"/>
  <c r="D4" i="6"/>
  <c r="D4" i="5"/>
  <c r="D4" i="3"/>
  <c r="D4" i="4"/>
  <c r="D4" i="11"/>
  <c r="E285" i="4"/>
  <c r="G365" i="12" l="1"/>
  <c r="G367" i="12"/>
  <c r="P369" i="12" s="1"/>
  <c r="G364" i="12"/>
  <c r="G366" i="12"/>
  <c r="G368" i="12"/>
  <c r="L370" i="12" s="1"/>
  <c r="Q370" i="12" s="1"/>
  <c r="G369" i="12"/>
  <c r="P371" i="12" s="1"/>
  <c r="G370" i="12"/>
  <c r="G348" i="12"/>
  <c r="G351" i="12"/>
  <c r="Q353" i="12" s="1"/>
  <c r="J24" i="8"/>
  <c r="G350" i="12"/>
  <c r="L352" i="12" s="1"/>
  <c r="N352" i="12" s="1"/>
  <c r="J32" i="8"/>
  <c r="G349" i="12"/>
  <c r="M351" i="12" s="1"/>
  <c r="G346" i="12"/>
  <c r="G352" i="12"/>
  <c r="J69" i="5"/>
  <c r="J36" i="8"/>
  <c r="J38" i="8" s="1"/>
  <c r="J156" i="4"/>
  <c r="J44" i="8"/>
  <c r="J48" i="8" s="1"/>
  <c r="J20" i="10" s="1"/>
  <c r="L36" i="8"/>
  <c r="K69" i="5"/>
  <c r="J146" i="4"/>
  <c r="J67" i="5"/>
  <c r="J132" i="4"/>
  <c r="J133" i="4" s="1"/>
  <c r="J305" i="4"/>
  <c r="J63" i="4"/>
  <c r="J221" i="4"/>
  <c r="J222" i="4" s="1"/>
  <c r="J186" i="4"/>
  <c r="J100" i="4" s="1"/>
  <c r="J23" i="5" s="1"/>
  <c r="J343" i="4"/>
  <c r="J344" i="4" s="1"/>
  <c r="J205" i="4"/>
  <c r="J102" i="4" s="1"/>
  <c r="J162" i="4"/>
  <c r="J238" i="4"/>
  <c r="J239" i="4" s="1"/>
  <c r="G227" i="12"/>
  <c r="G272" i="12"/>
  <c r="L271" i="12"/>
  <c r="N271" i="12"/>
  <c r="G271" i="12"/>
  <c r="Q273" i="12" s="1"/>
  <c r="G286" i="12"/>
  <c r="G268" i="12"/>
  <c r="P271" i="12"/>
  <c r="G266" i="12"/>
  <c r="O271" i="12"/>
  <c r="G267" i="12"/>
  <c r="Q271" i="12"/>
  <c r="G270" i="12"/>
  <c r="L272" i="12" s="1"/>
  <c r="G290" i="12"/>
  <c r="L292" i="12" s="1"/>
  <c r="P292" i="12" s="1"/>
  <c r="M291" i="12"/>
  <c r="G288" i="12"/>
  <c r="N291" i="12"/>
  <c r="L291" i="12"/>
  <c r="O291" i="12"/>
  <c r="G291" i="12"/>
  <c r="N293" i="12" s="1"/>
  <c r="G287" i="12"/>
  <c r="P291" i="12"/>
  <c r="G292" i="12"/>
  <c r="G246" i="12"/>
  <c r="G226" i="12"/>
  <c r="G230" i="12"/>
  <c r="L232" i="12" s="1"/>
  <c r="Q232" i="12" s="1"/>
  <c r="G186" i="12"/>
  <c r="G252" i="12"/>
  <c r="G251" i="12"/>
  <c r="M253" i="12" s="1"/>
  <c r="G250" i="12"/>
  <c r="L252" i="12" s="1"/>
  <c r="Q252" i="12" s="1"/>
  <c r="G228" i="12"/>
  <c r="G189" i="12"/>
  <c r="Q191" i="12" s="1"/>
  <c r="G188" i="12"/>
  <c r="G232" i="12"/>
  <c r="G327" i="12"/>
  <c r="G231" i="12"/>
  <c r="P233" i="12" s="1"/>
  <c r="G248" i="12"/>
  <c r="G328" i="12"/>
  <c r="G191" i="12"/>
  <c r="M193" i="12" s="1"/>
  <c r="G190" i="12"/>
  <c r="L192" i="12" s="1"/>
  <c r="N192" i="12" s="1"/>
  <c r="G187" i="12"/>
  <c r="G247" i="12"/>
  <c r="G326" i="12"/>
  <c r="G210" i="12"/>
  <c r="L212" i="12" s="1"/>
  <c r="O212" i="12" s="1"/>
  <c r="L211" i="12"/>
  <c r="O231" i="12"/>
  <c r="Q231" i="12"/>
  <c r="G332" i="12"/>
  <c r="G192" i="12"/>
  <c r="G212" i="12"/>
  <c r="G207" i="12"/>
  <c r="G211" i="12"/>
  <c r="M213" i="12" s="1"/>
  <c r="O211" i="12"/>
  <c r="G206" i="12"/>
  <c r="G208" i="12"/>
  <c r="G330" i="12"/>
  <c r="L332" i="12" s="1"/>
  <c r="Q332" i="12" s="1"/>
  <c r="P231" i="12"/>
  <c r="P251" i="12"/>
  <c r="Q251" i="12"/>
  <c r="M251" i="12"/>
  <c r="L231" i="12"/>
  <c r="M231" i="12"/>
  <c r="Q211" i="12"/>
  <c r="P211" i="12"/>
  <c r="N331" i="12"/>
  <c r="M211" i="12"/>
  <c r="G331" i="12"/>
  <c r="M333" i="12" s="1"/>
  <c r="O251" i="12"/>
  <c r="P331" i="12"/>
  <c r="Q331" i="12"/>
  <c r="G309" i="12"/>
  <c r="Q311" i="12" s="1"/>
  <c r="L331" i="12"/>
  <c r="G311" i="12"/>
  <c r="Q313" i="12" s="1"/>
  <c r="L251" i="12"/>
  <c r="G306" i="12"/>
  <c r="M331" i="12"/>
  <c r="G308" i="12"/>
  <c r="G312" i="12"/>
  <c r="G310" i="12"/>
  <c r="L312" i="12" s="1"/>
  <c r="P312" i="12" s="1"/>
  <c r="D24" i="5"/>
  <c r="C44" i="5"/>
  <c r="C48" i="5"/>
  <c r="B59" i="5"/>
  <c r="C60" i="5"/>
  <c r="C66" i="5"/>
  <c r="C71" i="5"/>
  <c r="B43" i="5"/>
  <c r="M29" i="12"/>
  <c r="M33" i="12" s="1"/>
  <c r="M16" i="7" s="1"/>
  <c r="M14" i="9" s="1"/>
  <c r="N29" i="12"/>
  <c r="N33" i="12" s="1"/>
  <c r="N16" i="7" s="1"/>
  <c r="N14" i="9" s="1"/>
  <c r="O29" i="12"/>
  <c r="O33" i="12" s="1"/>
  <c r="O16" i="7" s="1"/>
  <c r="O14" i="9" s="1"/>
  <c r="P29" i="12"/>
  <c r="P33" i="12" s="1"/>
  <c r="P16" i="7" s="1"/>
  <c r="P14" i="9" s="1"/>
  <c r="Q29" i="12"/>
  <c r="Q33" i="12" s="1"/>
  <c r="Q16" i="7" s="1"/>
  <c r="Q14" i="9" s="1"/>
  <c r="K22" i="5"/>
  <c r="L22" i="5"/>
  <c r="D23" i="5"/>
  <c r="D19" i="12" s="1"/>
  <c r="D23" i="12" s="1"/>
  <c r="D25" i="5"/>
  <c r="D20" i="12" s="1"/>
  <c r="D24" i="12" s="1"/>
  <c r="D27" i="5"/>
  <c r="D28" i="5"/>
  <c r="D30" i="5"/>
  <c r="D31" i="5"/>
  <c r="D32" i="5"/>
  <c r="D30" i="12" s="1"/>
  <c r="D34" i="12" s="1"/>
  <c r="D34" i="5"/>
  <c r="D22" i="5"/>
  <c r="D13" i="12" s="1"/>
  <c r="L13" i="5"/>
  <c r="K13" i="5" s="1"/>
  <c r="J13" i="5" s="1"/>
  <c r="L375" i="4"/>
  <c r="L139" i="4" s="1"/>
  <c r="L31" i="8" s="1"/>
  <c r="L135" i="12" s="1"/>
  <c r="M132" i="12" s="1"/>
  <c r="L60" i="4"/>
  <c r="K60" i="4"/>
  <c r="L51" i="4"/>
  <c r="K51" i="4"/>
  <c r="K163" i="4"/>
  <c r="L39" i="4"/>
  <c r="K39" i="4"/>
  <c r="L128" i="4"/>
  <c r="K128" i="4"/>
  <c r="L126" i="4"/>
  <c r="L18" i="8" s="1"/>
  <c r="L87" i="12" s="1"/>
  <c r="K126" i="4"/>
  <c r="K18" i="8" s="1"/>
  <c r="D120" i="4"/>
  <c r="D127" i="4"/>
  <c r="D152" i="4"/>
  <c r="D142" i="4"/>
  <c r="D129" i="4"/>
  <c r="D128" i="4"/>
  <c r="D126" i="4"/>
  <c r="D125" i="4"/>
  <c r="D124" i="4"/>
  <c r="L381" i="4"/>
  <c r="L155" i="4" s="1"/>
  <c r="L47" i="8" s="1"/>
  <c r="K381" i="4"/>
  <c r="K155" i="4" s="1"/>
  <c r="K47" i="8" s="1"/>
  <c r="L380" i="4"/>
  <c r="L131" i="4" s="1"/>
  <c r="L23" i="8" s="1"/>
  <c r="K380" i="4"/>
  <c r="K131" i="4" s="1"/>
  <c r="K23" i="8" s="1"/>
  <c r="D381" i="4"/>
  <c r="D155" i="4" s="1"/>
  <c r="D47" i="8" s="1"/>
  <c r="D380" i="4"/>
  <c r="D131" i="4" s="1"/>
  <c r="D23" i="8" s="1"/>
  <c r="L372" i="4"/>
  <c r="L136" i="4" s="1"/>
  <c r="L373" i="4"/>
  <c r="L137" i="4" s="1"/>
  <c r="L374" i="4"/>
  <c r="L138" i="4" s="1"/>
  <c r="K375" i="4"/>
  <c r="K139" i="4" s="1"/>
  <c r="K31" i="8" s="1"/>
  <c r="K374" i="4"/>
  <c r="K138" i="4" s="1"/>
  <c r="K373" i="4"/>
  <c r="K137" i="4" s="1"/>
  <c r="K372" i="4"/>
  <c r="K136" i="4" s="1"/>
  <c r="D375" i="4"/>
  <c r="D139" i="4" s="1"/>
  <c r="D374" i="4"/>
  <c r="D138" i="4" s="1"/>
  <c r="D373" i="4"/>
  <c r="D137" i="4" s="1"/>
  <c r="D372" i="4"/>
  <c r="D136" i="4" s="1"/>
  <c r="L358" i="4"/>
  <c r="K358" i="4"/>
  <c r="L357" i="4"/>
  <c r="K357" i="4"/>
  <c r="L352" i="4"/>
  <c r="L154" i="4" s="1"/>
  <c r="L46" i="8" s="1"/>
  <c r="L163" i="12" s="1"/>
  <c r="M160" i="12" s="1"/>
  <c r="K352" i="4"/>
  <c r="K154" i="4" s="1"/>
  <c r="K46" i="8" s="1"/>
  <c r="L350" i="4"/>
  <c r="L153" i="4" s="1"/>
  <c r="L45" i="8" s="1"/>
  <c r="L101" i="12" s="1"/>
  <c r="K350" i="4"/>
  <c r="K153" i="4" s="1"/>
  <c r="K45" i="8" s="1"/>
  <c r="L347" i="4"/>
  <c r="K347" i="4"/>
  <c r="L346" i="4"/>
  <c r="K346" i="4"/>
  <c r="D352" i="4"/>
  <c r="D154" i="4" s="1"/>
  <c r="D350" i="4"/>
  <c r="D153" i="4" s="1"/>
  <c r="D347" i="4"/>
  <c r="D346" i="4"/>
  <c r="L341" i="4"/>
  <c r="K341" i="4"/>
  <c r="L336" i="4"/>
  <c r="K336" i="4"/>
  <c r="L325" i="4"/>
  <c r="L151" i="4" s="1"/>
  <c r="L43" i="8" s="1"/>
  <c r="L99" i="12" s="1"/>
  <c r="K325" i="4"/>
  <c r="K151" i="4" s="1"/>
  <c r="K43" i="8" s="1"/>
  <c r="L324" i="4"/>
  <c r="L150" i="4" s="1"/>
  <c r="L42" i="8" s="1"/>
  <c r="L98" i="12" s="1"/>
  <c r="K324" i="4"/>
  <c r="K150" i="4" s="1"/>
  <c r="K42" i="8" s="1"/>
  <c r="L323" i="4"/>
  <c r="L149" i="4" s="1"/>
  <c r="L41" i="8" s="1"/>
  <c r="L97" i="12" s="1"/>
  <c r="K323" i="4"/>
  <c r="K149" i="4" s="1"/>
  <c r="K41" i="8" s="1"/>
  <c r="L322" i="4"/>
  <c r="L148" i="4" s="1"/>
  <c r="L40" i="8" s="1"/>
  <c r="K322" i="4"/>
  <c r="K148" i="4" s="1"/>
  <c r="K40" i="8" s="1"/>
  <c r="L321" i="4"/>
  <c r="L145" i="4" s="1"/>
  <c r="L37" i="8" s="1"/>
  <c r="L95" i="12" s="1"/>
  <c r="K321" i="4"/>
  <c r="K145" i="4" s="1"/>
  <c r="K37" i="8" s="1"/>
  <c r="L319" i="4"/>
  <c r="L143" i="4" s="1"/>
  <c r="K319" i="4"/>
  <c r="K143" i="4" s="1"/>
  <c r="D325" i="4"/>
  <c r="D151" i="4" s="1"/>
  <c r="D324" i="4"/>
  <c r="D150" i="4" s="1"/>
  <c r="D323" i="4"/>
  <c r="D149" i="4" s="1"/>
  <c r="D322" i="4"/>
  <c r="D148" i="4" s="1"/>
  <c r="D321" i="4"/>
  <c r="D145" i="4" s="1"/>
  <c r="D37" i="8" s="1"/>
  <c r="D95" i="12" s="1"/>
  <c r="D319" i="4"/>
  <c r="D143" i="4" s="1"/>
  <c r="L281" i="4"/>
  <c r="L285" i="4" s="1"/>
  <c r="L287" i="4" s="1"/>
  <c r="L124" i="4" s="1"/>
  <c r="L16" i="8" s="1"/>
  <c r="K281" i="4"/>
  <c r="K285" i="4" s="1"/>
  <c r="K287" i="4" s="1"/>
  <c r="K124" i="4" s="1"/>
  <c r="K16" i="8" s="1"/>
  <c r="L314" i="4"/>
  <c r="L130" i="4" s="1"/>
  <c r="L22" i="8" s="1"/>
  <c r="L91" i="12" s="1"/>
  <c r="K314" i="4"/>
  <c r="K130" i="4" s="1"/>
  <c r="K22" i="8" s="1"/>
  <c r="D281" i="4"/>
  <c r="D314" i="4"/>
  <c r="D130" i="4" s="1"/>
  <c r="L309" i="4"/>
  <c r="K309" i="4"/>
  <c r="D309" i="4"/>
  <c r="L292" i="4"/>
  <c r="L125" i="4" s="1"/>
  <c r="K292" i="4"/>
  <c r="K125" i="4" s="1"/>
  <c r="L299" i="4"/>
  <c r="L127" i="4" s="1"/>
  <c r="L19" i="8" s="1"/>
  <c r="L88" i="12" s="1"/>
  <c r="K299" i="4"/>
  <c r="K127" i="4" s="1"/>
  <c r="K19" i="8" s="1"/>
  <c r="L280" i="4"/>
  <c r="K280" i="4"/>
  <c r="D280" i="4"/>
  <c r="D279" i="4"/>
  <c r="D273" i="4"/>
  <c r="D272" i="4"/>
  <c r="K99" i="4"/>
  <c r="L99" i="4"/>
  <c r="K109" i="4"/>
  <c r="L109" i="4"/>
  <c r="K111" i="4"/>
  <c r="K22" i="7" s="1"/>
  <c r="L111" i="4"/>
  <c r="L22" i="7" s="1"/>
  <c r="K112" i="4"/>
  <c r="L112" i="4"/>
  <c r="K191" i="4"/>
  <c r="L191" i="4"/>
  <c r="L265" i="4"/>
  <c r="K265" i="4"/>
  <c r="L257" i="4"/>
  <c r="L108" i="4" s="1"/>
  <c r="L19" i="7" s="1"/>
  <c r="L250" i="4"/>
  <c r="L252" i="4" s="1"/>
  <c r="L107" i="4" s="1"/>
  <c r="L18" i="7" s="1"/>
  <c r="K257" i="4"/>
  <c r="K108" i="4" s="1"/>
  <c r="K19" i="7" s="1"/>
  <c r="K250" i="4"/>
  <c r="K252" i="4" s="1"/>
  <c r="K107" i="4" s="1"/>
  <c r="K18" i="7" s="1"/>
  <c r="L202" i="4"/>
  <c r="K202" i="4"/>
  <c r="L201" i="4"/>
  <c r="K201" i="4"/>
  <c r="L200" i="4"/>
  <c r="K200" i="4"/>
  <c r="L196" i="4"/>
  <c r="L195" i="4"/>
  <c r="L194" i="4"/>
  <c r="D202" i="4"/>
  <c r="D201" i="4"/>
  <c r="D200" i="4"/>
  <c r="D196" i="4"/>
  <c r="D195" i="4"/>
  <c r="D194" i="4"/>
  <c r="L190" i="4"/>
  <c r="K190" i="4"/>
  <c r="D191" i="4"/>
  <c r="D190" i="4"/>
  <c r="L183" i="4"/>
  <c r="K183" i="4"/>
  <c r="L181" i="4"/>
  <c r="K181" i="4"/>
  <c r="D183" i="4"/>
  <c r="D181" i="4"/>
  <c r="D178" i="4"/>
  <c r="D176" i="4"/>
  <c r="L216" i="4"/>
  <c r="K216" i="4"/>
  <c r="K217" i="4" s="1"/>
  <c r="L233" i="4"/>
  <c r="L244" i="4" s="1"/>
  <c r="L105" i="4" s="1"/>
  <c r="L16" i="7" s="1"/>
  <c r="K233" i="4"/>
  <c r="K244" i="4" s="1"/>
  <c r="K105" i="4" s="1"/>
  <c r="E87" i="4"/>
  <c r="E86" i="4"/>
  <c r="E84" i="4"/>
  <c r="E83" i="4"/>
  <c r="E81" i="4"/>
  <c r="E79" i="4"/>
  <c r="E78" i="4"/>
  <c r="E77" i="4"/>
  <c r="E68" i="4"/>
  <c r="E69" i="4"/>
  <c r="E70" i="4"/>
  <c r="E71" i="4"/>
  <c r="E72" i="4"/>
  <c r="E73" i="4"/>
  <c r="E74" i="4"/>
  <c r="E67" i="4"/>
  <c r="E48" i="4"/>
  <c r="E50" i="4"/>
  <c r="E51" i="4"/>
  <c r="E52" i="4"/>
  <c r="E53" i="4"/>
  <c r="E54" i="4"/>
  <c r="E55" i="4"/>
  <c r="E56" i="4"/>
  <c r="E58" i="4"/>
  <c r="E59" i="4"/>
  <c r="E60" i="4"/>
  <c r="E61" i="4"/>
  <c r="E62" i="4"/>
  <c r="E47" i="4"/>
  <c r="E42" i="4"/>
  <c r="E43" i="4"/>
  <c r="E44" i="4"/>
  <c r="E45" i="4"/>
  <c r="E41" i="4"/>
  <c r="E30" i="4"/>
  <c r="E31" i="4"/>
  <c r="E32" i="4"/>
  <c r="E33" i="4"/>
  <c r="E34" i="4"/>
  <c r="E35" i="4"/>
  <c r="E36" i="4"/>
  <c r="E37" i="4"/>
  <c r="E38" i="4"/>
  <c r="E39" i="4"/>
  <c r="E29" i="4"/>
  <c r="E14" i="4"/>
  <c r="E15" i="4"/>
  <c r="E16" i="4"/>
  <c r="E17" i="4"/>
  <c r="E19" i="4"/>
  <c r="E20" i="4"/>
  <c r="E21" i="4"/>
  <c r="E22" i="4"/>
  <c r="E23" i="4"/>
  <c r="E24" i="4"/>
  <c r="E25" i="4"/>
  <c r="E13" i="4"/>
  <c r="L5" i="12"/>
  <c r="B2" i="12"/>
  <c r="L5" i="11"/>
  <c r="L7" i="11" s="1"/>
  <c r="B2" i="11"/>
  <c r="L5" i="10"/>
  <c r="B2" i="10"/>
  <c r="L5" i="9"/>
  <c r="B2" i="9"/>
  <c r="L5" i="8"/>
  <c r="B2" i="8"/>
  <c r="L5" i="7"/>
  <c r="L7" i="7" s="1"/>
  <c r="B2" i="7"/>
  <c r="L5" i="6"/>
  <c r="B2" i="6"/>
  <c r="L5" i="5"/>
  <c r="L7" i="5" s="1"/>
  <c r="B2" i="5"/>
  <c r="L5" i="4"/>
  <c r="L7" i="4" s="1"/>
  <c r="B2" i="4"/>
  <c r="L5" i="3"/>
  <c r="L7" i="3" s="1"/>
  <c r="B2" i="3"/>
  <c r="D9" i="2"/>
  <c r="E22" i="1"/>
  <c r="E21" i="1"/>
  <c r="O2" i="1" s="1"/>
  <c r="D3" i="1"/>
  <c r="D2" i="1"/>
  <c r="E32" i="1"/>
  <c r="E33" i="1" s="1"/>
  <c r="J18" i="10" l="1"/>
  <c r="J19" i="10"/>
  <c r="L50" i="9"/>
  <c r="M48" i="9" s="1"/>
  <c r="M404" i="12" s="1"/>
  <c r="M369" i="12"/>
  <c r="Q369" i="12"/>
  <c r="N369" i="12"/>
  <c r="L369" i="12"/>
  <c r="O369" i="12"/>
  <c r="M370" i="12"/>
  <c r="Q371" i="12"/>
  <c r="L141" i="12"/>
  <c r="M139" i="12" s="1"/>
  <c r="M141" i="12" s="1"/>
  <c r="N139" i="12" s="1"/>
  <c r="N141" i="12" s="1"/>
  <c r="N94" i="12" s="1"/>
  <c r="L94" i="12"/>
  <c r="M371" i="12"/>
  <c r="D29" i="12"/>
  <c r="D33" i="12" s="1"/>
  <c r="D111" i="12"/>
  <c r="P352" i="12"/>
  <c r="O370" i="12"/>
  <c r="N371" i="12"/>
  <c r="N370" i="12"/>
  <c r="O371" i="12"/>
  <c r="P370" i="12"/>
  <c r="P375" i="12" s="1"/>
  <c r="J13" i="7"/>
  <c r="J25" i="5"/>
  <c r="O352" i="12"/>
  <c r="P353" i="12"/>
  <c r="O353" i="12"/>
  <c r="Q352" i="12"/>
  <c r="N353" i="12"/>
  <c r="M352" i="12"/>
  <c r="M353" i="12"/>
  <c r="P351" i="12"/>
  <c r="L351" i="12"/>
  <c r="Q351" i="12"/>
  <c r="O351" i="12"/>
  <c r="N351" i="12"/>
  <c r="J157" i="4"/>
  <c r="J158" i="4" s="1"/>
  <c r="J101" i="4"/>
  <c r="J103" i="4" s="1"/>
  <c r="J106" i="4" s="1"/>
  <c r="J110" i="4" s="1"/>
  <c r="J11" i="7"/>
  <c r="J49" i="8"/>
  <c r="J50" i="8" s="1"/>
  <c r="L266" i="4"/>
  <c r="K266" i="4"/>
  <c r="Q292" i="12"/>
  <c r="P272" i="12"/>
  <c r="M272" i="12"/>
  <c r="N272" i="12"/>
  <c r="O273" i="12"/>
  <c r="N273" i="12"/>
  <c r="P273" i="12"/>
  <c r="M293" i="12"/>
  <c r="M273" i="12"/>
  <c r="O272" i="12"/>
  <c r="O293" i="12"/>
  <c r="Q272" i="12"/>
  <c r="Q277" i="12" s="1"/>
  <c r="P293" i="12"/>
  <c r="P297" i="12" s="1"/>
  <c r="Q293" i="12"/>
  <c r="O292" i="12"/>
  <c r="M292" i="12"/>
  <c r="N292" i="12"/>
  <c r="N297" i="12" s="1"/>
  <c r="L381" i="12"/>
  <c r="L425" i="12"/>
  <c r="M423" i="12" s="1"/>
  <c r="Q233" i="12"/>
  <c r="Q237" i="12" s="1"/>
  <c r="P253" i="12"/>
  <c r="O252" i="12"/>
  <c r="N252" i="12"/>
  <c r="O233" i="12"/>
  <c r="M233" i="12"/>
  <c r="O253" i="12"/>
  <c r="N253" i="12"/>
  <c r="N233" i="12"/>
  <c r="Q253" i="12"/>
  <c r="Q257" i="12" s="1"/>
  <c r="M232" i="12"/>
  <c r="P232" i="12"/>
  <c r="P237" i="12" s="1"/>
  <c r="M252" i="12"/>
  <c r="M257" i="12" s="1"/>
  <c r="N232" i="12"/>
  <c r="O232" i="12"/>
  <c r="P192" i="12"/>
  <c r="P252" i="12"/>
  <c r="P212" i="12"/>
  <c r="P191" i="12"/>
  <c r="M192" i="12"/>
  <c r="O191" i="12"/>
  <c r="Q212" i="12"/>
  <c r="N191" i="12"/>
  <c r="M191" i="12"/>
  <c r="Q192" i="12"/>
  <c r="L191" i="12"/>
  <c r="Q193" i="12"/>
  <c r="P193" i="12"/>
  <c r="O193" i="12"/>
  <c r="N193" i="12"/>
  <c r="O192" i="12"/>
  <c r="M212" i="12"/>
  <c r="M217" i="12" s="1"/>
  <c r="N212" i="12"/>
  <c r="Q213" i="12"/>
  <c r="O213" i="12"/>
  <c r="O217" i="12" s="1"/>
  <c r="N213" i="12"/>
  <c r="P213" i="12"/>
  <c r="N332" i="12"/>
  <c r="O332" i="12"/>
  <c r="M332" i="12"/>
  <c r="M337" i="12" s="1"/>
  <c r="P332" i="12"/>
  <c r="M312" i="12"/>
  <c r="P333" i="12"/>
  <c r="O313" i="12"/>
  <c r="N311" i="12"/>
  <c r="O333" i="12"/>
  <c r="Q312" i="12"/>
  <c r="Q317" i="12" s="1"/>
  <c r="P313" i="12"/>
  <c r="M313" i="12"/>
  <c r="Q333" i="12"/>
  <c r="Q337" i="12" s="1"/>
  <c r="N313" i="12"/>
  <c r="N333" i="12"/>
  <c r="L62" i="5"/>
  <c r="M122" i="12" s="1"/>
  <c r="M36" i="9" s="1"/>
  <c r="M414" i="12" s="1"/>
  <c r="L29" i="8"/>
  <c r="L123" i="12" s="1"/>
  <c r="M121" i="12" s="1"/>
  <c r="D72" i="5"/>
  <c r="D66" i="12" s="1"/>
  <c r="D40" i="8"/>
  <c r="D96" i="12" s="1"/>
  <c r="D31" i="8"/>
  <c r="D51" i="5"/>
  <c r="D59" i="12" s="1"/>
  <c r="D18" i="8"/>
  <c r="D87" i="12" s="1"/>
  <c r="D73" i="5"/>
  <c r="D67" i="12" s="1"/>
  <c r="D41" i="8"/>
  <c r="D97" i="12" s="1"/>
  <c r="L96" i="12"/>
  <c r="K61" i="5"/>
  <c r="K28" i="8"/>
  <c r="D53" i="5"/>
  <c r="D61" i="12" s="1"/>
  <c r="D20" i="8"/>
  <c r="D89" i="12" s="1"/>
  <c r="K53" i="5"/>
  <c r="K20" i="8"/>
  <c r="D68" i="5"/>
  <c r="D65" i="12" s="1"/>
  <c r="D35" i="8"/>
  <c r="D93" i="12" s="1"/>
  <c r="D74" i="5"/>
  <c r="D68" i="12" s="1"/>
  <c r="D42" i="8"/>
  <c r="D98" i="12" s="1"/>
  <c r="K62" i="5"/>
  <c r="K29" i="8"/>
  <c r="D54" i="5"/>
  <c r="D62" i="12" s="1"/>
  <c r="D21" i="8"/>
  <c r="D90" i="12" s="1"/>
  <c r="L53" i="5"/>
  <c r="L20" i="8"/>
  <c r="L89" i="12" s="1"/>
  <c r="L50" i="5"/>
  <c r="L17" i="8"/>
  <c r="L86" i="12" s="1"/>
  <c r="D77" i="5"/>
  <c r="D71" i="12" s="1"/>
  <c r="D45" i="8"/>
  <c r="D101" i="12" s="1"/>
  <c r="D49" i="5"/>
  <c r="D57" i="12" s="1"/>
  <c r="D16" i="8"/>
  <c r="D85" i="12" s="1"/>
  <c r="K63" i="5"/>
  <c r="K30" i="8"/>
  <c r="L388" i="12"/>
  <c r="D67" i="5"/>
  <c r="D34" i="8"/>
  <c r="D75" i="5"/>
  <c r="D69" i="12" s="1"/>
  <c r="D43" i="8"/>
  <c r="D99" i="12" s="1"/>
  <c r="L10" i="7"/>
  <c r="L14" i="12"/>
  <c r="M14" i="12" s="1"/>
  <c r="K68" i="5"/>
  <c r="K35" i="8"/>
  <c r="D76" i="5"/>
  <c r="D70" i="12" s="1"/>
  <c r="D44" i="8"/>
  <c r="D100" i="12" s="1"/>
  <c r="N312" i="12"/>
  <c r="P311" i="12"/>
  <c r="D62" i="5"/>
  <c r="D29" i="8"/>
  <c r="C120" i="12" s="1"/>
  <c r="D36" i="9" s="1"/>
  <c r="D414" i="12" s="1"/>
  <c r="D45" i="5"/>
  <c r="D12" i="8"/>
  <c r="C107" i="12" s="1"/>
  <c r="L85" i="12"/>
  <c r="K10" i="7"/>
  <c r="K14" i="12"/>
  <c r="K50" i="5"/>
  <c r="K17" i="8"/>
  <c r="D55" i="5"/>
  <c r="D63" i="12" s="1"/>
  <c r="D22" i="8"/>
  <c r="D91" i="12" s="1"/>
  <c r="L68" i="5"/>
  <c r="L35" i="8"/>
  <c r="L93" i="12" s="1"/>
  <c r="D61" i="5"/>
  <c r="D28" i="8"/>
  <c r="C115" i="12" s="1"/>
  <c r="D35" i="9" s="1"/>
  <c r="D413" i="12" s="1"/>
  <c r="L63" i="5"/>
  <c r="M127" i="12" s="1"/>
  <c r="M37" i="9" s="1"/>
  <c r="M415" i="12" s="1"/>
  <c r="L30" i="8"/>
  <c r="L128" i="12" s="1"/>
  <c r="M126" i="12" s="1"/>
  <c r="D52" i="5"/>
  <c r="D60" i="12" s="1"/>
  <c r="D19" i="8"/>
  <c r="D88" i="12" s="1"/>
  <c r="O312" i="12"/>
  <c r="L311" i="12"/>
  <c r="M311" i="12"/>
  <c r="D78" i="5"/>
  <c r="D46" i="8"/>
  <c r="C159" i="12" s="1"/>
  <c r="D63" i="5"/>
  <c r="D30" i="8"/>
  <c r="C125" i="12" s="1"/>
  <c r="D37" i="9" s="1"/>
  <c r="D415" i="12" s="1"/>
  <c r="L61" i="5"/>
  <c r="M117" i="12" s="1"/>
  <c r="M35" i="9" s="1"/>
  <c r="M413" i="12" s="1"/>
  <c r="L28" i="8"/>
  <c r="D50" i="5"/>
  <c r="D58" i="12" s="1"/>
  <c r="D17" i="8"/>
  <c r="D86" i="12" s="1"/>
  <c r="O311" i="12"/>
  <c r="L6" i="9"/>
  <c r="L7" i="9"/>
  <c r="M5" i="6"/>
  <c r="M6" i="6" s="1"/>
  <c r="L7" i="6"/>
  <c r="M5" i="10"/>
  <c r="M7" i="10" s="1"/>
  <c r="L7" i="10"/>
  <c r="M5" i="8"/>
  <c r="L7" i="8"/>
  <c r="M5" i="12"/>
  <c r="L7" i="12"/>
  <c r="L28" i="5"/>
  <c r="L72" i="5"/>
  <c r="K35" i="5"/>
  <c r="K23" i="7"/>
  <c r="L32" i="5"/>
  <c r="L20" i="7"/>
  <c r="K72" i="5"/>
  <c r="K73" i="5"/>
  <c r="K28" i="5"/>
  <c r="K16" i="7"/>
  <c r="L73" i="5"/>
  <c r="K104" i="4"/>
  <c r="K15" i="7" s="1"/>
  <c r="L104" i="4"/>
  <c r="L15" i="7" s="1"/>
  <c r="L217" i="4"/>
  <c r="K32" i="5"/>
  <c r="K20" i="7"/>
  <c r="L35" i="5"/>
  <c r="L23" i="7"/>
  <c r="K278" i="4"/>
  <c r="D285" i="4"/>
  <c r="L278" i="4"/>
  <c r="J12" i="8"/>
  <c r="J13" i="8" s="1"/>
  <c r="J25" i="8" s="1"/>
  <c r="L49" i="5"/>
  <c r="L163" i="4"/>
  <c r="K49" i="5"/>
  <c r="M4" i="10"/>
  <c r="L14" i="5"/>
  <c r="L152" i="12" s="1"/>
  <c r="M13" i="5"/>
  <c r="N13" i="5" s="1"/>
  <c r="K61" i="4"/>
  <c r="K62" i="4" s="1"/>
  <c r="L61" i="4"/>
  <c r="K140" i="4"/>
  <c r="K165" i="4" s="1"/>
  <c r="L140" i="4"/>
  <c r="L165" i="4" s="1"/>
  <c r="K359" i="4"/>
  <c r="K142" i="4" s="1"/>
  <c r="L359" i="4"/>
  <c r="J368" i="4" s="1"/>
  <c r="F123" i="1" s="1"/>
  <c r="G123" i="1" s="1"/>
  <c r="L348" i="4"/>
  <c r="L310" i="4"/>
  <c r="L129" i="4" s="1"/>
  <c r="L21" i="8" s="1"/>
  <c r="L90" i="12" s="1"/>
  <c r="K348" i="4"/>
  <c r="K310" i="4"/>
  <c r="K129" i="4" s="1"/>
  <c r="K21" i="8" s="1"/>
  <c r="L303" i="4"/>
  <c r="K303" i="4"/>
  <c r="L274" i="4"/>
  <c r="L120" i="4" s="1"/>
  <c r="K274" i="4"/>
  <c r="K120" i="4" s="1"/>
  <c r="K197" i="4"/>
  <c r="K220" i="4" s="1"/>
  <c r="L197" i="4"/>
  <c r="L220" i="4" s="1"/>
  <c r="K189" i="4"/>
  <c r="K203" i="4"/>
  <c r="K237" i="4" s="1"/>
  <c r="L203" i="4"/>
  <c r="L237" i="4" s="1"/>
  <c r="L179" i="4"/>
  <c r="L219" i="4" s="1"/>
  <c r="L184" i="4"/>
  <c r="L236" i="4" s="1"/>
  <c r="K179" i="4"/>
  <c r="K219" i="4" s="1"/>
  <c r="K184" i="4"/>
  <c r="K236" i="4" s="1"/>
  <c r="L189" i="4"/>
  <c r="M5" i="11"/>
  <c r="N5" i="11" s="1"/>
  <c r="O5" i="11" s="1"/>
  <c r="L6" i="11"/>
  <c r="M4" i="12"/>
  <c r="D10" i="2"/>
  <c r="K5" i="12"/>
  <c r="K5" i="7"/>
  <c r="L4" i="7" s="1"/>
  <c r="M4" i="11"/>
  <c r="L6" i="12"/>
  <c r="K5" i="10"/>
  <c r="K7" i="10" s="1"/>
  <c r="K5" i="11"/>
  <c r="M4" i="7"/>
  <c r="M4" i="9"/>
  <c r="L6" i="10"/>
  <c r="M4" i="6"/>
  <c r="K5" i="9"/>
  <c r="K6" i="9" s="1"/>
  <c r="M4" i="8"/>
  <c r="K5" i="8"/>
  <c r="J5" i="8" s="1"/>
  <c r="J6" i="8" s="1"/>
  <c r="M5" i="9"/>
  <c r="M5" i="7"/>
  <c r="N5" i="7" s="1"/>
  <c r="N7" i="7" s="1"/>
  <c r="L6" i="8"/>
  <c r="K5" i="6"/>
  <c r="K7" i="6" s="1"/>
  <c r="K5" i="5"/>
  <c r="M4" i="5"/>
  <c r="L6" i="7"/>
  <c r="M4" i="4"/>
  <c r="M5" i="5"/>
  <c r="L6" i="6"/>
  <c r="M5" i="3"/>
  <c r="M7" i="3" s="1"/>
  <c r="K5" i="4"/>
  <c r="K7" i="4" s="1"/>
  <c r="L6" i="5"/>
  <c r="M5" i="4"/>
  <c r="K5" i="3"/>
  <c r="L6" i="4"/>
  <c r="L6" i="3"/>
  <c r="M4" i="3"/>
  <c r="J53" i="5" l="1"/>
  <c r="J49" i="5"/>
  <c r="J50" i="5"/>
  <c r="J160" i="4"/>
  <c r="J164" i="4"/>
  <c r="N5" i="8"/>
  <c r="M7" i="8"/>
  <c r="J12" i="7"/>
  <c r="J25" i="10"/>
  <c r="J52" i="8"/>
  <c r="J26" i="10"/>
  <c r="Q375" i="12"/>
  <c r="M375" i="12"/>
  <c r="N375" i="12"/>
  <c r="P357" i="12"/>
  <c r="O375" i="12"/>
  <c r="Q357" i="12"/>
  <c r="M357" i="12"/>
  <c r="M94" i="12"/>
  <c r="J113" i="4"/>
  <c r="J114" i="4" s="1"/>
  <c r="J36" i="5"/>
  <c r="M36" i="8"/>
  <c r="O357" i="12"/>
  <c r="N357" i="12"/>
  <c r="N36" i="8"/>
  <c r="O139" i="12"/>
  <c r="O141" i="12" s="1"/>
  <c r="O94" i="12" s="1"/>
  <c r="O13" i="5"/>
  <c r="P13" i="5" s="1"/>
  <c r="Q13" i="5" s="1"/>
  <c r="N5" i="6"/>
  <c r="N6" i="6" s="1"/>
  <c r="L344" i="12"/>
  <c r="M341" i="12" s="1"/>
  <c r="L362" i="12"/>
  <c r="K63" i="4"/>
  <c r="K162" i="4"/>
  <c r="I163" i="4"/>
  <c r="F118" i="1" s="1"/>
  <c r="G118" i="1" s="1"/>
  <c r="I266" i="4"/>
  <c r="F126" i="1" s="1"/>
  <c r="G126" i="1" s="1"/>
  <c r="Q297" i="12"/>
  <c r="P277" i="12"/>
  <c r="N4" i="10"/>
  <c r="M297" i="12"/>
  <c r="L238" i="4"/>
  <c r="L239" i="4" s="1"/>
  <c r="K238" i="4"/>
  <c r="K239" i="4" s="1"/>
  <c r="N277" i="12"/>
  <c r="O277" i="12"/>
  <c r="M7" i="6"/>
  <c r="O297" i="12"/>
  <c r="L221" i="4"/>
  <c r="L222" i="4" s="1"/>
  <c r="M277" i="12"/>
  <c r="K221" i="4"/>
  <c r="K222" i="4" s="1"/>
  <c r="P257" i="12"/>
  <c r="K24" i="8"/>
  <c r="I217" i="4"/>
  <c r="F128" i="1" s="1"/>
  <c r="G128" i="1" s="1"/>
  <c r="R49" i="5"/>
  <c r="M6" i="10"/>
  <c r="N5" i="10"/>
  <c r="O5" i="10" s="1"/>
  <c r="O257" i="12"/>
  <c r="N257" i="12"/>
  <c r="N197" i="12"/>
  <c r="N237" i="12"/>
  <c r="O237" i="12"/>
  <c r="M237" i="12"/>
  <c r="P217" i="12"/>
  <c r="O197" i="12"/>
  <c r="P197" i="12"/>
  <c r="M197" i="12"/>
  <c r="Q197" i="12"/>
  <c r="Q217" i="12"/>
  <c r="N217" i="12"/>
  <c r="N4" i="8"/>
  <c r="O337" i="12"/>
  <c r="M128" i="12"/>
  <c r="M30" i="8" s="1"/>
  <c r="N337" i="12"/>
  <c r="P337" i="12"/>
  <c r="M317" i="12"/>
  <c r="P317" i="12"/>
  <c r="N317" i="12"/>
  <c r="O317" i="12"/>
  <c r="K121" i="4"/>
  <c r="K12" i="8"/>
  <c r="K13" i="8" s="1"/>
  <c r="L121" i="4"/>
  <c r="L12" i="8"/>
  <c r="K146" i="4"/>
  <c r="K67" i="5"/>
  <c r="K34" i="8"/>
  <c r="K38" i="8" s="1"/>
  <c r="K32" i="8"/>
  <c r="J73" i="5"/>
  <c r="L32" i="8"/>
  <c r="L118" i="12"/>
  <c r="M116" i="12" s="1"/>
  <c r="M118" i="12" s="1"/>
  <c r="D154" i="12"/>
  <c r="D72" i="12"/>
  <c r="M10" i="7"/>
  <c r="M24" i="12"/>
  <c r="M13" i="7" s="1"/>
  <c r="M79" i="12" s="1"/>
  <c r="M23" i="12"/>
  <c r="M11" i="7" s="1"/>
  <c r="N14" i="12"/>
  <c r="L62" i="4"/>
  <c r="L92" i="12"/>
  <c r="M123" i="12"/>
  <c r="L24" i="8"/>
  <c r="N4" i="6"/>
  <c r="L304" i="12"/>
  <c r="M301" i="12" s="1"/>
  <c r="L244" i="12"/>
  <c r="M241" i="12" s="1"/>
  <c r="L224" i="12"/>
  <c r="M221" i="12" s="1"/>
  <c r="L184" i="12"/>
  <c r="L324" i="12"/>
  <c r="M321" i="12" s="1"/>
  <c r="L264" i="12"/>
  <c r="M261" i="12" s="1"/>
  <c r="L204" i="12"/>
  <c r="M201" i="12" s="1"/>
  <c r="L284" i="12"/>
  <c r="M281" i="12" s="1"/>
  <c r="M7" i="12"/>
  <c r="M6" i="12"/>
  <c r="M6" i="8"/>
  <c r="J72" i="5"/>
  <c r="N5" i="12"/>
  <c r="N7" i="12" s="1"/>
  <c r="N4" i="12"/>
  <c r="K7" i="12"/>
  <c r="K6" i="12"/>
  <c r="K27" i="5"/>
  <c r="K132" i="4"/>
  <c r="L132" i="4"/>
  <c r="N4" i="11"/>
  <c r="K6" i="7"/>
  <c r="L27" i="5"/>
  <c r="J5" i="12"/>
  <c r="I5" i="12" s="1"/>
  <c r="J4" i="12" s="1"/>
  <c r="K7" i="5"/>
  <c r="K14" i="5"/>
  <c r="K152" i="12" s="1"/>
  <c r="L15" i="5"/>
  <c r="N5" i="5"/>
  <c r="M14" i="5"/>
  <c r="M152" i="12" s="1"/>
  <c r="M15" i="5"/>
  <c r="I165" i="4"/>
  <c r="F120" i="1" s="1"/>
  <c r="G120" i="1" s="1"/>
  <c r="L343" i="4"/>
  <c r="L344" i="4" s="1"/>
  <c r="L152" i="4"/>
  <c r="L44" i="8" s="1"/>
  <c r="I368" i="4"/>
  <c r="L142" i="4"/>
  <c r="K343" i="4"/>
  <c r="K344" i="4" s="1"/>
  <c r="K152" i="4"/>
  <c r="K44" i="8" s="1"/>
  <c r="K48" i="8" s="1"/>
  <c r="K20" i="10" s="1"/>
  <c r="K305" i="4"/>
  <c r="L305" i="4"/>
  <c r="N5" i="4"/>
  <c r="O4" i="4" s="1"/>
  <c r="M7" i="4"/>
  <c r="K205" i="4"/>
  <c r="K102" i="4" s="1"/>
  <c r="L205" i="4"/>
  <c r="L102" i="4" s="1"/>
  <c r="L4" i="9"/>
  <c r="L186" i="4"/>
  <c r="L100" i="4" s="1"/>
  <c r="K186" i="4"/>
  <c r="K100" i="4" s="1"/>
  <c r="M6" i="11"/>
  <c r="O4" i="11"/>
  <c r="M7" i="11"/>
  <c r="J5" i="9"/>
  <c r="J6" i="9" s="1"/>
  <c r="N6" i="11"/>
  <c r="N7" i="11"/>
  <c r="L4" i="12"/>
  <c r="J5" i="10"/>
  <c r="K4" i="10" s="1"/>
  <c r="L4" i="10"/>
  <c r="M7" i="7"/>
  <c r="K7" i="9"/>
  <c r="K6" i="10"/>
  <c r="L4" i="11"/>
  <c r="K7" i="11"/>
  <c r="J5" i="11"/>
  <c r="K6" i="11"/>
  <c r="K7" i="7"/>
  <c r="J5" i="7"/>
  <c r="J7" i="8"/>
  <c r="N4" i="7"/>
  <c r="O7" i="11"/>
  <c r="O6" i="11"/>
  <c r="P4" i="11"/>
  <c r="P5" i="11"/>
  <c r="K6" i="5"/>
  <c r="L4" i="8"/>
  <c r="K6" i="8"/>
  <c r="O5" i="7"/>
  <c r="P5" i="7" s="1"/>
  <c r="N4" i="9"/>
  <c r="N5" i="9"/>
  <c r="M7" i="9"/>
  <c r="M6" i="9"/>
  <c r="J5" i="6"/>
  <c r="K4" i="6" s="1"/>
  <c r="O4" i="7"/>
  <c r="K4" i="8"/>
  <c r="N6" i="7"/>
  <c r="I5" i="8"/>
  <c r="J4" i="8" s="1"/>
  <c r="M6" i="7"/>
  <c r="K7" i="8"/>
  <c r="J5" i="5"/>
  <c r="K15" i="5" s="1"/>
  <c r="L4" i="6"/>
  <c r="L4" i="5"/>
  <c r="M7" i="5"/>
  <c r="K6" i="6"/>
  <c r="M6" i="5"/>
  <c r="N4" i="5"/>
  <c r="M6" i="3"/>
  <c r="K6" i="4"/>
  <c r="N4" i="4"/>
  <c r="L4" i="4"/>
  <c r="J5" i="4"/>
  <c r="I5" i="4" s="1"/>
  <c r="M6" i="4"/>
  <c r="N5" i="3"/>
  <c r="O5" i="3" s="1"/>
  <c r="P5" i="3" s="1"/>
  <c r="N4" i="3"/>
  <c r="K6" i="3"/>
  <c r="L4" i="3"/>
  <c r="J5" i="3"/>
  <c r="K7" i="3"/>
  <c r="O5" i="8" l="1"/>
  <c r="N6" i="8"/>
  <c r="N7" i="8"/>
  <c r="O4" i="8"/>
  <c r="J10" i="10"/>
  <c r="J14" i="7"/>
  <c r="K18" i="10"/>
  <c r="K19" i="10"/>
  <c r="M78" i="12"/>
  <c r="M25" i="10"/>
  <c r="O4" i="10"/>
  <c r="N7" i="10"/>
  <c r="N6" i="10"/>
  <c r="P139" i="12"/>
  <c r="P141" i="12" s="1"/>
  <c r="P94" i="12" s="1"/>
  <c r="O36" i="8"/>
  <c r="N6" i="5"/>
  <c r="O4" i="5"/>
  <c r="O5" i="5"/>
  <c r="O5" i="6"/>
  <c r="O6" i="6" s="1"/>
  <c r="N7" i="6"/>
  <c r="O4" i="6"/>
  <c r="M359" i="12"/>
  <c r="M365" i="12"/>
  <c r="M360" i="12" s="1"/>
  <c r="M347" i="12"/>
  <c r="M342" i="12" s="1"/>
  <c r="M366" i="12"/>
  <c r="M361" i="12" s="1"/>
  <c r="M348" i="12"/>
  <c r="M343" i="12" s="1"/>
  <c r="I344" i="4"/>
  <c r="F131" i="1" s="1"/>
  <c r="G131" i="1" s="1"/>
  <c r="L63" i="4"/>
  <c r="L162" i="4"/>
  <c r="I239" i="4"/>
  <c r="F125" i="1" s="1"/>
  <c r="G125" i="1" s="1"/>
  <c r="K49" i="8"/>
  <c r="K50" i="8" s="1"/>
  <c r="L133" i="4"/>
  <c r="I222" i="4"/>
  <c r="F124" i="1" s="1"/>
  <c r="G124" i="1" s="1"/>
  <c r="K25" i="8"/>
  <c r="K133" i="4"/>
  <c r="N126" i="12"/>
  <c r="N128" i="12" s="1"/>
  <c r="N30" i="8" s="1"/>
  <c r="M77" i="12"/>
  <c r="M12" i="7"/>
  <c r="L100" i="12"/>
  <c r="L102" i="12" s="1"/>
  <c r="L103" i="12" s="1"/>
  <c r="L104" i="12" s="1"/>
  <c r="L48" i="8"/>
  <c r="N121" i="12"/>
  <c r="N123" i="12" s="1"/>
  <c r="M29" i="8"/>
  <c r="M28" i="8"/>
  <c r="N116" i="12"/>
  <c r="N118" i="12" s="1"/>
  <c r="O14" i="12"/>
  <c r="N24" i="12"/>
  <c r="N13" i="7" s="1"/>
  <c r="N79" i="12" s="1"/>
  <c r="N10" i="7"/>
  <c r="N23" i="12"/>
  <c r="N11" i="7" s="1"/>
  <c r="L13" i="8"/>
  <c r="L25" i="8" s="1"/>
  <c r="L26" i="10" s="1"/>
  <c r="L112" i="12"/>
  <c r="L146" i="4"/>
  <c r="L67" i="5"/>
  <c r="L34" i="8"/>
  <c r="L38" i="8" s="1"/>
  <c r="M90" i="12"/>
  <c r="M21" i="8" s="1"/>
  <c r="M101" i="12"/>
  <c r="M45" i="8" s="1"/>
  <c r="M307" i="12"/>
  <c r="M302" i="12" s="1"/>
  <c r="M248" i="12"/>
  <c r="M243" i="12" s="1"/>
  <c r="M187" i="12"/>
  <c r="M182" i="12" s="1"/>
  <c r="M287" i="12"/>
  <c r="M282" i="12" s="1"/>
  <c r="M288" i="12"/>
  <c r="M283" i="12" s="1"/>
  <c r="M268" i="12"/>
  <c r="M263" i="12" s="1"/>
  <c r="M228" i="12"/>
  <c r="M223" i="12" s="1"/>
  <c r="M208" i="12"/>
  <c r="M203" i="12" s="1"/>
  <c r="M267" i="12"/>
  <c r="M262" i="12" s="1"/>
  <c r="M188" i="12"/>
  <c r="M183" i="12" s="1"/>
  <c r="M227" i="12"/>
  <c r="M222" i="12" s="1"/>
  <c r="M308" i="12"/>
  <c r="M303" i="12" s="1"/>
  <c r="M328" i="12"/>
  <c r="M323" i="12" s="1"/>
  <c r="M327" i="12"/>
  <c r="M322" i="12" s="1"/>
  <c r="M247" i="12"/>
  <c r="M242" i="12" s="1"/>
  <c r="M207" i="12"/>
  <c r="M202" i="12" s="1"/>
  <c r="L175" i="12"/>
  <c r="M181" i="12"/>
  <c r="O4" i="12"/>
  <c r="N6" i="12"/>
  <c r="O5" i="12"/>
  <c r="P4" i="12" s="1"/>
  <c r="L25" i="5"/>
  <c r="L13" i="7"/>
  <c r="L77" i="5"/>
  <c r="K25" i="5"/>
  <c r="K13" i="7"/>
  <c r="K77" i="5"/>
  <c r="L54" i="5"/>
  <c r="K11" i="7"/>
  <c r="K52" i="5"/>
  <c r="K55" i="5"/>
  <c r="L11" i="7"/>
  <c r="L55" i="5"/>
  <c r="L52" i="5"/>
  <c r="K156" i="4"/>
  <c r="K157" i="4" s="1"/>
  <c r="K158" i="4" s="1"/>
  <c r="K76" i="5"/>
  <c r="K54" i="5"/>
  <c r="L156" i="4"/>
  <c r="L76" i="5"/>
  <c r="K4" i="12"/>
  <c r="J7" i="9"/>
  <c r="K4" i="9"/>
  <c r="J6" i="12"/>
  <c r="K101" i="4"/>
  <c r="K103" i="4" s="1"/>
  <c r="K106" i="4" s="1"/>
  <c r="K110" i="4" s="1"/>
  <c r="K23" i="5"/>
  <c r="L101" i="4"/>
  <c r="L103" i="4" s="1"/>
  <c r="L106" i="4" s="1"/>
  <c r="L110" i="4" s="1"/>
  <c r="L23" i="5"/>
  <c r="J7" i="12"/>
  <c r="I5" i="9"/>
  <c r="J4" i="9" s="1"/>
  <c r="J7" i="10"/>
  <c r="J14" i="5"/>
  <c r="J152" i="12" s="1"/>
  <c r="N7" i="5"/>
  <c r="N15" i="5"/>
  <c r="N14" i="5"/>
  <c r="N152" i="12" s="1"/>
  <c r="I305" i="4"/>
  <c r="F122" i="1" s="1"/>
  <c r="G122" i="1" s="1"/>
  <c r="N6" i="4"/>
  <c r="J4" i="4"/>
  <c r="J7" i="4"/>
  <c r="O5" i="4"/>
  <c r="N7" i="4"/>
  <c r="I5" i="10"/>
  <c r="J4" i="10" s="1"/>
  <c r="J6" i="10"/>
  <c r="J6" i="6"/>
  <c r="J6" i="11"/>
  <c r="K4" i="11"/>
  <c r="J7" i="11"/>
  <c r="I5" i="11"/>
  <c r="J4" i="11" s="1"/>
  <c r="I5" i="7"/>
  <c r="J4" i="7" s="1"/>
  <c r="J7" i="7"/>
  <c r="J6" i="7"/>
  <c r="K4" i="7"/>
  <c r="P7" i="11"/>
  <c r="P6" i="11"/>
  <c r="Q4" i="11"/>
  <c r="Q5" i="11"/>
  <c r="O7" i="10"/>
  <c r="O6" i="10"/>
  <c r="P4" i="10"/>
  <c r="P5" i="10"/>
  <c r="J7" i="6"/>
  <c r="I5" i="6"/>
  <c r="J4" i="6" s="1"/>
  <c r="P4" i="7"/>
  <c r="O6" i="7"/>
  <c r="O7" i="7"/>
  <c r="O5" i="9"/>
  <c r="N7" i="9"/>
  <c r="N6" i="9"/>
  <c r="O4" i="9"/>
  <c r="J7" i="5"/>
  <c r="I5" i="5"/>
  <c r="J4" i="5" s="1"/>
  <c r="K4" i="5"/>
  <c r="J6" i="5"/>
  <c r="J6" i="4"/>
  <c r="Q5" i="7"/>
  <c r="P7" i="7"/>
  <c r="P6" i="7"/>
  <c r="Q4" i="7"/>
  <c r="P4" i="3"/>
  <c r="O7" i="3"/>
  <c r="O6" i="3"/>
  <c r="O4" i="3"/>
  <c r="K4" i="4"/>
  <c r="N6" i="3"/>
  <c r="N7" i="3"/>
  <c r="I5" i="3"/>
  <c r="J4" i="3" s="1"/>
  <c r="K4" i="3"/>
  <c r="J6" i="3"/>
  <c r="J7" i="3"/>
  <c r="P7" i="3"/>
  <c r="P6" i="3"/>
  <c r="Q4" i="3"/>
  <c r="Q5" i="3"/>
  <c r="O7" i="8" l="1"/>
  <c r="P5" i="8"/>
  <c r="O6" i="8"/>
  <c r="P4" i="8"/>
  <c r="J54" i="5"/>
  <c r="J55" i="5"/>
  <c r="J52" i="5"/>
  <c r="M91" i="12"/>
  <c r="M22" i="8" s="1"/>
  <c r="M100" i="12"/>
  <c r="M44" i="8" s="1"/>
  <c r="J11" i="10"/>
  <c r="J17" i="7"/>
  <c r="J21" i="7" s="1"/>
  <c r="K52" i="8"/>
  <c r="K26" i="10"/>
  <c r="L19" i="10"/>
  <c r="L18" i="10"/>
  <c r="L20" i="10"/>
  <c r="K12" i="7"/>
  <c r="K25" i="10"/>
  <c r="L12" i="7"/>
  <c r="L25" i="10"/>
  <c r="L24" i="10"/>
  <c r="L23" i="10"/>
  <c r="N78" i="12"/>
  <c r="N25" i="10"/>
  <c r="M88" i="12"/>
  <c r="M19" i="8" s="1"/>
  <c r="M14" i="7"/>
  <c r="M11" i="10" s="1"/>
  <c r="M10" i="10"/>
  <c r="P36" i="8"/>
  <c r="Q139" i="12"/>
  <c r="Q141" i="12" s="1"/>
  <c r="Q94" i="12" s="1"/>
  <c r="O6" i="5"/>
  <c r="O7" i="5"/>
  <c r="O15" i="5"/>
  <c r="O14" i="5"/>
  <c r="O152" i="12" s="1"/>
  <c r="O7" i="6"/>
  <c r="P4" i="6"/>
  <c r="P5" i="6"/>
  <c r="Q5" i="6" s="1"/>
  <c r="M173" i="12"/>
  <c r="M38" i="9" s="1"/>
  <c r="M416" i="12" s="1"/>
  <c r="M344" i="12"/>
  <c r="N341" i="12" s="1"/>
  <c r="N347" i="12"/>
  <c r="N342" i="12" s="1"/>
  <c r="N365" i="12"/>
  <c r="N360" i="12" s="1"/>
  <c r="N348" i="12"/>
  <c r="N343" i="12" s="1"/>
  <c r="N366" i="12"/>
  <c r="N361" i="12" s="1"/>
  <c r="M362" i="12"/>
  <c r="I162" i="4"/>
  <c r="L157" i="4"/>
  <c r="L158" i="4" s="1"/>
  <c r="L164" i="4" s="1"/>
  <c r="K160" i="4"/>
  <c r="K164" i="4"/>
  <c r="M204" i="12"/>
  <c r="N201" i="12" s="1"/>
  <c r="L49" i="8"/>
  <c r="L50" i="8" s="1"/>
  <c r="L52" i="8" s="1"/>
  <c r="O126" i="12"/>
  <c r="O128" i="12" s="1"/>
  <c r="P126" i="12" s="1"/>
  <c r="P128" i="12" s="1"/>
  <c r="M108" i="12"/>
  <c r="M110" i="12"/>
  <c r="N77" i="12"/>
  <c r="N12" i="7"/>
  <c r="O121" i="12"/>
  <c r="O123" i="12" s="1"/>
  <c r="N29" i="8"/>
  <c r="J178" i="12"/>
  <c r="F130" i="1" s="1"/>
  <c r="G130" i="1" s="1"/>
  <c r="N90" i="12"/>
  <c r="N21" i="8" s="1"/>
  <c r="N101" i="12"/>
  <c r="N45" i="8" s="1"/>
  <c r="O10" i="7"/>
  <c r="O23" i="12"/>
  <c r="O11" i="7" s="1"/>
  <c r="O24" i="12"/>
  <c r="O13" i="7" s="1"/>
  <c r="O79" i="12" s="1"/>
  <c r="P14" i="12"/>
  <c r="M324" i="12"/>
  <c r="N321" i="12" s="1"/>
  <c r="O116" i="12"/>
  <c r="O118" i="12" s="1"/>
  <c r="N28" i="8"/>
  <c r="M85" i="12"/>
  <c r="M16" i="8" s="1"/>
  <c r="M96" i="12"/>
  <c r="M40" i="8" s="1"/>
  <c r="M97" i="12"/>
  <c r="M41" i="8" s="1"/>
  <c r="M244" i="12"/>
  <c r="N241" i="12" s="1"/>
  <c r="M304" i="12"/>
  <c r="N301" i="12" s="1"/>
  <c r="M264" i="12"/>
  <c r="M276" i="12" s="1"/>
  <c r="M284" i="12"/>
  <c r="N281" i="12" s="1"/>
  <c r="M224" i="12"/>
  <c r="N221" i="12" s="1"/>
  <c r="M184" i="12"/>
  <c r="N181" i="12" s="1"/>
  <c r="M172" i="12"/>
  <c r="M174" i="12"/>
  <c r="M39" i="9" s="1"/>
  <c r="M417" i="12" s="1"/>
  <c r="N307" i="12"/>
  <c r="N302" i="12" s="1"/>
  <c r="N328" i="12"/>
  <c r="N323" i="12" s="1"/>
  <c r="N208" i="12"/>
  <c r="N203" i="12" s="1"/>
  <c r="N288" i="12"/>
  <c r="N283" i="12" s="1"/>
  <c r="N227" i="12"/>
  <c r="N222" i="12" s="1"/>
  <c r="N188" i="12"/>
  <c r="N183" i="12" s="1"/>
  <c r="N327" i="12"/>
  <c r="N322" i="12" s="1"/>
  <c r="N247" i="12"/>
  <c r="N242" i="12" s="1"/>
  <c r="N207" i="12"/>
  <c r="N202" i="12" s="1"/>
  <c r="N187" i="12"/>
  <c r="N182" i="12" s="1"/>
  <c r="N248" i="12"/>
  <c r="N243" i="12" s="1"/>
  <c r="N308" i="12"/>
  <c r="N303" i="12" s="1"/>
  <c r="N287" i="12"/>
  <c r="N282" i="12" s="1"/>
  <c r="N267" i="12"/>
  <c r="N262" i="12" s="1"/>
  <c r="N268" i="12"/>
  <c r="N263" i="12" s="1"/>
  <c r="N228" i="12"/>
  <c r="N223" i="12" s="1"/>
  <c r="P5" i="12"/>
  <c r="P7" i="12" s="1"/>
  <c r="O6" i="12"/>
  <c r="O7" i="12"/>
  <c r="K74" i="5"/>
  <c r="K75" i="5"/>
  <c r="L74" i="5"/>
  <c r="L75" i="5"/>
  <c r="J76" i="5"/>
  <c r="J77" i="5"/>
  <c r="P4" i="5"/>
  <c r="P5" i="5"/>
  <c r="Q4" i="5" s="1"/>
  <c r="L113" i="4"/>
  <c r="L114" i="4" s="1"/>
  <c r="L36" i="5"/>
  <c r="K113" i="4"/>
  <c r="K114" i="4" s="1"/>
  <c r="K36" i="5"/>
  <c r="J15" i="5"/>
  <c r="O7" i="4"/>
  <c r="P5" i="4"/>
  <c r="P4" i="4"/>
  <c r="O6" i="4"/>
  <c r="Q7" i="11"/>
  <c r="Q6" i="11"/>
  <c r="P7" i="10"/>
  <c r="P6" i="10"/>
  <c r="Q4" i="10"/>
  <c r="Q5" i="10"/>
  <c r="P5" i="9"/>
  <c r="O7" i="9"/>
  <c r="O6" i="9"/>
  <c r="P4" i="9"/>
  <c r="Q7" i="7"/>
  <c r="Q6" i="7"/>
  <c r="Q6" i="3"/>
  <c r="Q7" i="3"/>
  <c r="P7" i="8" l="1"/>
  <c r="P6" i="8"/>
  <c r="Q4" i="8"/>
  <c r="Q5" i="8"/>
  <c r="K10" i="10"/>
  <c r="K14" i="7"/>
  <c r="L10" i="10"/>
  <c r="L14" i="7"/>
  <c r="O365" i="12"/>
  <c r="O360" i="12" s="1"/>
  <c r="O308" i="12"/>
  <c r="O303" i="12" s="1"/>
  <c r="O287" i="12"/>
  <c r="O282" i="12" s="1"/>
  <c r="O267" i="12"/>
  <c r="O262" i="12" s="1"/>
  <c r="J15" i="10"/>
  <c r="J24" i="7"/>
  <c r="J12" i="10" s="1"/>
  <c r="N91" i="12"/>
  <c r="N22" i="8" s="1"/>
  <c r="N88" i="12"/>
  <c r="N19" i="8" s="1"/>
  <c r="N100" i="12"/>
  <c r="N44" i="8" s="1"/>
  <c r="O78" i="12"/>
  <c r="O25" i="10"/>
  <c r="O187" i="12"/>
  <c r="O182" i="12" s="1"/>
  <c r="O188" i="12"/>
  <c r="O183" i="12" s="1"/>
  <c r="N14" i="7"/>
  <c r="N11" i="10" s="1"/>
  <c r="N10" i="10"/>
  <c r="O328" i="12"/>
  <c r="O323" i="12" s="1"/>
  <c r="O288" i="12"/>
  <c r="O283" i="12" s="1"/>
  <c r="O348" i="12"/>
  <c r="O343" i="12" s="1"/>
  <c r="O207" i="12"/>
  <c r="O202" i="12" s="1"/>
  <c r="O327" i="12"/>
  <c r="O322" i="12" s="1"/>
  <c r="O208" i="12"/>
  <c r="O203" i="12" s="1"/>
  <c r="O347" i="12"/>
  <c r="O342" i="12" s="1"/>
  <c r="Q36" i="8"/>
  <c r="Q4" i="6"/>
  <c r="P6" i="6"/>
  <c r="P7" i="6"/>
  <c r="O248" i="12"/>
  <c r="O243" i="12" s="1"/>
  <c r="O307" i="12"/>
  <c r="O302" i="12" s="1"/>
  <c r="O227" i="12"/>
  <c r="O222" i="12" s="1"/>
  <c r="O228" i="12"/>
  <c r="O223" i="12" s="1"/>
  <c r="O366" i="12"/>
  <c r="O361" i="12" s="1"/>
  <c r="O247" i="12"/>
  <c r="O242" i="12" s="1"/>
  <c r="O268" i="12"/>
  <c r="O263" i="12" s="1"/>
  <c r="N173" i="12"/>
  <c r="N38" i="9" s="1"/>
  <c r="N416" i="12" s="1"/>
  <c r="N174" i="12"/>
  <c r="N39" i="9" s="1"/>
  <c r="N417" i="12" s="1"/>
  <c r="M356" i="12"/>
  <c r="N359" i="12"/>
  <c r="N362" i="12" s="1"/>
  <c r="M374" i="12"/>
  <c r="N344" i="12"/>
  <c r="I164" i="4"/>
  <c r="F119" i="1" s="1"/>
  <c r="G119" i="1" s="1"/>
  <c r="L160" i="4"/>
  <c r="J75" i="5"/>
  <c r="M216" i="12"/>
  <c r="O30" i="8"/>
  <c r="M336" i="12"/>
  <c r="M256" i="12"/>
  <c r="O101" i="12"/>
  <c r="O45" i="8" s="1"/>
  <c r="O90" i="12"/>
  <c r="O21" i="8" s="1"/>
  <c r="P121" i="12"/>
  <c r="P123" i="12" s="1"/>
  <c r="O29" i="8"/>
  <c r="Q126" i="12"/>
  <c r="Q128" i="12" s="1"/>
  <c r="Q30" i="8" s="1"/>
  <c r="P30" i="8"/>
  <c r="P10" i="7"/>
  <c r="Q14" i="12"/>
  <c r="P24" i="12"/>
  <c r="P13" i="7" s="1"/>
  <c r="P79" i="12" s="1"/>
  <c r="P23" i="12"/>
  <c r="P11" i="7" s="1"/>
  <c r="P116" i="12"/>
  <c r="P118" i="12" s="1"/>
  <c r="O28" i="8"/>
  <c r="M109" i="12"/>
  <c r="M29" i="9" s="1"/>
  <c r="M31" i="9" s="1"/>
  <c r="M411" i="12" s="1"/>
  <c r="M15" i="7"/>
  <c r="O77" i="12"/>
  <c r="O12" i="7"/>
  <c r="N96" i="12"/>
  <c r="N40" i="8" s="1"/>
  <c r="N97" i="12"/>
  <c r="N41" i="8" s="1"/>
  <c r="N85" i="12"/>
  <c r="N16" i="8" s="1"/>
  <c r="N261" i="12"/>
  <c r="N264" i="12" s="1"/>
  <c r="N276" i="12" s="1"/>
  <c r="M296" i="12"/>
  <c r="M316" i="12"/>
  <c r="N224" i="12"/>
  <c r="N236" i="12" s="1"/>
  <c r="M236" i="12"/>
  <c r="M196" i="12"/>
  <c r="N304" i="12"/>
  <c r="N184" i="12"/>
  <c r="M175" i="12"/>
  <c r="N204" i="12"/>
  <c r="N244" i="12"/>
  <c r="N324" i="12"/>
  <c r="N284" i="12"/>
  <c r="Q5" i="12"/>
  <c r="Q7" i="12" s="1"/>
  <c r="Q4" i="12"/>
  <c r="P6" i="12"/>
  <c r="J74" i="5"/>
  <c r="L51" i="5"/>
  <c r="L78" i="5"/>
  <c r="K51" i="5"/>
  <c r="K78" i="5"/>
  <c r="P14" i="5"/>
  <c r="P152" i="12" s="1"/>
  <c r="P15" i="5"/>
  <c r="Q5" i="5"/>
  <c r="Q6" i="5" s="1"/>
  <c r="P6" i="5"/>
  <c r="P7" i="5"/>
  <c r="P7" i="4"/>
  <c r="Q4" i="4"/>
  <c r="Q5" i="4"/>
  <c r="P6" i="4"/>
  <c r="Q7" i="10"/>
  <c r="Q6" i="10"/>
  <c r="Q5" i="9"/>
  <c r="P7" i="9"/>
  <c r="P6" i="9"/>
  <c r="Q4" i="9"/>
  <c r="Q7" i="6"/>
  <c r="Q6" i="6"/>
  <c r="Q7" i="8" l="1"/>
  <c r="Q6" i="8"/>
  <c r="L11" i="10"/>
  <c r="L17" i="7"/>
  <c r="L21" i="7" s="1"/>
  <c r="K17" i="7"/>
  <c r="K21" i="7" s="1"/>
  <c r="K11" i="10"/>
  <c r="J51" i="5"/>
  <c r="O88" i="12"/>
  <c r="O19" i="8" s="1"/>
  <c r="O100" i="12"/>
  <c r="O44" i="8" s="1"/>
  <c r="O91" i="12"/>
  <c r="O22" i="8" s="1"/>
  <c r="P78" i="12"/>
  <c r="P25" i="10"/>
  <c r="O14" i="7"/>
  <c r="O11" i="10" s="1"/>
  <c r="O10" i="10"/>
  <c r="O174" i="12"/>
  <c r="O39" i="9" s="1"/>
  <c r="O417" i="12" s="1"/>
  <c r="O173" i="12"/>
  <c r="O38" i="9" s="1"/>
  <c r="O416" i="12" s="1"/>
  <c r="M112" i="12"/>
  <c r="M177" i="12"/>
  <c r="M395" i="12" s="1"/>
  <c r="O359" i="12"/>
  <c r="O362" i="12" s="1"/>
  <c r="O374" i="12" s="1"/>
  <c r="O341" i="12"/>
  <c r="O344" i="12" s="1"/>
  <c r="O356" i="12" s="1"/>
  <c r="N356" i="12"/>
  <c r="P365" i="12"/>
  <c r="P360" i="12" s="1"/>
  <c r="P366" i="12"/>
  <c r="P361" i="12" s="1"/>
  <c r="P347" i="12"/>
  <c r="P342" i="12" s="1"/>
  <c r="P348" i="12"/>
  <c r="P343" i="12" s="1"/>
  <c r="N374" i="12"/>
  <c r="Q121" i="12"/>
  <c r="Q123" i="12" s="1"/>
  <c r="Q29" i="8" s="1"/>
  <c r="P29" i="8"/>
  <c r="O97" i="12"/>
  <c r="O41" i="8" s="1"/>
  <c r="O85" i="12"/>
  <c r="O16" i="8" s="1"/>
  <c r="O96" i="12"/>
  <c r="O40" i="8" s="1"/>
  <c r="M13" i="9"/>
  <c r="M17" i="7"/>
  <c r="M11" i="9" s="1"/>
  <c r="P101" i="12"/>
  <c r="P45" i="8" s="1"/>
  <c r="P90" i="12"/>
  <c r="P21" i="8" s="1"/>
  <c r="Q10" i="7"/>
  <c r="Q24" i="12"/>
  <c r="Q13" i="7" s="1"/>
  <c r="Q79" i="12" s="1"/>
  <c r="Q23" i="12"/>
  <c r="Q11" i="7" s="1"/>
  <c r="P77" i="12"/>
  <c r="P12" i="7"/>
  <c r="Q116" i="12"/>
  <c r="Q118" i="12" s="1"/>
  <c r="Q28" i="8" s="1"/>
  <c r="P28" i="8"/>
  <c r="O261" i="12"/>
  <c r="O264" i="12" s="1"/>
  <c r="O276" i="12" s="1"/>
  <c r="O221" i="12"/>
  <c r="O224" i="12" s="1"/>
  <c r="O236" i="12" s="1"/>
  <c r="N172" i="12"/>
  <c r="N175" i="12" s="1"/>
  <c r="M34" i="8"/>
  <c r="P307" i="12"/>
  <c r="P302" i="12" s="1"/>
  <c r="P308" i="12"/>
  <c r="P303" i="12" s="1"/>
  <c r="P188" i="12"/>
  <c r="P183" i="12" s="1"/>
  <c r="P327" i="12"/>
  <c r="P322" i="12" s="1"/>
  <c r="P228" i="12"/>
  <c r="P223" i="12" s="1"/>
  <c r="P207" i="12"/>
  <c r="P202" i="12" s="1"/>
  <c r="P287" i="12"/>
  <c r="P282" i="12" s="1"/>
  <c r="P267" i="12"/>
  <c r="P262" i="12" s="1"/>
  <c r="P247" i="12"/>
  <c r="P242" i="12" s="1"/>
  <c r="P227" i="12"/>
  <c r="P222" i="12" s="1"/>
  <c r="P248" i="12"/>
  <c r="P243" i="12" s="1"/>
  <c r="P187" i="12"/>
  <c r="P182" i="12" s="1"/>
  <c r="P268" i="12"/>
  <c r="P263" i="12" s="1"/>
  <c r="P328" i="12"/>
  <c r="P323" i="12" s="1"/>
  <c r="P208" i="12"/>
  <c r="P203" i="12" s="1"/>
  <c r="P288" i="12"/>
  <c r="P283" i="12" s="1"/>
  <c r="O241" i="12"/>
  <c r="O244" i="12" s="1"/>
  <c r="O256" i="12" s="1"/>
  <c r="N256" i="12"/>
  <c r="O281" i="12"/>
  <c r="O284" i="12" s="1"/>
  <c r="O296" i="12" s="1"/>
  <c r="N296" i="12"/>
  <c r="O201" i="12"/>
  <c r="O204" i="12" s="1"/>
  <c r="O216" i="12" s="1"/>
  <c r="N216" i="12"/>
  <c r="O181" i="12"/>
  <c r="O184" i="12" s="1"/>
  <c r="O196" i="12" s="1"/>
  <c r="N196" i="12"/>
  <c r="O321" i="12"/>
  <c r="O324" i="12" s="1"/>
  <c r="O336" i="12" s="1"/>
  <c r="N336" i="12"/>
  <c r="O301" i="12"/>
  <c r="O304" i="12" s="1"/>
  <c r="O316" i="12" s="1"/>
  <c r="N316" i="12"/>
  <c r="Q6" i="12"/>
  <c r="J78" i="5"/>
  <c r="I114" i="4"/>
  <c r="F121" i="1" s="1"/>
  <c r="Q15" i="5"/>
  <c r="Q7" i="5"/>
  <c r="Q14" i="5"/>
  <c r="Q152" i="12" s="1"/>
  <c r="Q7" i="4"/>
  <c r="Q6" i="4"/>
  <c r="Q7" i="9"/>
  <c r="Q6" i="9"/>
  <c r="L15" i="10" l="1"/>
  <c r="L24" i="7"/>
  <c r="L12" i="10" s="1"/>
  <c r="K24" i="7"/>
  <c r="K12" i="10" s="1"/>
  <c r="K15" i="10"/>
  <c r="P100" i="12"/>
  <c r="P44" i="8" s="1"/>
  <c r="P88" i="12"/>
  <c r="P19" i="8" s="1"/>
  <c r="P91" i="12"/>
  <c r="P22" i="8" s="1"/>
  <c r="Q78" i="12"/>
  <c r="Q25" i="10"/>
  <c r="P14" i="7"/>
  <c r="P11" i="10" s="1"/>
  <c r="P10" i="10"/>
  <c r="P173" i="12"/>
  <c r="P174" i="12"/>
  <c r="P39" i="9" s="1"/>
  <c r="P417" i="12" s="1"/>
  <c r="O177" i="12"/>
  <c r="O395" i="12" s="1"/>
  <c r="N177" i="12"/>
  <c r="N395" i="12" s="1"/>
  <c r="Q348" i="12"/>
  <c r="Q343" i="12" s="1"/>
  <c r="Q347" i="12"/>
  <c r="Q342" i="12" s="1"/>
  <c r="Q366" i="12"/>
  <c r="Q361" i="12" s="1"/>
  <c r="Q365" i="12"/>
  <c r="Q360" i="12" s="1"/>
  <c r="P341" i="12"/>
  <c r="P344" i="12" s="1"/>
  <c r="P356" i="12" s="1"/>
  <c r="P359" i="12"/>
  <c r="P362" i="12" s="1"/>
  <c r="P374" i="12" s="1"/>
  <c r="M15" i="9"/>
  <c r="P221" i="12"/>
  <c r="P224" i="12" s="1"/>
  <c r="P261" i="12"/>
  <c r="P264" i="12" s="1"/>
  <c r="N110" i="12"/>
  <c r="N108" i="12"/>
  <c r="M12" i="8"/>
  <c r="M13" i="8" s="1"/>
  <c r="Q101" i="12"/>
  <c r="Q45" i="8" s="1"/>
  <c r="Q90" i="12"/>
  <c r="Q21" i="8" s="1"/>
  <c r="Q77" i="12"/>
  <c r="Q12" i="7"/>
  <c r="P96" i="12"/>
  <c r="P40" i="8" s="1"/>
  <c r="P97" i="12"/>
  <c r="P41" i="8" s="1"/>
  <c r="P85" i="12"/>
  <c r="P16" i="8" s="1"/>
  <c r="O172" i="12"/>
  <c r="O175" i="12" s="1"/>
  <c r="N34" i="8"/>
  <c r="P281" i="12"/>
  <c r="P284" i="12" s="1"/>
  <c r="P296" i="12" s="1"/>
  <c r="P301" i="12"/>
  <c r="P304" i="12" s="1"/>
  <c r="P316" i="12" s="1"/>
  <c r="P241" i="12"/>
  <c r="P244" i="12" s="1"/>
  <c r="P256" i="12" s="1"/>
  <c r="P181" i="12"/>
  <c r="P184" i="12" s="1"/>
  <c r="P196" i="12" s="1"/>
  <c r="Q307" i="12"/>
  <c r="Q302" i="12" s="1"/>
  <c r="Q187" i="12"/>
  <c r="Q182" i="12" s="1"/>
  <c r="Q268" i="12"/>
  <c r="Q263" i="12" s="1"/>
  <c r="Q188" i="12"/>
  <c r="Q183" i="12" s="1"/>
  <c r="Q208" i="12"/>
  <c r="Q203" i="12" s="1"/>
  <c r="Q228" i="12"/>
  <c r="Q223" i="12" s="1"/>
  <c r="Q328" i="12"/>
  <c r="Q323" i="12" s="1"/>
  <c r="Q288" i="12"/>
  <c r="Q283" i="12" s="1"/>
  <c r="Q227" i="12"/>
  <c r="Q222" i="12" s="1"/>
  <c r="Q248" i="12"/>
  <c r="Q243" i="12" s="1"/>
  <c r="Q207" i="12"/>
  <c r="Q202" i="12" s="1"/>
  <c r="Q327" i="12"/>
  <c r="Q322" i="12" s="1"/>
  <c r="Q287" i="12"/>
  <c r="Q282" i="12" s="1"/>
  <c r="Q247" i="12"/>
  <c r="Q242" i="12" s="1"/>
  <c r="Q267" i="12"/>
  <c r="Q262" i="12" s="1"/>
  <c r="Q308" i="12"/>
  <c r="Q303" i="12" s="1"/>
  <c r="P321" i="12"/>
  <c r="P324" i="12" s="1"/>
  <c r="P336" i="12" s="1"/>
  <c r="P201" i="12"/>
  <c r="P204" i="12" s="1"/>
  <c r="G121" i="1"/>
  <c r="Q91" i="12" l="1"/>
  <c r="Q22" i="8" s="1"/>
  <c r="Q100" i="12"/>
  <c r="Q44" i="8" s="1"/>
  <c r="Q88" i="12"/>
  <c r="Q19" i="8" s="1"/>
  <c r="Q14" i="7"/>
  <c r="Q11" i="10" s="1"/>
  <c r="Q10" i="10"/>
  <c r="Q174" i="12"/>
  <c r="Q39" i="9" s="1"/>
  <c r="Q417" i="12" s="1"/>
  <c r="Q173" i="12"/>
  <c r="Q341" i="12"/>
  <c r="Q344" i="12" s="1"/>
  <c r="Q356" i="12" s="1"/>
  <c r="Q359" i="12"/>
  <c r="Q362" i="12" s="1"/>
  <c r="Q374" i="12" s="1"/>
  <c r="Q85" i="12"/>
  <c r="Q16" i="8" s="1"/>
  <c r="Q96" i="12"/>
  <c r="Q40" i="8" s="1"/>
  <c r="Q97" i="12"/>
  <c r="Q41" i="8" s="1"/>
  <c r="N109" i="12"/>
  <c r="N29" i="9" s="1"/>
  <c r="N31" i="9" s="1"/>
  <c r="N411" i="12" s="1"/>
  <c r="N15" i="7"/>
  <c r="P38" i="9"/>
  <c r="P416" i="12" s="1"/>
  <c r="P172" i="12"/>
  <c r="P175" i="12" s="1"/>
  <c r="O34" i="8"/>
  <c r="Q321" i="12"/>
  <c r="Q324" i="12" s="1"/>
  <c r="Q336" i="12" s="1"/>
  <c r="Q221" i="12"/>
  <c r="Q224" i="12" s="1"/>
  <c r="Q236" i="12" s="1"/>
  <c r="P236" i="12"/>
  <c r="Q181" i="12"/>
  <c r="Q184" i="12" s="1"/>
  <c r="Q196" i="12" s="1"/>
  <c r="Q281" i="12"/>
  <c r="Q284" i="12" s="1"/>
  <c r="Q296" i="12" s="1"/>
  <c r="Q201" i="12"/>
  <c r="Q204" i="12" s="1"/>
  <c r="Q216" i="12" s="1"/>
  <c r="Q261" i="12"/>
  <c r="Q264" i="12" s="1"/>
  <c r="Q276" i="12" s="1"/>
  <c r="P276" i="12"/>
  <c r="Q301" i="12"/>
  <c r="Q304" i="12" s="1"/>
  <c r="Q316" i="12" s="1"/>
  <c r="P216" i="12"/>
  <c r="Q241" i="12"/>
  <c r="Q244" i="12" s="1"/>
  <c r="Q256" i="12" s="1"/>
  <c r="N112" i="12" l="1"/>
  <c r="N12" i="8" s="1"/>
  <c r="N13" i="8" s="1"/>
  <c r="P177" i="12"/>
  <c r="P395" i="12" s="1"/>
  <c r="Q177" i="12"/>
  <c r="Q395" i="12" s="1"/>
  <c r="N13" i="9"/>
  <c r="N17" i="7"/>
  <c r="N11" i="9" s="1"/>
  <c r="Q172" i="12"/>
  <c r="Q175" i="12" s="1"/>
  <c r="P34" i="8"/>
  <c r="Q38" i="9"/>
  <c r="Q416" i="12" s="1"/>
  <c r="Q34" i="8" l="1"/>
  <c r="N15" i="9"/>
  <c r="O108" i="12"/>
  <c r="O110" i="12"/>
  <c r="O109" i="12" s="1"/>
  <c r="O29" i="9" s="1"/>
  <c r="O31" i="9" s="1"/>
  <c r="O411" i="12" s="1"/>
  <c r="O112" i="12" l="1"/>
  <c r="P110" i="12" s="1"/>
  <c r="O15" i="7"/>
  <c r="O13" i="9" s="1"/>
  <c r="O17" i="7" l="1"/>
  <c r="O11" i="9" s="1"/>
  <c r="O15" i="9" s="1"/>
  <c r="O12" i="8"/>
  <c r="O13" i="8" s="1"/>
  <c r="P108" i="12"/>
  <c r="P109" i="12"/>
  <c r="P29" i="9" s="1"/>
  <c r="P31" i="9" s="1"/>
  <c r="P411" i="12" s="1"/>
  <c r="P15" i="7"/>
  <c r="P112" i="12" l="1"/>
  <c r="P13" i="9"/>
  <c r="P17" i="7"/>
  <c r="P11" i="9" s="1"/>
  <c r="P15" i="9" l="1"/>
  <c r="Q110" i="12"/>
  <c r="Q108" i="12"/>
  <c r="P12" i="8"/>
  <c r="P13" i="8" s="1"/>
  <c r="Q109" i="12" l="1"/>
  <c r="Q29" i="9" s="1"/>
  <c r="Q31" i="9" s="1"/>
  <c r="Q411" i="12" s="1"/>
  <c r="Q15" i="7"/>
  <c r="Q112" i="12" l="1"/>
  <c r="Q12" i="8" s="1"/>
  <c r="Q13" i="8" s="1"/>
  <c r="Q13" i="9"/>
  <c r="Q17" i="7"/>
  <c r="Q11" i="9" s="1"/>
  <c r="Q15" i="9" l="1"/>
  <c r="F117" i="1" l="1"/>
  <c r="G117" i="1" s="1"/>
  <c r="M384" i="12" l="1"/>
  <c r="M394" i="12" s="1"/>
  <c r="M397" i="12" s="1"/>
  <c r="M19" i="7" s="1"/>
  <c r="M21" i="9" s="1"/>
  <c r="M391" i="12"/>
  <c r="M18" i="7" s="1"/>
  <c r="M20" i="9" s="1"/>
  <c r="M21" i="7" l="1"/>
  <c r="M42" i="12" l="1"/>
  <c r="M80" i="12"/>
  <c r="M44" i="12" l="1"/>
  <c r="M47" i="12" s="1"/>
  <c r="M22" i="7" s="1"/>
  <c r="M49" i="12"/>
  <c r="M99" i="12"/>
  <c r="M43" i="8" s="1"/>
  <c r="M98" i="12"/>
  <c r="M42" i="8" s="1"/>
  <c r="M24" i="9" l="1"/>
  <c r="M48" i="12"/>
  <c r="M23" i="7" s="1"/>
  <c r="M18" i="9" l="1"/>
  <c r="M95" i="12"/>
  <c r="M24" i="7"/>
  <c r="M12" i="10" s="1"/>
  <c r="M37" i="8" l="1"/>
  <c r="M38" i="8" s="1"/>
  <c r="M102" i="12"/>
  <c r="M133" i="12"/>
  <c r="M81" i="12"/>
  <c r="M87" i="12" s="1"/>
  <c r="M156" i="12"/>
  <c r="M92" i="12" l="1"/>
  <c r="M103" i="12" s="1"/>
  <c r="M18" i="8"/>
  <c r="M161" i="12"/>
  <c r="M166" i="12"/>
  <c r="M104" i="12" l="1"/>
  <c r="M16" i="9" s="1"/>
  <c r="M26" i="9" s="1"/>
  <c r="M134" i="12"/>
  <c r="M135" i="12" s="1"/>
  <c r="M162" i="12"/>
  <c r="M40" i="9" s="1"/>
  <c r="M31" i="8" l="1"/>
  <c r="M32" i="8" s="1"/>
  <c r="N132" i="12"/>
  <c r="M418" i="12"/>
  <c r="M163" i="12"/>
  <c r="M410" i="12"/>
  <c r="M23" i="10" l="1"/>
  <c r="M419" i="12"/>
  <c r="M427" i="12" s="1"/>
  <c r="M46" i="8"/>
  <c r="N160" i="12"/>
  <c r="M424" i="12" l="1"/>
  <c r="M425" i="12" s="1"/>
  <c r="M41" i="9" l="1"/>
  <c r="M43" i="9" s="1"/>
  <c r="M45" i="9" s="1"/>
  <c r="M49" i="9" s="1"/>
  <c r="M50" i="9" s="1"/>
  <c r="M47" i="8"/>
  <c r="N423" i="12"/>
  <c r="M405" i="12" l="1"/>
  <c r="M381" i="12"/>
  <c r="N384" i="12" s="1"/>
  <c r="N394" i="12" s="1"/>
  <c r="N397" i="12" s="1"/>
  <c r="N19" i="7" s="1"/>
  <c r="N21" i="9" s="1"/>
  <c r="M48" i="8"/>
  <c r="M49" i="8" s="1"/>
  <c r="M50" i="8" s="1"/>
  <c r="M406" i="12"/>
  <c r="M23" i="8"/>
  <c r="N48" i="9"/>
  <c r="M20" i="10" l="1"/>
  <c r="N404" i="12"/>
  <c r="M388" i="12"/>
  <c r="N391" i="12" s="1"/>
  <c r="N18" i="7" s="1"/>
  <c r="M24" i="8"/>
  <c r="M25" i="8" l="1"/>
  <c r="M19" i="10"/>
  <c r="M18" i="10"/>
  <c r="N20" i="9"/>
  <c r="N21" i="7"/>
  <c r="M24" i="10" l="1"/>
  <c r="M26" i="10"/>
  <c r="M52" i="8"/>
  <c r="M15" i="10"/>
  <c r="N42" i="12"/>
  <c r="N80" i="12"/>
  <c r="N99" i="12" l="1"/>
  <c r="N43" i="8" s="1"/>
  <c r="N98" i="12"/>
  <c r="N42" i="8" s="1"/>
  <c r="N49" i="12"/>
  <c r="N44" i="12"/>
  <c r="N47" i="12" s="1"/>
  <c r="N22" i="7" s="1"/>
  <c r="N48" i="12" l="1"/>
  <c r="N23" i="7" s="1"/>
  <c r="N18" i="9" s="1"/>
  <c r="N24" i="9"/>
  <c r="N24" i="7" l="1"/>
  <c r="N95" i="12"/>
  <c r="N102" i="12" s="1"/>
  <c r="N133" i="12" l="1"/>
  <c r="N12" i="10"/>
  <c r="N37" i="8"/>
  <c r="N38" i="8" s="1"/>
  <c r="N156" i="12"/>
  <c r="N166" i="12" s="1"/>
  <c r="N81" i="12"/>
  <c r="N87" i="12" s="1"/>
  <c r="N92" i="12" s="1"/>
  <c r="N103" i="12" s="1"/>
  <c r="N161" i="12" l="1"/>
  <c r="N162" i="12" s="1"/>
  <c r="N40" i="9" s="1"/>
  <c r="N18" i="8"/>
  <c r="N104" i="12"/>
  <c r="N16" i="9" s="1"/>
  <c r="N26" i="9" s="1"/>
  <c r="N134" i="12" l="1"/>
  <c r="N135" i="12" s="1"/>
  <c r="O132" i="12" s="1"/>
  <c r="N410" i="12"/>
  <c r="N418" i="12"/>
  <c r="N163" i="12"/>
  <c r="N31" i="8" l="1"/>
  <c r="N32" i="8" s="1"/>
  <c r="N46" i="8"/>
  <c r="O160" i="12"/>
  <c r="N419" i="12"/>
  <c r="N23" i="10" l="1"/>
  <c r="N424" i="12"/>
  <c r="N427" i="12"/>
  <c r="N41" i="9" l="1"/>
  <c r="N43" i="9" s="1"/>
  <c r="N45" i="9" s="1"/>
  <c r="N49" i="9" s="1"/>
  <c r="N425" i="12"/>
  <c r="O423" i="12" l="1"/>
  <c r="N47" i="8"/>
  <c r="N405" i="12"/>
  <c r="N50" i="9"/>
  <c r="N381" i="12" l="1"/>
  <c r="O384" i="12" s="1"/>
  <c r="O394" i="12" s="1"/>
  <c r="O397" i="12" s="1"/>
  <c r="O19" i="7" s="1"/>
  <c r="O21" i="9" s="1"/>
  <c r="N48" i="8"/>
  <c r="N49" i="8" s="1"/>
  <c r="N50" i="8" s="1"/>
  <c r="O48" i="9"/>
  <c r="N406" i="12"/>
  <c r="N23" i="8"/>
  <c r="N20" i="10" l="1"/>
  <c r="N388" i="12"/>
  <c r="O391" i="12" s="1"/>
  <c r="O18" i="7" s="1"/>
  <c r="N24" i="8"/>
  <c r="O404" i="12"/>
  <c r="N25" i="8" l="1"/>
  <c r="N19" i="10"/>
  <c r="N18" i="10"/>
  <c r="O20" i="9"/>
  <c r="O21" i="7"/>
  <c r="N24" i="10" l="1"/>
  <c r="N26" i="10"/>
  <c r="N52" i="8"/>
  <c r="N15" i="10"/>
  <c r="O42" i="12"/>
  <c r="O80" i="12"/>
  <c r="O44" i="12" l="1"/>
  <c r="O47" i="12" s="1"/>
  <c r="O22" i="7" s="1"/>
  <c r="O49" i="12"/>
  <c r="O99" i="12"/>
  <c r="O43" i="8" s="1"/>
  <c r="O98" i="12"/>
  <c r="O42" i="8" s="1"/>
  <c r="O48" i="12" l="1"/>
  <c r="O23" i="7" s="1"/>
  <c r="O18" i="9" s="1"/>
  <c r="O24" i="9"/>
  <c r="O24" i="7" l="1"/>
  <c r="O95" i="12"/>
  <c r="O37" i="8" s="1"/>
  <c r="O38" i="8" s="1"/>
  <c r="O81" i="12" l="1"/>
  <c r="O87" i="12" s="1"/>
  <c r="O18" i="8" s="1"/>
  <c r="O12" i="10"/>
  <c r="O102" i="12"/>
  <c r="O156" i="12"/>
  <c r="O166" i="12" s="1"/>
  <c r="O133" i="12"/>
  <c r="O92" i="12" l="1"/>
  <c r="O103" i="12" s="1"/>
  <c r="O104" i="12" s="1"/>
  <c r="O16" i="9" s="1"/>
  <c r="O26" i="9" s="1"/>
  <c r="O161" i="12"/>
  <c r="O134" i="12" s="1"/>
  <c r="O135" i="12" s="1"/>
  <c r="O162" i="12" l="1"/>
  <c r="O40" i="9" s="1"/>
  <c r="O418" i="12" s="1"/>
  <c r="O410" i="12"/>
  <c r="P132" i="12"/>
  <c r="O31" i="8"/>
  <c r="O32" i="8" s="1"/>
  <c r="O23" i="10" l="1"/>
  <c r="O163" i="12"/>
  <c r="P160" i="12" s="1"/>
  <c r="O419" i="12"/>
  <c r="O46" i="8" l="1"/>
  <c r="O424" i="12"/>
  <c r="O427" i="12"/>
  <c r="O41" i="9" l="1"/>
  <c r="O43" i="9" s="1"/>
  <c r="O45" i="9" s="1"/>
  <c r="O49" i="9" s="1"/>
  <c r="O425" i="12"/>
  <c r="O47" i="8" l="1"/>
  <c r="P423" i="12"/>
  <c r="O405" i="12"/>
  <c r="O50" i="9"/>
  <c r="O23" i="8" l="1"/>
  <c r="O406" i="12"/>
  <c r="P48" i="9"/>
  <c r="O381" i="12"/>
  <c r="P384" i="12" s="1"/>
  <c r="P394" i="12" s="1"/>
  <c r="P397" i="12" s="1"/>
  <c r="P19" i="7" s="1"/>
  <c r="P21" i="9" s="1"/>
  <c r="O48" i="8"/>
  <c r="O49" i="8" s="1"/>
  <c r="O50" i="8" s="1"/>
  <c r="O20" i="10" l="1"/>
  <c r="P404" i="12"/>
  <c r="O388" i="12"/>
  <c r="P391" i="12" s="1"/>
  <c r="P18" i="7" s="1"/>
  <c r="O24" i="8"/>
  <c r="O25" i="8" l="1"/>
  <c r="O19" i="10"/>
  <c r="O18" i="10"/>
  <c r="P20" i="9"/>
  <c r="P21" i="7"/>
  <c r="O24" i="10" l="1"/>
  <c r="O26" i="10"/>
  <c r="O52" i="8"/>
  <c r="O15" i="10"/>
  <c r="P42" i="12"/>
  <c r="P80" i="12"/>
  <c r="P99" i="12" l="1"/>
  <c r="P43" i="8" s="1"/>
  <c r="P98" i="12"/>
  <c r="P42" i="8" s="1"/>
  <c r="P49" i="12"/>
  <c r="P44" i="12"/>
  <c r="P47" i="12" s="1"/>
  <c r="P22" i="7" s="1"/>
  <c r="P24" i="9" l="1"/>
  <c r="P48" i="12"/>
  <c r="P23" i="7" s="1"/>
  <c r="P24" i="7" s="1"/>
  <c r="P12" i="10" s="1"/>
  <c r="P81" i="12" l="1"/>
  <c r="P87" i="12" s="1"/>
  <c r="P156" i="12"/>
  <c r="P133" i="12"/>
  <c r="P18" i="9"/>
  <c r="P95" i="12"/>
  <c r="P166" i="12" l="1"/>
  <c r="P161" i="12"/>
  <c r="P37" i="8"/>
  <c r="P38" i="8" s="1"/>
  <c r="P102" i="12"/>
  <c r="P18" i="8"/>
  <c r="P92" i="12"/>
  <c r="P103" i="12" l="1"/>
  <c r="P104" i="12" s="1"/>
  <c r="P16" i="9" s="1"/>
  <c r="P26" i="9" s="1"/>
  <c r="P134" i="12"/>
  <c r="P135" i="12" s="1"/>
  <c r="P162" i="12"/>
  <c r="P40" i="9" s="1"/>
  <c r="P163" i="12" l="1"/>
  <c r="P46" i="8" s="1"/>
  <c r="P31" i="8"/>
  <c r="P32" i="8" s="1"/>
  <c r="Q132" i="12"/>
  <c r="P410" i="12"/>
  <c r="P418" i="12"/>
  <c r="P23" i="10" l="1"/>
  <c r="Q160" i="12"/>
  <c r="P419" i="12"/>
  <c r="P427" i="12" l="1"/>
  <c r="P424" i="12"/>
  <c r="P41" i="9" l="1"/>
  <c r="P43" i="9" s="1"/>
  <c r="P45" i="9" s="1"/>
  <c r="P49" i="9" s="1"/>
  <c r="P425" i="12"/>
  <c r="Q423" i="12" l="1"/>
  <c r="P47" i="8"/>
  <c r="P405" i="12"/>
  <c r="P50" i="9"/>
  <c r="P381" i="12" l="1"/>
  <c r="Q384" i="12" s="1"/>
  <c r="Q394" i="12" s="1"/>
  <c r="Q397" i="12" s="1"/>
  <c r="Q19" i="7" s="1"/>
  <c r="Q21" i="9" s="1"/>
  <c r="P48" i="8"/>
  <c r="P49" i="8" s="1"/>
  <c r="P50" i="8" s="1"/>
  <c r="Q48" i="9"/>
  <c r="P406" i="12"/>
  <c r="P23" i="8"/>
  <c r="P20" i="10" l="1"/>
  <c r="P388" i="12"/>
  <c r="Q391" i="12" s="1"/>
  <c r="Q18" i="7" s="1"/>
  <c r="P24" i="8"/>
  <c r="Q404" i="12"/>
  <c r="P25" i="8" l="1"/>
  <c r="P19" i="10"/>
  <c r="P18" i="10"/>
  <c r="Q20" i="9"/>
  <c r="Q21" i="7"/>
  <c r="P24" i="10" l="1"/>
  <c r="P26" i="10"/>
  <c r="P52" i="8"/>
  <c r="P15" i="10"/>
  <c r="Q80" i="12"/>
  <c r="Q42" i="12"/>
  <c r="Q49" i="12" l="1"/>
  <c r="Q44" i="12"/>
  <c r="Q47" i="12" s="1"/>
  <c r="Q22" i="7" s="1"/>
  <c r="Q99" i="12"/>
  <c r="Q43" i="8" s="1"/>
  <c r="Q98" i="12"/>
  <c r="Q42" i="8" s="1"/>
  <c r="Q48" i="12" l="1"/>
  <c r="Q23" i="7" s="1"/>
  <c r="Q18" i="9" s="1"/>
  <c r="Q24" i="9"/>
  <c r="Q95" i="12" l="1"/>
  <c r="Q102" i="12" s="1"/>
  <c r="Q24" i="7"/>
  <c r="Q81" i="12" l="1"/>
  <c r="Q87" i="12" s="1"/>
  <c r="Q12" i="10"/>
  <c r="Q156" i="12"/>
  <c r="Q161" i="12" s="1"/>
  <c r="Q133" i="12"/>
  <c r="Q37" i="8"/>
  <c r="Q38" i="8" s="1"/>
  <c r="Q18" i="8" l="1"/>
  <c r="Q92" i="12"/>
  <c r="Q103" i="12" s="1"/>
  <c r="Q104" i="12" s="1"/>
  <c r="Q16" i="9" s="1"/>
  <c r="Q26" i="9" s="1"/>
  <c r="Q410" i="12" s="1"/>
  <c r="Q166" i="12"/>
  <c r="Q162" i="12" s="1"/>
  <c r="Q40" i="9" s="1"/>
  <c r="Q134" i="12"/>
  <c r="Q135" i="12" s="1"/>
  <c r="Q31" i="8" s="1"/>
  <c r="Q32" i="8" s="1"/>
  <c r="Q23" i="10" l="1"/>
  <c r="Q163" i="12"/>
  <c r="Q46" i="8" s="1"/>
  <c r="Q418" i="12"/>
  <c r="Q419" i="12" s="1"/>
  <c r="Q427" i="12" l="1"/>
  <c r="Q424" i="12"/>
  <c r="Q41" i="9" l="1"/>
  <c r="Q43" i="9" s="1"/>
  <c r="Q45" i="9" s="1"/>
  <c r="Q49" i="9" s="1"/>
  <c r="Q425" i="12"/>
  <c r="Q47" i="8" s="1"/>
  <c r="Q381" i="12" l="1"/>
  <c r="Q48" i="8"/>
  <c r="Q49" i="8" s="1"/>
  <c r="Q50" i="8" s="1"/>
  <c r="Q405" i="12"/>
  <c r="Q50" i="9"/>
  <c r="Q23" i="8" l="1"/>
  <c r="Q20" i="10" s="1"/>
  <c r="Q406" i="12"/>
  <c r="Q388" i="12" l="1"/>
  <c r="Q24" i="8"/>
  <c r="Q25" i="8" l="1"/>
  <c r="Q18" i="10"/>
  <c r="Q19" i="10"/>
  <c r="Q24" i="10" l="1"/>
  <c r="Q26" i="10"/>
  <c r="Q52" i="8"/>
  <c r="I52" i="8" s="1"/>
  <c r="F129" i="1" s="1"/>
  <c r="G129" i="1" s="1"/>
  <c r="Q15" i="10"/>
  <c r="F133" i="1" l="1"/>
  <c r="G133" i="1" s="1"/>
  <c r="D5" i="11" l="1"/>
  <c r="D5" i="5"/>
  <c r="D5" i="4"/>
  <c r="D5" i="7"/>
  <c r="D5" i="9"/>
  <c r="D5" i="3"/>
  <c r="D5" i="8"/>
  <c r="D5" i="12"/>
  <c r="D5" i="10"/>
  <c r="D5" i="6"/>
  <c r="E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<sst xmlns="http://schemas.openxmlformats.org/spreadsheetml/2006/main" count="981" uniqueCount="517">
  <si>
    <t>Model Details</t>
  </si>
  <si>
    <t>Company Information</t>
  </si>
  <si>
    <t>Model Information</t>
  </si>
  <si>
    <t>Model Structure &amp; Navigation</t>
  </si>
  <si>
    <t>Major   Timings</t>
  </si>
  <si>
    <t>Sheet Structure</t>
  </si>
  <si>
    <t>Model Style Guide</t>
  </si>
  <si>
    <t>Style Guide</t>
  </si>
  <si>
    <t>Names</t>
  </si>
  <si>
    <t>Company Name</t>
  </si>
  <si>
    <t>Purpose of the Model</t>
  </si>
  <si>
    <t>Industry</t>
  </si>
  <si>
    <t>Location</t>
  </si>
  <si>
    <t>Nestle Nigeria</t>
  </si>
  <si>
    <t>Support 5 year strategic plan</t>
  </si>
  <si>
    <t>FMCG</t>
  </si>
  <si>
    <t>Nigeria</t>
  </si>
  <si>
    <t>Model Owner</t>
  </si>
  <si>
    <t>Currency</t>
  </si>
  <si>
    <t>Circularity in Model</t>
  </si>
  <si>
    <t>Iteration Toggle</t>
  </si>
  <si>
    <t>Srategic mgt team</t>
  </si>
  <si>
    <t>Version</t>
  </si>
  <si>
    <t>Last Updated</t>
  </si>
  <si>
    <t>Current Modeler</t>
  </si>
  <si>
    <t>Latest Historical Financials end Date</t>
  </si>
  <si>
    <t>Model Forecast period</t>
  </si>
  <si>
    <t>Months in the Year</t>
  </si>
  <si>
    <t>Months in each time period</t>
  </si>
  <si>
    <t>Historical Financial Year</t>
  </si>
  <si>
    <t>Forecast Period End Year</t>
  </si>
  <si>
    <t xml:space="preserve"> Cover</t>
  </si>
  <si>
    <t>Guide</t>
  </si>
  <si>
    <t>Summary</t>
  </si>
  <si>
    <t>Hist</t>
  </si>
  <si>
    <t>Inputs</t>
  </si>
  <si>
    <t>PL</t>
  </si>
  <si>
    <t>BS</t>
  </si>
  <si>
    <t>CF</t>
  </si>
  <si>
    <t>Input Cells</t>
  </si>
  <si>
    <t>Linked Cells</t>
  </si>
  <si>
    <t>Formula Cells</t>
  </si>
  <si>
    <t>Historical Cells</t>
  </si>
  <si>
    <t>Percent Cells</t>
  </si>
  <si>
    <t>Subtotal Cells</t>
  </si>
  <si>
    <t>Total cells</t>
  </si>
  <si>
    <t>Multiples Cells</t>
  </si>
  <si>
    <t>Names used in the Model</t>
  </si>
  <si>
    <t>Title Cells</t>
  </si>
  <si>
    <t>Sub-title Cells</t>
  </si>
  <si>
    <t>Heading 1</t>
  </si>
  <si>
    <t>Heading 2</t>
  </si>
  <si>
    <t>Table Headers</t>
  </si>
  <si>
    <t>FLAG: TRUE</t>
  </si>
  <si>
    <t>FLAG: FALSE</t>
  </si>
  <si>
    <t>Blank style</t>
  </si>
  <si>
    <t>Glossary</t>
  </si>
  <si>
    <t>Key Terms</t>
  </si>
  <si>
    <t>Summary Audit Control</t>
  </si>
  <si>
    <t>Model Audit Checks</t>
  </si>
  <si>
    <t>Version Control</t>
  </si>
  <si>
    <t>Change Log</t>
  </si>
  <si>
    <t>Description</t>
  </si>
  <si>
    <t>company</t>
  </si>
  <si>
    <t>=Guide!$E$11</t>
  </si>
  <si>
    <t>Last_updated</t>
  </si>
  <si>
    <t>=Guide!$E$22</t>
  </si>
  <si>
    <t>Modeler</t>
  </si>
  <si>
    <t>=Guide!$E$23</t>
  </si>
  <si>
    <t>models</t>
  </si>
  <si>
    <t>=Guide!$B$49</t>
  </si>
  <si>
    <t>=Guide!$E$21</t>
  </si>
  <si>
    <t>IS</t>
  </si>
  <si>
    <t>EBIT</t>
  </si>
  <si>
    <t>EBITDA</t>
  </si>
  <si>
    <t>Base Year</t>
  </si>
  <si>
    <t>Term</t>
  </si>
  <si>
    <t>Income Statement</t>
  </si>
  <si>
    <t>Profit and Loss Statement</t>
  </si>
  <si>
    <t>Balance Sheet</t>
  </si>
  <si>
    <t>Cashflow Statement</t>
  </si>
  <si>
    <t xml:space="preserve">Earnings Before Interest and Taxes </t>
  </si>
  <si>
    <t>Earnings Before Interest, Taxes, Depreciatiton and Amortistion</t>
  </si>
  <si>
    <t>Fast Moving Consumer Goods</t>
  </si>
  <si>
    <t>Last audited records</t>
  </si>
  <si>
    <t>Model Check Description</t>
  </si>
  <si>
    <t>Error Count</t>
  </si>
  <si>
    <t>Status</t>
  </si>
  <si>
    <t>Base (Historical) BS Check</t>
  </si>
  <si>
    <t>Base (Historical) BS Solvency Check</t>
  </si>
  <si>
    <t>Restructured (Historical) BS Check</t>
  </si>
  <si>
    <t>Restructured BS Solvency Check</t>
  </si>
  <si>
    <t>Version ID</t>
  </si>
  <si>
    <t>Date Modified</t>
  </si>
  <si>
    <t>Change Type</t>
  </si>
  <si>
    <t>Description Changes Made</t>
  </si>
  <si>
    <t>Ver 1.01.</t>
  </si>
  <si>
    <t>Opeoluwa Kuku</t>
  </si>
  <si>
    <t>Assumption</t>
  </si>
  <si>
    <t>Ω</t>
  </si>
  <si>
    <t>This section highlights general information about the company being modeled and technical information about thee project</t>
  </si>
  <si>
    <t>This style guide will help  you efficiently navigate through and interprete sections of this model</t>
  </si>
  <si>
    <t>This contains the names of named cells contained in the model, it comes in handy for auditing exercises</t>
  </si>
  <si>
    <t>Key terms and definitions</t>
  </si>
  <si>
    <t>This section contains the summary of each section</t>
  </si>
  <si>
    <t>This section documents the different changes to the model, to track versions efficiently</t>
  </si>
  <si>
    <t>Units</t>
  </si>
  <si>
    <t>Row Totals</t>
  </si>
  <si>
    <t>Proj</t>
  </si>
  <si>
    <t>End Date</t>
  </si>
  <si>
    <t>Start Date</t>
  </si>
  <si>
    <t>WIP:</t>
  </si>
  <si>
    <t>Live Scenario yet to be automated</t>
  </si>
  <si>
    <t xml:space="preserve">Audit Check </t>
  </si>
  <si>
    <t>Actual</t>
  </si>
  <si>
    <t>Forecast</t>
  </si>
  <si>
    <t>Valuation Analysis</t>
  </si>
  <si>
    <t>Ratio Analysis</t>
  </si>
  <si>
    <t>Cash Flow Statement</t>
  </si>
  <si>
    <t>Calculatios</t>
  </si>
  <si>
    <t>Scenario Inputs</t>
  </si>
  <si>
    <t>Inputs &amp; Assumptions</t>
  </si>
  <si>
    <t>Historicals &amp; Restructured Financials</t>
  </si>
  <si>
    <t>Calculations</t>
  </si>
  <si>
    <t xml:space="preserve">Revenue </t>
  </si>
  <si>
    <t xml:space="preserve">Cost of sales </t>
  </si>
  <si>
    <t xml:space="preserve">Gross Profit </t>
  </si>
  <si>
    <t xml:space="preserve">Marketing and distribution expenses </t>
  </si>
  <si>
    <t xml:space="preserve">Administrative expenses </t>
  </si>
  <si>
    <t xml:space="preserve">Results from operating activities </t>
  </si>
  <si>
    <t xml:space="preserve">Finance income </t>
  </si>
  <si>
    <t xml:space="preserve">Finance costs </t>
  </si>
  <si>
    <t xml:space="preserve">Net finance cost </t>
  </si>
  <si>
    <t xml:space="preserve">Profit before income tax </t>
  </si>
  <si>
    <t xml:space="preserve">Income tax expense </t>
  </si>
  <si>
    <t xml:space="preserve">Profit for the year </t>
  </si>
  <si>
    <t>Statement of Profit or loss and other Comprehensive Income</t>
  </si>
  <si>
    <t>Statement of Financial Position</t>
  </si>
  <si>
    <t>Assets</t>
  </si>
  <si>
    <t xml:space="preserve">Property, plant and equipment </t>
  </si>
  <si>
    <t xml:space="preserve">Right of Use Assets </t>
  </si>
  <si>
    <t xml:space="preserve">Long term receivables </t>
  </si>
  <si>
    <t xml:space="preserve">Total non-current assets </t>
  </si>
  <si>
    <t xml:space="preserve">Inventories </t>
  </si>
  <si>
    <t xml:space="preserve">Right of return assets </t>
  </si>
  <si>
    <t xml:space="preserve">Trade and other receivables </t>
  </si>
  <si>
    <t xml:space="preserve">Prepayments </t>
  </si>
  <si>
    <t xml:space="preserve">Total current assets </t>
  </si>
  <si>
    <t xml:space="preserve">Total assets </t>
  </si>
  <si>
    <t>Equity</t>
  </si>
  <si>
    <t xml:space="preserve">Share capital </t>
  </si>
  <si>
    <t xml:space="preserve">Share premium </t>
  </si>
  <si>
    <t xml:space="preserve">Share based payment reserve </t>
  </si>
  <si>
    <t xml:space="preserve">Retained earnings </t>
  </si>
  <si>
    <t xml:space="preserve">Total Equity </t>
  </si>
  <si>
    <t>Liabilities</t>
  </si>
  <si>
    <t xml:space="preserve">Employee benefits </t>
  </si>
  <si>
    <t xml:space="preserve">Deferred tax liabilities </t>
  </si>
  <si>
    <t xml:space="preserve">Total non- current liabilities </t>
  </si>
  <si>
    <t xml:space="preserve">Trade and other payables </t>
  </si>
  <si>
    <t xml:space="preserve">Contract liabilities </t>
  </si>
  <si>
    <t xml:space="preserve">Refund liabilities </t>
  </si>
  <si>
    <t xml:space="preserve">Bank Overdraft </t>
  </si>
  <si>
    <t xml:space="preserve">Current tax liabilities </t>
  </si>
  <si>
    <t xml:space="preserve">Provisions </t>
  </si>
  <si>
    <t xml:space="preserve">Total current liabilities </t>
  </si>
  <si>
    <t xml:space="preserve">Total liabilities </t>
  </si>
  <si>
    <t xml:space="preserve">Total equity and liabilities </t>
  </si>
  <si>
    <t>Financial Summary</t>
  </si>
  <si>
    <t>The financial information presented reflects historical summaries based on International Financial Reporting Standards.</t>
  </si>
  <si>
    <t>Funds Employed</t>
  </si>
  <si>
    <t>Share Capital</t>
  </si>
  <si>
    <t>Share Premium</t>
  </si>
  <si>
    <t>Share based payment reserve</t>
  </si>
  <si>
    <t>Retained Earnings</t>
  </si>
  <si>
    <t>Shareholder's Fund</t>
  </si>
  <si>
    <t>Current Liabilities</t>
  </si>
  <si>
    <t>Non-current Liabilities</t>
  </si>
  <si>
    <t>Asset Employed</t>
  </si>
  <si>
    <t>Non Current assets</t>
  </si>
  <si>
    <t>Current assets</t>
  </si>
  <si>
    <t>Revenue</t>
  </si>
  <si>
    <t>Profit before income tax</t>
  </si>
  <si>
    <t>Profit for the year</t>
  </si>
  <si>
    <t>Other comprehensive income, net of tax</t>
  </si>
  <si>
    <t>Declared dividend*</t>
  </si>
  <si>
    <t>Per 50k share data:</t>
  </si>
  <si>
    <t>Basic earnings per share</t>
  </si>
  <si>
    <t>Diluted earnings per share</t>
  </si>
  <si>
    <t>Declared dividend per share</t>
  </si>
  <si>
    <t>Net assets per share</t>
  </si>
  <si>
    <t>Financial Statements - Per Audit</t>
  </si>
  <si>
    <t>These are the financial statement numbers extracted from the latest audited accounts (As is)</t>
  </si>
  <si>
    <t>₦/share</t>
  </si>
  <si>
    <t>Financial Statement Normalized</t>
  </si>
  <si>
    <t>Statement of Profit or Loss</t>
  </si>
  <si>
    <t>Gross Profit</t>
  </si>
  <si>
    <t>Depreciation</t>
  </si>
  <si>
    <t>Impairement</t>
  </si>
  <si>
    <t>Interest income</t>
  </si>
  <si>
    <t>EBT</t>
  </si>
  <si>
    <t>Tax Expense</t>
  </si>
  <si>
    <t>Interest Expense</t>
  </si>
  <si>
    <t>Deferred Taxes</t>
  </si>
  <si>
    <t>Net Profit</t>
  </si>
  <si>
    <t>SG&amp;A Expenses</t>
  </si>
  <si>
    <t>Financial Statements - Notes for Restructuring</t>
  </si>
  <si>
    <t>PL - Notes for Restructuring</t>
  </si>
  <si>
    <t>Cost of Sales</t>
  </si>
  <si>
    <t>Value per Audit</t>
  </si>
  <si>
    <t>Restructure Value</t>
  </si>
  <si>
    <t>Restructured Value</t>
  </si>
  <si>
    <t xml:space="preserve">Impairment </t>
  </si>
  <si>
    <t>Interest Income</t>
  </si>
  <si>
    <t>Plant and Machinery</t>
  </si>
  <si>
    <t>Furniture and Fittings</t>
  </si>
  <si>
    <t>IT Equipments</t>
  </si>
  <si>
    <t>Motor vehicle</t>
  </si>
  <si>
    <t>Motor Vehicle</t>
  </si>
  <si>
    <t>Less Depreciation</t>
  </si>
  <si>
    <t>Less Impairment</t>
  </si>
  <si>
    <t>Adjustment: Not Required</t>
  </si>
  <si>
    <t>Note   10, page 55</t>
  </si>
  <si>
    <t>Note 15a Page 56</t>
  </si>
  <si>
    <t>Less:Net Foreign Exchange Loss</t>
  </si>
  <si>
    <t>Restructure  Value</t>
  </si>
  <si>
    <t>Current Tax Expense</t>
  </si>
  <si>
    <t>Current Taxes</t>
  </si>
  <si>
    <t>Restructured P/Lvs Audit check</t>
  </si>
  <si>
    <t>Reconciliation to audited accounts</t>
  </si>
  <si>
    <t>Non - Current Assets</t>
  </si>
  <si>
    <t>BS - Notes for Restructuring</t>
  </si>
  <si>
    <t>Property  Plant &amp; Equipment</t>
  </si>
  <si>
    <t>Per Audit</t>
  </si>
  <si>
    <t>Trade  &amp; Other Receivables</t>
  </si>
  <si>
    <t>Trade receivables</t>
  </si>
  <si>
    <t>Loans to key management personnel</t>
  </si>
  <si>
    <t>Staff loans</t>
  </si>
  <si>
    <t>Trade receivables due from related parties</t>
  </si>
  <si>
    <t>Deposit with Company registrars for dividend</t>
  </si>
  <si>
    <t>Allowance for expected credit losses</t>
  </si>
  <si>
    <t>Advance payment to suppliers</t>
  </si>
  <si>
    <t>Deposit for Import</t>
  </si>
  <si>
    <t>Other receivables</t>
  </si>
  <si>
    <t>Trade Receivables</t>
  </si>
  <si>
    <t>Staff Loans</t>
  </si>
  <si>
    <t>Total Restructured value</t>
  </si>
  <si>
    <t>Reconciliation</t>
  </si>
  <si>
    <t>Prepayments</t>
  </si>
  <si>
    <t>Other Current Assets</t>
  </si>
  <si>
    <t>per Audit</t>
  </si>
  <si>
    <t>Other Current Liabillities</t>
  </si>
  <si>
    <t>Trade and Other Payables</t>
  </si>
  <si>
    <t>Trade payables</t>
  </si>
  <si>
    <t>Other payables and accruals</t>
  </si>
  <si>
    <t>Trade payables due to related parties</t>
  </si>
  <si>
    <t>Dividend payable</t>
  </si>
  <si>
    <t>Trade Payables</t>
  </si>
  <si>
    <t>Loans and Borrowings</t>
  </si>
  <si>
    <t>Non-Current Loans and Borrowings</t>
  </si>
  <si>
    <t>Current Loans and Borrowings</t>
  </si>
  <si>
    <t>Name of the Loans</t>
  </si>
  <si>
    <t>Due Year</t>
  </si>
  <si>
    <t>Category</t>
  </si>
  <si>
    <t>Benchmark</t>
  </si>
  <si>
    <t xml:space="preserve">Rate </t>
  </si>
  <si>
    <t>Loan from related party</t>
  </si>
  <si>
    <t>Floating</t>
  </si>
  <si>
    <t>Fixed</t>
  </si>
  <si>
    <t>Amount(2019)</t>
  </si>
  <si>
    <t>Cash and Revolver(Overdraft)</t>
  </si>
  <si>
    <t>Total Loans and Borrowings</t>
  </si>
  <si>
    <t>Restructured</t>
  </si>
  <si>
    <t>PP&amp;E</t>
  </si>
  <si>
    <t>Total Non-Current Assets</t>
  </si>
  <si>
    <t xml:space="preserve"> Current Assets</t>
  </si>
  <si>
    <t>Total Prepayments</t>
  </si>
  <si>
    <t>Total Current Assets</t>
  </si>
  <si>
    <t>Total Assets</t>
  </si>
  <si>
    <t>Liability &amp; Equity</t>
  </si>
  <si>
    <t>Total Equity</t>
  </si>
  <si>
    <t>Non - Current Liabilities</t>
  </si>
  <si>
    <t>Total Non - Current Liabilities</t>
  </si>
  <si>
    <t>Total Current Liabilities</t>
  </si>
  <si>
    <t>Total Liabilities</t>
  </si>
  <si>
    <t>Total Equity &amp; Liabilities</t>
  </si>
  <si>
    <t>Recon Check</t>
  </si>
  <si>
    <t>General Assumptions</t>
  </si>
  <si>
    <t>Assumptions in  this section generally affect multiple sections and calculations  of the financial model</t>
  </si>
  <si>
    <t>Timings and Counters</t>
  </si>
  <si>
    <t>Simple Counter</t>
  </si>
  <si>
    <t>Year</t>
  </si>
  <si>
    <t>Days in the year</t>
  </si>
  <si>
    <t>Days</t>
  </si>
  <si>
    <t>Counter</t>
  </si>
  <si>
    <t>Profit Or Loss Assumptions</t>
  </si>
  <si>
    <t>% of Revenue</t>
  </si>
  <si>
    <t>% of previous PP&amp;E</t>
  </si>
  <si>
    <t>Fixed amount</t>
  </si>
  <si>
    <t>Total Tax</t>
  </si>
  <si>
    <t>Effective Tax Rate</t>
  </si>
  <si>
    <t>Statutory Tax Rate</t>
  </si>
  <si>
    <t>Implied reduction on EBT based on govt financials</t>
  </si>
  <si>
    <t>Balance Sheet Assumptions</t>
  </si>
  <si>
    <t>Maintanable Capex</t>
  </si>
  <si>
    <t>replacing currentt capex for maintaining production</t>
  </si>
  <si>
    <t>Incremental Capex</t>
  </si>
  <si>
    <t>Inflation factor</t>
  </si>
  <si>
    <t>Fixed factor</t>
  </si>
  <si>
    <t>You can also use historicals for determining the rate at which a business acquires new properties every year and use sales as the driver… e.g fast food restaurants and new locations</t>
  </si>
  <si>
    <t>predictive power, should idealy be under 1%</t>
  </si>
  <si>
    <t>Ending Balance</t>
  </si>
  <si>
    <t>% EAT</t>
  </si>
  <si>
    <t>% SG&amp;A</t>
  </si>
  <si>
    <t>&amp; COGS</t>
  </si>
  <si>
    <t>% of revenues</t>
  </si>
  <si>
    <t>%  of Revs</t>
  </si>
  <si>
    <t>% of EBT</t>
  </si>
  <si>
    <t>% off COGS</t>
  </si>
  <si>
    <t>% of SG&amp;A</t>
  </si>
  <si>
    <t>% of EAT</t>
  </si>
  <si>
    <t>Ending balance</t>
  </si>
  <si>
    <t>Dividend Payout Ratio</t>
  </si>
  <si>
    <t>All the assumptions necessary for building the debt schedules, revolver (bank overdraft) section and interest icome computations</t>
  </si>
  <si>
    <t>Long Term Debt Assumptions</t>
  </si>
  <si>
    <t>New Debt 1</t>
  </si>
  <si>
    <t>New Debt 2</t>
  </si>
  <si>
    <t>New Debt 3</t>
  </si>
  <si>
    <t>New Debt 4</t>
  </si>
  <si>
    <t>New Debt 5</t>
  </si>
  <si>
    <t>Issue Year</t>
  </si>
  <si>
    <t>Interest Rates Assumptions</t>
  </si>
  <si>
    <t>Monetary Rate</t>
  </si>
  <si>
    <t>LIBOR</t>
  </si>
  <si>
    <t>NIBOR</t>
  </si>
  <si>
    <t>Interest rate on Cash</t>
  </si>
  <si>
    <t>Interest Rate on Revolver</t>
  </si>
  <si>
    <t>%</t>
  </si>
  <si>
    <t>Recon</t>
  </si>
  <si>
    <t>Detailed loans and borrowing Vs Audit cheeck</t>
  </si>
  <si>
    <t>GENERAL CHECK</t>
  </si>
  <si>
    <t>Restructure depreciation Value</t>
  </si>
  <si>
    <t>Restructuring Depreciation check</t>
  </si>
  <si>
    <t>Scenario &amp; Sensitiviy Analysis  Tool</t>
  </si>
  <si>
    <t>This section enables   us to build multiple scenarios for highly uncertain and critical assumptions to assess their impacts on the model outputs</t>
  </si>
  <si>
    <t>Scenario Picker</t>
  </si>
  <si>
    <t>Base Case</t>
  </si>
  <si>
    <t>Best Case</t>
  </si>
  <si>
    <t>Worst Case</t>
  </si>
  <si>
    <t>ctrl+shift+7 to turn items into a list</t>
  </si>
  <si>
    <t>Revenue Scenarios (YoY Growth Rate)</t>
  </si>
  <si>
    <t>yoy % growth from scn sheet</t>
  </si>
  <si>
    <t>COGS Scenarios (% of Revenue)</t>
  </si>
  <si>
    <t>SG&amp;A Scenarios (% of Revenue)</t>
  </si>
  <si>
    <t>Maintainable CAPEX Scenario</t>
  </si>
  <si>
    <t>Profit or Loss Calculations</t>
  </si>
  <si>
    <t>Revenue Computations</t>
  </si>
  <si>
    <t>Calculations for the profit or loss projections</t>
  </si>
  <si>
    <t>Revenue Calculations</t>
  </si>
  <si>
    <t>COGS &amp; SG&amp;A Computations</t>
  </si>
  <si>
    <t>Assumptions</t>
  </si>
  <si>
    <t>Computations</t>
  </si>
  <si>
    <t>Other Profit or Loss Computations</t>
  </si>
  <si>
    <t>Income Tax Schedule</t>
  </si>
  <si>
    <t>Accounting EBT (from P/L)</t>
  </si>
  <si>
    <t>Less: Reduction in EBT for timing difference</t>
  </si>
  <si>
    <t>Reduction in EBT for Timing difference</t>
  </si>
  <si>
    <t>Tax computations</t>
  </si>
  <si>
    <t>Government Tax</t>
  </si>
  <si>
    <t>Total Income Tax</t>
  </si>
  <si>
    <t>Deferred Tax</t>
  </si>
  <si>
    <t>Current tax (cash Taxes)</t>
  </si>
  <si>
    <t>What we are actually paying to the govt</t>
  </si>
  <si>
    <t>Reconciliation Check</t>
  </si>
  <si>
    <t>Forecast Balance Sheet Check</t>
  </si>
  <si>
    <t>Balance Sheet Computations</t>
  </si>
  <si>
    <t>Calculations and Schedulesfor the balance sheet projections</t>
  </si>
  <si>
    <t>Beginning Balance</t>
  </si>
  <si>
    <t>Change</t>
  </si>
  <si>
    <t>Total Liability</t>
  </si>
  <si>
    <t>Total Assets - Total Liabilities</t>
  </si>
  <si>
    <t>Change in OWC</t>
  </si>
  <si>
    <t>Capex</t>
  </si>
  <si>
    <t>Retained Earnings Schedule</t>
  </si>
  <si>
    <t>Operating Working Capital Schedule</t>
  </si>
  <si>
    <t>Operating Working Capital Computations</t>
  </si>
  <si>
    <t>Linked OWC Inputs</t>
  </si>
  <si>
    <t>% COGS</t>
  </si>
  <si>
    <t>Linked P/L Ittems</t>
  </si>
  <si>
    <t>Income Statement items to be used for OWC computations</t>
  </si>
  <si>
    <t>The formula (previous-current) is like this because a reduction in assets increases cash, and also an increase in liabilities increases cash</t>
  </si>
  <si>
    <t>Financing Calculations</t>
  </si>
  <si>
    <t>Linked values from Finacing assumptions</t>
  </si>
  <si>
    <t>Interest Rate</t>
  </si>
  <si>
    <t>Cash Flow from Operations</t>
  </si>
  <si>
    <t>Adjusting for non-cash expense</t>
  </si>
  <si>
    <t>Total Cash Flow from Operations</t>
  </si>
  <si>
    <t>Cash Flow from Investing</t>
  </si>
  <si>
    <t>Total Cash Flow from Investing</t>
  </si>
  <si>
    <t>Cash Flow from Financing</t>
  </si>
  <si>
    <t>Total Cash Flow from Financing</t>
  </si>
  <si>
    <t>Total Cash Generated in the Year</t>
  </si>
  <si>
    <t>Cash Schedule</t>
  </si>
  <si>
    <t>Financing Operations</t>
  </si>
  <si>
    <t>Net Foreign Exchange Loss</t>
  </si>
  <si>
    <t>Adjusting for non-cash  tax expense</t>
  </si>
  <si>
    <t>Dividend Paid</t>
  </si>
  <si>
    <t>Dividend Declared</t>
  </si>
  <si>
    <t>Implied Ending Balance</t>
  </si>
  <si>
    <t>Detailed Debt Computations</t>
  </si>
  <si>
    <t>Begginning Debt</t>
  </si>
  <si>
    <t>Total Interest Expense</t>
  </si>
  <si>
    <t>Building a more detailed representation of the debt in the company</t>
  </si>
  <si>
    <t>Total New Debt Issued</t>
  </si>
  <si>
    <t>Total Repayments</t>
  </si>
  <si>
    <t>Summary Debt Schedule</t>
  </si>
  <si>
    <t>Debt 1 Schedule</t>
  </si>
  <si>
    <t>Debt Issued</t>
  </si>
  <si>
    <t>Repayments</t>
  </si>
  <si>
    <t>S/N</t>
  </si>
  <si>
    <t>Issue FLAG</t>
  </si>
  <si>
    <t>Repayment FLAG</t>
  </si>
  <si>
    <t>Type of Debt &gt;</t>
  </si>
  <si>
    <t>Benchmark Rate &gt;</t>
  </si>
  <si>
    <t>Rate/Spread</t>
  </si>
  <si>
    <t>I do not get this formula tho, should investigate more</t>
  </si>
  <si>
    <t>Debt 2 Schedule</t>
  </si>
  <si>
    <t>Debt 3 Schedule</t>
  </si>
  <si>
    <t>Debt 4 Schedule</t>
  </si>
  <si>
    <t>Debt 5 Schedule</t>
  </si>
  <si>
    <t>Debt 6 Schedule</t>
  </si>
  <si>
    <t>Debt 7 Schedule</t>
  </si>
  <si>
    <t>Debt 8 Schedule</t>
  </si>
  <si>
    <t>Recon of Loan Balances</t>
  </si>
  <si>
    <t>Recon of historical loans and borrowings in calculation sheet</t>
  </si>
  <si>
    <t>Interest Calculations</t>
  </si>
  <si>
    <t>Interest Rate on Overdraft</t>
  </si>
  <si>
    <t>Other interest rate calculations</t>
  </si>
  <si>
    <t>Overdraft Balances</t>
  </si>
  <si>
    <t>Interest Expense on Overdraft</t>
  </si>
  <si>
    <t>Interest Income on Cash Balance</t>
  </si>
  <si>
    <t>Cash Balance</t>
  </si>
  <si>
    <t xml:space="preserve">Summary of Total Interest Expense </t>
  </si>
  <si>
    <t>Total Interest Expense On Debt</t>
  </si>
  <si>
    <t>Total  Interest Expense</t>
  </si>
  <si>
    <t>Deliberate circularity in th interest income and interest expense lines of theCalculation sheet</t>
  </si>
  <si>
    <t>Cash Sweep Computations</t>
  </si>
  <si>
    <t>Cash  Balances (Per Cashflow Statement)</t>
  </si>
  <si>
    <t>Overdraft Schedule</t>
  </si>
  <si>
    <t>Cash Generated in the Year (Excluding Overdraft Facilities</t>
  </si>
  <si>
    <t>Overdraft - New Issue (or Repayment)</t>
  </si>
  <si>
    <t>Total Free Cash Flow Excluding Overdraft</t>
  </si>
  <si>
    <t>Change in Overdraft</t>
  </si>
  <si>
    <t>Closing Balance</t>
  </si>
  <si>
    <t>Total Cash Available</t>
  </si>
  <si>
    <t>Note: This is the calculation of how much cash we actually have excluding overdraft facilities</t>
  </si>
  <si>
    <t xml:space="preserve">Note: Cash balances can not be less than 0 because the overdraft schedule will take care of it by borrowing more cash </t>
  </si>
  <si>
    <t>Schedule for computing excess cash which is used to sweep off any short term loans (overdraft facilities).</t>
  </si>
  <si>
    <t>First full build of the mode;</t>
  </si>
  <si>
    <t>SG&amp;A</t>
  </si>
  <si>
    <t>Recon depreciation classification</t>
  </si>
  <si>
    <t>Recon impairment classification</t>
  </si>
  <si>
    <t>Recon of Tax Expense</t>
  </si>
  <si>
    <t>Reconciliation  of Trade and Other Receivables</t>
  </si>
  <si>
    <t>Impairment of financial assets</t>
  </si>
  <si>
    <t>Need to model this  newkline</t>
  </si>
  <si>
    <t>Lease liabilities</t>
  </si>
  <si>
    <t>Needs to be built.</t>
  </si>
  <si>
    <t>Financial Impairments</t>
  </si>
  <si>
    <t>Interest bearing Loans and borrowings</t>
  </si>
  <si>
    <t>Cash and short term-deposit</t>
  </si>
  <si>
    <t>Land</t>
  </si>
  <si>
    <t>Building</t>
  </si>
  <si>
    <t>Buildings</t>
  </si>
  <si>
    <t>Note 15a Page 47</t>
  </si>
  <si>
    <t>Total Impairment</t>
  </si>
  <si>
    <t>Note   10, page 43</t>
  </si>
  <si>
    <t>13a, page 48</t>
  </si>
  <si>
    <t>₦ Th's</t>
  </si>
  <si>
    <t>Note 21, Page 50</t>
  </si>
  <si>
    <t>Note.28, Page 55</t>
  </si>
  <si>
    <t>Trade Payables Reconciliation</t>
  </si>
  <si>
    <t>Lease Liability</t>
  </si>
  <si>
    <t>Lease Liability - Current</t>
  </si>
  <si>
    <t>Lease Liability - Non -Current</t>
  </si>
  <si>
    <t>Total Lease Liability</t>
  </si>
  <si>
    <t>So like change in asset is previous year -  current year, while change in liability is current - previous</t>
  </si>
  <si>
    <t>Import Trade Obligations</t>
  </si>
  <si>
    <t>SOFR</t>
  </si>
  <si>
    <t>Note 24b, Page 52</t>
  </si>
  <si>
    <t>Note 24b, Page 53</t>
  </si>
  <si>
    <t>Note 24b, Page 54</t>
  </si>
  <si>
    <t>Note 24b, Page 55</t>
  </si>
  <si>
    <t>Note 24b, Page 56</t>
  </si>
  <si>
    <t>Debt 9 Schedule</t>
  </si>
  <si>
    <t>Debt 10 Schedule</t>
  </si>
  <si>
    <t>Profitability Ratios</t>
  </si>
  <si>
    <t>Liquidity Ratios</t>
  </si>
  <si>
    <t>Leverage  Ratios</t>
  </si>
  <si>
    <t>Efficiency Ratios</t>
  </si>
  <si>
    <t>Market Ratios</t>
  </si>
  <si>
    <t>Gross Profit Margin</t>
  </si>
  <si>
    <t>Operating Profit Margin</t>
  </si>
  <si>
    <t>Net Profit Margin</t>
  </si>
  <si>
    <t xml:space="preserve">Return on Assets </t>
  </si>
  <si>
    <t>Return on Equity</t>
  </si>
  <si>
    <t>Return on Capital Employed</t>
  </si>
  <si>
    <t>Current Ratio</t>
  </si>
  <si>
    <t>Quick Ratio</t>
  </si>
  <si>
    <t>Cash Ratio</t>
  </si>
  <si>
    <t>Debt-to-Equity   Ratio</t>
  </si>
  <si>
    <t>Debt Ratio</t>
  </si>
  <si>
    <t>Interest Coverage Ratio</t>
  </si>
  <si>
    <t>Equity Ratio</t>
  </si>
  <si>
    <t>Financing Assumptions</t>
  </si>
  <si>
    <t>Based on the 2019 model, which may be a better representation of the growth prospect of the company before the naira devaluation</t>
  </si>
  <si>
    <t>%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</si>
</sst>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\-mmm\-yyyy;@"/>
    <numFmt numFmtId="165" formatCode="0\ &quot;Yrs&quot;"/>
    <numFmt numFmtId="166" formatCode="#,##0.00_);[Red]\(#,##0.00\);\-"/>
    <numFmt numFmtId="167" formatCode="0.00%_);[Red]\(0.00%\)"/>
    <numFmt numFmtId="168" formatCode="0.00\x_)"/>
    <numFmt numFmtId="169" formatCode=";;;"/>
  </numFmts>
  <fonts count="2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0070C0"/>
      <name val="Arial"/>
      <family val="2"/>
    </font>
    <font>
      <b/>
      <sz val="26"/>
      <color rgb="FF0070C0"/>
      <name val="Arial"/>
      <family val="2"/>
    </font>
    <font>
      <sz val="20"/>
      <color theme="1"/>
      <name val="Arial"/>
      <family val="2"/>
    </font>
    <font>
      <b/>
      <sz val="12"/>
      <color rgb="FFFF0000"/>
      <name val="Arial"/>
      <family val="2"/>
    </font>
    <font>
      <b/>
      <sz val="13"/>
      <color theme="3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i/>
      <sz val="11"/>
      <color rgb="FF7F7F7F"/>
      <name val="Aptos Narrow"/>
      <family val="2"/>
      <scheme val="minor"/>
    </font>
    <font>
      <sz val="48"/>
      <color theme="1"/>
      <name val="Arial"/>
      <family val="2"/>
    </font>
    <font>
      <sz val="16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3"/>
      <color rgb="FFC00000"/>
      <name val="Calibri"/>
      <family val="2"/>
    </font>
    <font>
      <i/>
      <sz val="10"/>
      <color rgb="FF7F7F7F"/>
      <name val="Arial Nova"/>
      <family val="2"/>
    </font>
    <font>
      <b/>
      <u/>
      <sz val="11"/>
      <color rgb="FF000000"/>
      <name val="Arial"/>
      <family val="2"/>
    </font>
    <font>
      <b/>
      <sz val="15"/>
      <color rgb="FF44546A"/>
      <name val="Calibri"/>
      <family val="2"/>
    </font>
    <font>
      <b/>
      <sz val="11"/>
      <color theme="3"/>
      <name val="Aptos Narrow"/>
      <family val="2"/>
      <scheme val="minor"/>
    </font>
    <font>
      <b/>
      <u/>
      <sz val="11"/>
      <color theme="1"/>
      <name val="Arial"/>
      <family val="2"/>
    </font>
    <font>
      <sz val="8"/>
      <name val="Arial"/>
      <family val="2"/>
    </font>
    <font>
      <sz val="11"/>
      <color theme="1" tint="0.34998626667073579"/>
      <name val="Arial"/>
      <family val="2"/>
    </font>
    <font>
      <i/>
      <sz val="11"/>
      <color theme="1"/>
      <name val="Arial"/>
      <family val="2"/>
    </font>
    <font>
      <sz val="8"/>
      <color rgb="FF000000"/>
      <name val="Segoe UI"/>
      <family val="2"/>
    </font>
    <font>
      <sz val="11"/>
      <color theme="3" tint="0.24994659260841701"/>
      <name val="Arial"/>
      <family val="2"/>
    </font>
    <font>
      <b/>
      <sz val="11"/>
      <color theme="3" tint="0.2499465926084170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1"/>
        <bgColor indexed="64"/>
      </patternFill>
    </fill>
    <fill>
      <patternFill patternType="gray125">
        <bgColor rgb="FF00B050"/>
      </patternFill>
    </fill>
    <fill>
      <patternFill patternType="darkTrellis"/>
    </fill>
    <fill>
      <patternFill patternType="darkDown">
        <bgColor theme="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 tint="0.1499679555650502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166" fontId="0" fillId="0" borderId="0" applyFill="0" applyBorder="0" applyAlignment="0" applyProtection="0"/>
    <xf numFmtId="167" fontId="1" fillId="0" borderId="0" applyFont="0" applyFill="0" applyBorder="0" applyAlignment="0" applyProtection="0"/>
    <xf numFmtId="0" fontId="5" fillId="3" borderId="0" applyNumberFormat="0" applyBorder="0" applyAlignment="0" applyProtection="0"/>
    <xf numFmtId="0" fontId="8" fillId="0" borderId="1" applyNumberFormat="0" applyFill="0" applyAlignment="0" applyProtection="0"/>
    <xf numFmtId="0" fontId="7" fillId="0" borderId="5" applyNumberFormat="0" applyFill="0" applyAlignment="0" applyProtection="0"/>
    <xf numFmtId="0" fontId="2" fillId="2" borderId="2" applyNumberFormat="0" applyFont="0" applyAlignment="0" applyProtection="0"/>
    <xf numFmtId="0" fontId="3" fillId="3" borderId="14" applyNumberFormat="0" applyFont="0" applyAlignment="0" applyProtection="0"/>
    <xf numFmtId="0" fontId="10" fillId="0" borderId="3" applyNumberFormat="0" applyFill="0" applyAlignment="0" applyProtection="0"/>
    <xf numFmtId="166" fontId="26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66" fontId="6" fillId="0" borderId="0" applyNumberFormat="0" applyBorder="0" applyAlignment="0" applyProtection="0"/>
    <xf numFmtId="166" fontId="9" fillId="4" borderId="0" applyNumberFormat="0" applyBorder="0" applyAlignment="0" applyProtection="0"/>
    <xf numFmtId="166" fontId="10" fillId="0" borderId="6" applyNumberFormat="0" applyFill="0" applyAlignment="0" applyProtection="0"/>
    <xf numFmtId="1" fontId="1" fillId="5" borderId="0" applyFont="0" applyBorder="0" applyProtection="0">
      <alignment horizontal="center"/>
    </xf>
    <xf numFmtId="166" fontId="1" fillId="6" borderId="4" applyNumberFormat="0" applyFont="0" applyAlignment="0" applyProtection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6" fontId="23" fillId="0" borderId="0" applyNumberFormat="0" applyFill="0" applyBorder="0" applyAlignment="0" applyProtection="0"/>
    <xf numFmtId="0" fontId="20" fillId="0" borderId="10" applyNumberFormat="0" applyFill="0" applyAlignment="0" applyProtection="0"/>
    <xf numFmtId="169" fontId="1" fillId="7" borderId="2" applyFont="0" applyBorder="0" applyAlignment="0" applyProtection="0"/>
  </cellStyleXfs>
  <cellXfs count="98">
    <xf numFmtId="166" fontId="0" fillId="0" borderId="0" xfId="0"/>
    <xf numFmtId="0" fontId="0" fillId="0" borderId="0" xfId="0" applyNumberFormat="1"/>
    <xf numFmtId="167" fontId="0" fillId="0" borderId="0" xfId="1" applyFont="1"/>
    <xf numFmtId="166" fontId="0" fillId="2" borderId="2" xfId="5" applyNumberFormat="1" applyFont="1"/>
    <xf numFmtId="166" fontId="26" fillId="0" borderId="0" xfId="8"/>
    <xf numFmtId="168" fontId="0" fillId="0" borderId="0" xfId="9" applyFont="1"/>
    <xf numFmtId="166" fontId="5" fillId="3" borderId="0" xfId="2" applyNumberFormat="1"/>
    <xf numFmtId="166" fontId="6" fillId="0" borderId="0" xfId="10"/>
    <xf numFmtId="166" fontId="8" fillId="0" borderId="1" xfId="3" applyNumberFormat="1"/>
    <xf numFmtId="166" fontId="7" fillId="0" borderId="5" xfId="4" applyNumberFormat="1"/>
    <xf numFmtId="166" fontId="9" fillId="4" borderId="0" xfId="11"/>
    <xf numFmtId="166" fontId="10" fillId="0" borderId="3" xfId="7" applyNumberFormat="1"/>
    <xf numFmtId="166" fontId="10" fillId="0" borderId="6" xfId="12"/>
    <xf numFmtId="1" fontId="0" fillId="5" borderId="0" xfId="13" applyFont="1">
      <alignment horizontal="center"/>
    </xf>
    <xf numFmtId="166" fontId="0" fillId="6" borderId="4" xfId="14" applyFont="1"/>
    <xf numFmtId="164" fontId="0" fillId="2" borderId="2" xfId="5" applyNumberFormat="1" applyFont="1"/>
    <xf numFmtId="165" fontId="0" fillId="2" borderId="2" xfId="5" applyNumberFormat="1" applyFont="1"/>
    <xf numFmtId="166" fontId="0" fillId="0" borderId="0" xfId="0" applyAlignment="1">
      <alignment horizontal="center" vertical="center"/>
    </xf>
    <xf numFmtId="166" fontId="0" fillId="0" borderId="0" xfId="0" applyAlignment="1">
      <alignment horizontal="center"/>
    </xf>
    <xf numFmtId="15" fontId="0" fillId="0" borderId="0" xfId="0" applyNumberFormat="1"/>
    <xf numFmtId="166" fontId="11" fillId="0" borderId="0" xfId="15" applyNumberFormat="1"/>
    <xf numFmtId="166" fontId="11" fillId="3" borderId="0" xfId="15" applyNumberFormat="1" applyFill="1"/>
    <xf numFmtId="166" fontId="12" fillId="0" borderId="0" xfId="0" applyFont="1"/>
    <xf numFmtId="166" fontId="13" fillId="0" borderId="0" xfId="0" applyFont="1"/>
    <xf numFmtId="166" fontId="0" fillId="0" borderId="0" xfId="0" applyAlignment="1">
      <alignment horizontal="right"/>
    </xf>
    <xf numFmtId="164" fontId="0" fillId="0" borderId="0" xfId="16" applyFont="1"/>
    <xf numFmtId="164" fontId="14" fillId="0" borderId="0" xfId="16" applyFont="1"/>
    <xf numFmtId="166" fontId="11" fillId="0" borderId="0" xfId="15" applyNumberFormat="1" applyAlignment="1">
      <alignment horizontal="right"/>
    </xf>
    <xf numFmtId="1" fontId="0" fillId="5" borderId="0" xfId="13" applyFont="1" applyAlignment="1">
      <alignment horizontal="right"/>
    </xf>
    <xf numFmtId="166" fontId="10" fillId="0" borderId="0" xfId="0" applyFont="1"/>
    <xf numFmtId="166" fontId="15" fillId="0" borderId="0" xfId="0" applyFont="1"/>
    <xf numFmtId="166" fontId="16" fillId="0" borderId="7" xfId="0" applyFont="1" applyBorder="1"/>
    <xf numFmtId="166" fontId="18" fillId="0" borderId="0" xfId="0" applyFont="1"/>
    <xf numFmtId="166" fontId="26" fillId="0" borderId="3" xfId="8" applyNumberFormat="1" applyBorder="1"/>
    <xf numFmtId="166" fontId="19" fillId="0" borderId="7" xfId="0" applyFont="1" applyBorder="1"/>
    <xf numFmtId="166" fontId="17" fillId="0" borderId="0" xfId="0" applyFont="1" applyAlignment="1">
      <alignment horizontal="left"/>
    </xf>
    <xf numFmtId="166" fontId="23" fillId="0" borderId="0" xfId="17"/>
    <xf numFmtId="166" fontId="20" fillId="0" borderId="10" xfId="18" applyNumberFormat="1"/>
    <xf numFmtId="166" fontId="21" fillId="0" borderId="0" xfId="0" applyFont="1"/>
    <xf numFmtId="166" fontId="10" fillId="0" borderId="6" xfId="12" applyNumberFormat="1"/>
    <xf numFmtId="166" fontId="17" fillId="0" borderId="9" xfId="0" applyFont="1" applyBorder="1"/>
    <xf numFmtId="167" fontId="0" fillId="2" borderId="2" xfId="1" applyFont="1" applyFill="1" applyBorder="1"/>
    <xf numFmtId="167" fontId="0" fillId="2" borderId="2" xfId="5" applyNumberFormat="1" applyFont="1"/>
    <xf numFmtId="167" fontId="26" fillId="0" borderId="0" xfId="8" applyNumberFormat="1"/>
    <xf numFmtId="167" fontId="4" fillId="0" borderId="0" xfId="1" applyFont="1"/>
    <xf numFmtId="167" fontId="4" fillId="2" borderId="2" xfId="5" applyNumberFormat="1" applyFont="1"/>
    <xf numFmtId="168" fontId="0" fillId="2" borderId="2" xfId="9" applyFont="1" applyFill="1" applyBorder="1"/>
    <xf numFmtId="169" fontId="0" fillId="7" borderId="0" xfId="19" applyFont="1" applyBorder="1"/>
    <xf numFmtId="0" fontId="0" fillId="2" borderId="2" xfId="5" applyNumberFormat="1" applyFont="1"/>
    <xf numFmtId="166" fontId="0" fillId="0" borderId="12" xfId="0" applyBorder="1"/>
    <xf numFmtId="166" fontId="0" fillId="0" borderId="13" xfId="0" applyBorder="1"/>
    <xf numFmtId="166" fontId="10" fillId="0" borderId="11" xfId="0" applyFont="1" applyBorder="1"/>
    <xf numFmtId="167" fontId="23" fillId="0" borderId="0" xfId="17" applyNumberFormat="1"/>
    <xf numFmtId="167" fontId="0" fillId="3" borderId="14" xfId="6" applyNumberFormat="1" applyFont="1"/>
    <xf numFmtId="168" fontId="0" fillId="3" borderId="14" xfId="6" applyNumberFormat="1" applyFont="1"/>
    <xf numFmtId="166" fontId="0" fillId="3" borderId="14" xfId="6" applyNumberFormat="1" applyFont="1"/>
    <xf numFmtId="167" fontId="0" fillId="3" borderId="14" xfId="1" applyFont="1" applyFill="1" applyBorder="1"/>
    <xf numFmtId="166" fontId="21" fillId="0" borderId="15" xfId="0" applyFont="1" applyBorder="1"/>
    <xf numFmtId="166" fontId="0" fillId="0" borderId="6" xfId="0" applyBorder="1"/>
    <xf numFmtId="166" fontId="0" fillId="0" borderId="16" xfId="0" applyBorder="1"/>
    <xf numFmtId="166" fontId="0" fillId="0" borderId="17" xfId="0" applyBorder="1"/>
    <xf numFmtId="166" fontId="0" fillId="0" borderId="0" xfId="0" applyBorder="1"/>
    <xf numFmtId="166" fontId="0" fillId="0" borderId="18" xfId="0" applyBorder="1"/>
    <xf numFmtId="166" fontId="0" fillId="0" borderId="19" xfId="0" applyBorder="1"/>
    <xf numFmtId="166" fontId="0" fillId="0" borderId="10" xfId="0" applyBorder="1"/>
    <xf numFmtId="166" fontId="0" fillId="0" borderId="20" xfId="0" applyBorder="1"/>
    <xf numFmtId="166" fontId="23" fillId="0" borderId="0" xfId="17" applyBorder="1"/>
    <xf numFmtId="166" fontId="23" fillId="0" borderId="10" xfId="17" applyBorder="1"/>
    <xf numFmtId="166" fontId="21" fillId="0" borderId="19" xfId="0" applyFont="1" applyBorder="1"/>
    <xf numFmtId="166" fontId="4" fillId="3" borderId="14" xfId="6" applyNumberFormat="1" applyFont="1"/>
    <xf numFmtId="166" fontId="24" fillId="0" borderId="0" xfId="0" applyFont="1"/>
    <xf numFmtId="166" fontId="0" fillId="0" borderId="15" xfId="0" applyBorder="1"/>
    <xf numFmtId="0" fontId="0" fillId="2" borderId="21" xfId="5" applyNumberFormat="1" applyFont="1" applyBorder="1"/>
    <xf numFmtId="166" fontId="0" fillId="0" borderId="18" xfId="0" applyBorder="1" applyAlignment="1">
      <alignment horizontal="left"/>
    </xf>
    <xf numFmtId="0" fontId="0" fillId="0" borderId="18" xfId="0" applyNumberFormat="1" applyBorder="1" applyAlignment="1">
      <alignment horizontal="left"/>
    </xf>
    <xf numFmtId="166" fontId="0" fillId="0" borderId="20" xfId="0" applyBorder="1" applyAlignment="1">
      <alignment horizontal="left"/>
    </xf>
    <xf numFmtId="0" fontId="0" fillId="3" borderId="14" xfId="6" applyNumberFormat="1" applyFont="1"/>
    <xf numFmtId="167" fontId="0" fillId="0" borderId="18" xfId="1" applyFont="1" applyBorder="1" applyAlignment="1">
      <alignment horizontal="left"/>
    </xf>
    <xf numFmtId="166" fontId="0" fillId="0" borderId="22" xfId="0" applyBorder="1"/>
    <xf numFmtId="166" fontId="0" fillId="0" borderId="23" xfId="0" applyBorder="1"/>
    <xf numFmtId="166" fontId="10" fillId="0" borderId="22" xfId="0" applyFont="1" applyBorder="1"/>
    <xf numFmtId="166" fontId="0" fillId="2" borderId="0" xfId="5" applyNumberFormat="1" applyFont="1" applyBorder="1" applyAlignment="1">
      <alignment horizontal="center" wrapText="1"/>
    </xf>
    <xf numFmtId="166" fontId="0" fillId="0" borderId="0" xfId="0" applyAlignment="1">
      <alignment horizontal="left" vertical="center"/>
    </xf>
    <xf numFmtId="166" fontId="10" fillId="3" borderId="14" xfId="6" applyNumberFormat="1" applyFont="1"/>
    <xf numFmtId="166" fontId="10" fillId="0" borderId="23" xfId="12" applyNumberFormat="1" applyBorder="1"/>
    <xf numFmtId="166" fontId="10" fillId="0" borderId="24" xfId="12" applyNumberFormat="1" applyBorder="1"/>
    <xf numFmtId="166" fontId="0" fillId="8" borderId="0" xfId="0" applyFill="1"/>
    <xf numFmtId="166" fontId="27" fillId="0" borderId="6" xfId="8" applyFont="1" applyBorder="1"/>
    <xf numFmtId="166" fontId="27" fillId="0" borderId="3" xfId="8" applyNumberFormat="1" applyFont="1" applyBorder="1"/>
    <xf numFmtId="166" fontId="27" fillId="0" borderId="0" xfId="8" applyFont="1"/>
    <xf numFmtId="166" fontId="26" fillId="0" borderId="0" xfId="8" applyFill="1"/>
    <xf numFmtId="166" fontId="4" fillId="0" borderId="6" xfId="0" applyFont="1" applyFill="1" applyBorder="1"/>
    <xf numFmtId="166" fontId="27" fillId="0" borderId="6" xfId="8" applyFont="1" applyFill="1" applyBorder="1"/>
    <xf numFmtId="166" fontId="4" fillId="0" borderId="8" xfId="0" applyFont="1" applyFill="1" applyBorder="1"/>
    <xf numFmtId="166" fontId="4" fillId="0" borderId="0" xfId="0" applyFont="1" applyFill="1"/>
    <xf numFmtId="166" fontId="15" fillId="0" borderId="0" xfId="0" applyFont="1" applyFill="1"/>
    <xf numFmtId="2" fontId="0" fillId="0" borderId="0" xfId="1" applyNumberFormat="1" applyFont="1"/>
    <xf numFmtId="166" fontId="17" fillId="0" borderId="9" xfId="0" applyFont="1" applyBorder="1"/>
  </cellXfs>
  <cellStyles count="20">
    <cellStyle name="Blank" xfId="14" xr:uid="{1CF2D882-A2E8-4982-BB9A-AE3F5940A351}"/>
    <cellStyle name="DAte" xfId="16" xr:uid="{5976781B-680F-4E9D-83AD-237A92E9BE12}"/>
    <cellStyle name="Explanatory Text" xfId="15" builtinId="53"/>
    <cellStyle name="Heading 1" xfId="3" builtinId="16" customBuiltin="1"/>
    <cellStyle name="Heading 2" xfId="4" builtinId="17" customBuiltin="1"/>
    <cellStyle name="Heading 4" xfId="18" builtinId="19" customBuiltin="1"/>
    <cellStyle name="Hist" xfId="8" xr:uid="{13141256-831C-435E-92EC-EC6A22CD0C5E}"/>
    <cellStyle name="Input" xfId="5" builtinId="20" customBuiltin="1"/>
    <cellStyle name="Linked Cell" xfId="6" builtinId="24" customBuiltin="1"/>
    <cellStyle name="Multiples" xfId="9" xr:uid="{B06B4C06-B88E-4D87-882F-AC34E35EA4CF}"/>
    <cellStyle name="Normal" xfId="0" builtinId="0" customBuiltin="1"/>
    <cellStyle name="Percent" xfId="1" builtinId="5" customBuiltin="1"/>
    <cellStyle name="Sub total" xfId="12" xr:uid="{0EECE008-EF64-4328-BF5E-A898F17DBBB5}"/>
    <cellStyle name="Sub-title" xfId="10" xr:uid="{0C372B83-1AE1-42B7-83D7-17FBB32754A9}"/>
    <cellStyle name="Table Headers" xfId="11" xr:uid="{E579DCA9-8288-4DAB-9C36-8387BF948171}"/>
    <cellStyle name="Title" xfId="2" builtinId="15" customBuiltin="1"/>
    <cellStyle name="Total" xfId="7" builtinId="25" customBuiltin="1"/>
    <cellStyle name="TRUE" xfId="13" xr:uid="{ACDDCC30-1FB0-4F4B-A245-61F6BE41EE1D}"/>
    <cellStyle name="Unit" xfId="17" xr:uid="{DE389DD3-9C91-4ECA-A0F9-59CD9CC68C66}"/>
    <cellStyle name="WIP" xfId="19" xr:uid="{C4F622E7-9559-4861-8921-83F11318B605}"/>
  </cellStyles>
  <dxfs count="34"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gray125">
          <fgColor auto="1"/>
          <bgColor theme="5" tint="0.59996337778862885"/>
        </patternFill>
      </fill>
    </dxf>
    <dxf>
      <fill>
        <patternFill patternType="gray125"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Circular_Toggle" lockText="1" noThreeD="1"/>
</file>

<file path=xl/ctrlProps/ctrlProp2.xml><?xml version="1.0" encoding="utf-8"?>
<formControlPr xmlns="http://schemas.microsoft.com/office/spreadsheetml/2009/9/main" objectType="Drop" dropStyle="combo" dx="31" fmlaLink="S_Scenarios" fmlaRange="l_scenarios" noThreeD="1" sel="1" val="0"/>
</file>

<file path=xl/ctrlProps/ctrlProp3.xml><?xml version="1.0" encoding="utf-8"?>
<formControlPr xmlns="http://schemas.microsoft.com/office/spreadsheetml/2009/9/main" objectType="CheckBox" fmlaLink="Circular_Toggle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514350</xdr:colOff>
          <xdr:row>18</xdr:row>
          <xdr:rowOff>31750</xdr:rowOff>
        </xdr:from>
        <xdr:to>
          <xdr:col>6</xdr:col>
          <xdr:colOff>387350</xdr:colOff>
          <xdr:row>24</xdr:row>
          <xdr:rowOff>190500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1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Circular Switch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14</xdr:row>
          <xdr:rowOff>101600</xdr:rowOff>
        </xdr:from>
        <xdr:to>
          <xdr:col>8</xdr:col>
          <xdr:colOff>812800</xdr:colOff>
          <xdr:row>15</xdr:row>
          <xdr:rowOff>133350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5</xdr:row>
          <xdr:rowOff>63500</xdr:rowOff>
        </xdr:from>
        <xdr:to>
          <xdr:col>4</xdr:col>
          <xdr:colOff>184150</xdr:colOff>
          <xdr:row>6</xdr:row>
          <xdr:rowOff>146050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Circular Switch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3C7636-E6FE-4A18-8122-269D242DA1AF}">
  <we:reference id="fb9d111c-58d5-40bc-8ae0-1c3b4f91cdcc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WSADDINVERSION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44E2-FF71-46FB-A283-D3E3F5E2921B}">
  <sheetPr>
    <tabColor theme="0"/>
    <pageSetUpPr fitToPage="1"/>
  </sheetPr>
  <dimension ref="D9:E16"/>
  <sheetViews>
    <sheetView showGridLines="0" zoomScale="69" zoomScaleNormal="69" workbookViewId="0">
      <selection activeCell="O14" sqref="O14"/>
    </sheetView>
  </sheetViews>
  <sheetFormatPr defaultRowHeight="14" x14ac:dyDescent="0.3"/>
  <sheetData>
    <row r="9" spans="4:5" ht="60" x14ac:dyDescent="1.1499999999999999">
      <c r="D9" s="22" t="str">
        <f>company</f>
        <v>Nestle Nigeria</v>
      </c>
    </row>
    <row r="10" spans="4:5" ht="20" x14ac:dyDescent="0.4">
      <c r="D10" s="23" t="str">
        <f>"Financial model for "&amp;Base_year+1&amp;" - "&amp;Forecast_year</f>
        <v>Financial model for 2023 - 2027</v>
      </c>
      <c r="E10" s="23"/>
    </row>
    <row r="14" spans="4:5" x14ac:dyDescent="0.3">
      <c r="D14" t="s">
        <v>111</v>
      </c>
    </row>
    <row r="15" spans="4:5" x14ac:dyDescent="0.3">
      <c r="D15" t="s">
        <v>112</v>
      </c>
    </row>
    <row r="16" spans="4:5" x14ac:dyDescent="0.3">
      <c r="D16" t="s">
        <v>113</v>
      </c>
    </row>
  </sheetData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7D7D-0220-480A-8A0C-01E23218464C}">
  <sheetPr>
    <tabColor theme="0"/>
    <outlinePr summaryBelow="0" summaryRight="0"/>
    <pageSetUpPr fitToPage="1"/>
  </sheetPr>
  <dimension ref="B2:O145"/>
  <sheetViews>
    <sheetView showGridLines="0" topLeftCell="A25" zoomScale="74" zoomScaleNormal="74" workbookViewId="0">
      <selection activeCell="I130" sqref="I130"/>
    </sheetView>
  </sheetViews>
  <sheetFormatPr defaultRowHeight="14" outlineLevelRow="2" x14ac:dyDescent="0.3"/>
  <cols>
    <col min="1" max="2" width="1.6640625" customWidth="1"/>
    <col min="3" max="3" width="1.33203125" customWidth="1"/>
    <col min="4" max="4" width="30.75" customWidth="1"/>
    <col min="5" max="5" width="21.75" customWidth="1"/>
    <col min="6" max="6" width="13.33203125" bestFit="1" customWidth="1"/>
    <col min="7" max="7" width="12.5" bestFit="1" customWidth="1"/>
    <col min="9" max="9" width="24.5" bestFit="1" customWidth="1"/>
  </cols>
  <sheetData>
    <row r="2" spans="2:15" ht="32.5" x14ac:dyDescent="0.65">
      <c r="D2" s="6" t="str">
        <f>company</f>
        <v>Nestle Nigeria</v>
      </c>
      <c r="E2" s="6"/>
      <c r="F2" s="6"/>
      <c r="G2" s="6"/>
      <c r="H2" s="6"/>
      <c r="I2" s="6"/>
      <c r="J2" s="6"/>
      <c r="K2" s="6"/>
      <c r="L2" s="6"/>
      <c r="M2" s="6"/>
      <c r="N2" s="6"/>
      <c r="O2" s="21" t="str">
        <f>Version</f>
        <v>Ver 1.01.</v>
      </c>
    </row>
    <row r="3" spans="2:15" ht="25" x14ac:dyDescent="0.5">
      <c r="D3" s="7" t="str">
        <f>models</f>
        <v>Model Style Guide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8" spans="2:15" ht="17" thickBot="1" x14ac:dyDescent="0.4">
      <c r="B8" s="8" t="s">
        <v>0</v>
      </c>
      <c r="C8" s="8"/>
      <c r="D8" s="8"/>
      <c r="E8" s="8"/>
      <c r="F8" s="8"/>
      <c r="G8" s="8"/>
      <c r="H8" s="8"/>
      <c r="I8" s="8"/>
      <c r="J8" s="8"/>
    </row>
    <row r="9" spans="2:15" ht="15" collapsed="1" thickTop="1" x14ac:dyDescent="0.35">
      <c r="C9" s="20" t="s">
        <v>100</v>
      </c>
    </row>
    <row r="10" spans="2:15" ht="16" hidden="1" outlineLevel="1" thickBot="1" x14ac:dyDescent="0.4">
      <c r="C10" s="9" t="s">
        <v>1</v>
      </c>
      <c r="D10" s="9"/>
      <c r="E10" s="9"/>
      <c r="F10" s="9"/>
      <c r="G10" s="9"/>
      <c r="H10" s="9"/>
      <c r="I10" s="9"/>
    </row>
    <row r="11" spans="2:15" hidden="1" outlineLevel="2" x14ac:dyDescent="0.3">
      <c r="D11" t="s">
        <v>9</v>
      </c>
      <c r="E11" s="3" t="s">
        <v>13</v>
      </c>
    </row>
    <row r="12" spans="2:15" hidden="1" outlineLevel="2" x14ac:dyDescent="0.3">
      <c r="D12" t="s">
        <v>10</v>
      </c>
      <c r="E12" s="3" t="s">
        <v>14</v>
      </c>
    </row>
    <row r="13" spans="2:15" hidden="1" outlineLevel="2" x14ac:dyDescent="0.3">
      <c r="D13" t="s">
        <v>11</v>
      </c>
      <c r="E13" s="3" t="s">
        <v>15</v>
      </c>
    </row>
    <row r="14" spans="2:15" hidden="1" outlineLevel="2" x14ac:dyDescent="0.3">
      <c r="D14" t="s">
        <v>12</v>
      </c>
      <c r="E14" s="3" t="s">
        <v>16</v>
      </c>
    </row>
    <row r="15" spans="2:15" hidden="1" outlineLevel="2" x14ac:dyDescent="0.3"/>
    <row r="16" spans="2:15" ht="16" hidden="1" outlineLevel="1" thickBot="1" x14ac:dyDescent="0.4">
      <c r="C16" s="9" t="s">
        <v>2</v>
      </c>
      <c r="D16" s="9"/>
      <c r="E16" s="9"/>
      <c r="F16" s="9"/>
      <c r="G16" s="9"/>
      <c r="H16" s="9"/>
      <c r="I16" s="9"/>
    </row>
    <row r="17" spans="2:10" hidden="1" outlineLevel="2" x14ac:dyDescent="0.3">
      <c r="D17" t="s">
        <v>17</v>
      </c>
      <c r="E17" s="3" t="s">
        <v>21</v>
      </c>
    </row>
    <row r="18" spans="2:10" ht="56" hidden="1" outlineLevel="2" x14ac:dyDescent="0.3">
      <c r="D18" s="82" t="s">
        <v>19</v>
      </c>
      <c r="E18" s="81" t="s">
        <v>445</v>
      </c>
    </row>
    <row r="19" spans="2:10" hidden="1" outlineLevel="2" x14ac:dyDescent="0.3">
      <c r="D19" t="s">
        <v>20</v>
      </c>
      <c r="E19" t="b">
        <v>0</v>
      </c>
    </row>
    <row r="20" spans="2:10" hidden="1" outlineLevel="2" x14ac:dyDescent="0.3">
      <c r="D20" t="s">
        <v>18</v>
      </c>
      <c r="E20" s="36" t="s">
        <v>478</v>
      </c>
    </row>
    <row r="21" spans="2:10" hidden="1" outlineLevel="2" x14ac:dyDescent="0.3">
      <c r="D21" t="s">
        <v>22</v>
      </c>
      <c r="E21" t="str">
        <f>INDEX(D:D,MATCH("Ω",D:D,1))</f>
        <v>Ver 1.01.</v>
      </c>
      <c r="F21" t="s">
        <v>99</v>
      </c>
    </row>
    <row r="22" spans="2:10" hidden="1" outlineLevel="2" x14ac:dyDescent="0.3">
      <c r="D22" t="s">
        <v>23</v>
      </c>
      <c r="E22" t="str">
        <f>INDEX(E:E,MATCH("Ω",E:E,1))</f>
        <v>Date Modified</v>
      </c>
    </row>
    <row r="23" spans="2:10" hidden="1" outlineLevel="2" x14ac:dyDescent="0.3">
      <c r="D23" t="s">
        <v>24</v>
      </c>
      <c r="E23" t="str">
        <f>INDEX(F:F,MATCH("Ω",F:F,1))</f>
        <v>Opeoluwa Kuku</v>
      </c>
    </row>
    <row r="24" spans="2:10" hidden="1" outlineLevel="2" x14ac:dyDescent="0.3"/>
    <row r="25" spans="2:10" ht="17" thickBot="1" x14ac:dyDescent="0.4">
      <c r="B25" s="8" t="s">
        <v>3</v>
      </c>
      <c r="C25" s="8"/>
      <c r="D25" s="8"/>
      <c r="E25" s="8"/>
      <c r="F25" s="8"/>
      <c r="G25" s="8"/>
      <c r="H25" s="8"/>
      <c r="I25" s="8"/>
      <c r="J25" s="8"/>
    </row>
    <row r="26" spans="2:10" ht="15" collapsed="1" thickTop="1" x14ac:dyDescent="0.35">
      <c r="B26" s="20"/>
      <c r="D26" s="20"/>
    </row>
    <row r="27" spans="2:10" ht="16" hidden="1" outlineLevel="1" thickBot="1" x14ac:dyDescent="0.4">
      <c r="C27" s="9" t="s">
        <v>4</v>
      </c>
      <c r="D27" s="9"/>
      <c r="E27" s="9"/>
      <c r="F27" s="9"/>
      <c r="G27" s="9"/>
      <c r="H27" s="9"/>
      <c r="I27" s="9"/>
    </row>
    <row r="28" spans="2:10" hidden="1" outlineLevel="2" x14ac:dyDescent="0.3">
      <c r="D28" t="s">
        <v>25</v>
      </c>
      <c r="E28" s="15">
        <v>44926</v>
      </c>
    </row>
    <row r="29" spans="2:10" hidden="1" outlineLevel="2" x14ac:dyDescent="0.3">
      <c r="D29" t="s">
        <v>26</v>
      </c>
      <c r="E29" s="16">
        <v>5</v>
      </c>
    </row>
    <row r="30" spans="2:10" hidden="1" outlineLevel="2" x14ac:dyDescent="0.3">
      <c r="D30" t="s">
        <v>27</v>
      </c>
      <c r="E30" s="3">
        <v>12</v>
      </c>
    </row>
    <row r="31" spans="2:10" hidden="1" outlineLevel="2" x14ac:dyDescent="0.3">
      <c r="D31" t="s">
        <v>28</v>
      </c>
      <c r="E31" s="3">
        <v>12</v>
      </c>
    </row>
    <row r="32" spans="2:10" hidden="1" outlineLevel="2" x14ac:dyDescent="0.3">
      <c r="D32" t="s">
        <v>29</v>
      </c>
      <c r="E32" s="1">
        <f>YEAR(E28)</f>
        <v>2022</v>
      </c>
    </row>
    <row r="33" spans="3:9" hidden="1" outlineLevel="2" x14ac:dyDescent="0.3">
      <c r="D33" t="s">
        <v>30</v>
      </c>
      <c r="E33" s="1">
        <f>E32+E29</f>
        <v>2027</v>
      </c>
    </row>
    <row r="34" spans="3:9" hidden="1" outlineLevel="2" x14ac:dyDescent="0.3"/>
    <row r="35" spans="3:9" ht="16" hidden="1" outlineLevel="1" thickBot="1" x14ac:dyDescent="0.4">
      <c r="C35" s="9" t="s">
        <v>5</v>
      </c>
      <c r="D35" s="9"/>
      <c r="E35" s="9"/>
      <c r="F35" s="9"/>
      <c r="G35" s="9"/>
      <c r="H35" s="9"/>
      <c r="I35" s="9"/>
    </row>
    <row r="36" spans="3:9" hidden="1" outlineLevel="2" x14ac:dyDescent="0.3">
      <c r="D36" t="s">
        <v>31</v>
      </c>
    </row>
    <row r="37" spans="3:9" hidden="1" outlineLevel="2" x14ac:dyDescent="0.3">
      <c r="D37" t="s">
        <v>32</v>
      </c>
    </row>
    <row r="38" spans="3:9" hidden="1" outlineLevel="2" x14ac:dyDescent="0.3">
      <c r="D38" t="s">
        <v>33</v>
      </c>
    </row>
    <row r="39" spans="3:9" hidden="1" outlineLevel="2" x14ac:dyDescent="0.3">
      <c r="D39" t="s">
        <v>122</v>
      </c>
    </row>
    <row r="40" spans="3:9" hidden="1" outlineLevel="2" x14ac:dyDescent="0.3">
      <c r="D40" t="s">
        <v>121</v>
      </c>
    </row>
    <row r="41" spans="3:9" hidden="1" outlineLevel="2" x14ac:dyDescent="0.3">
      <c r="D41" t="s">
        <v>120</v>
      </c>
    </row>
    <row r="42" spans="3:9" hidden="1" outlineLevel="2" x14ac:dyDescent="0.3">
      <c r="D42" t="s">
        <v>119</v>
      </c>
    </row>
    <row r="43" spans="3:9" hidden="1" outlineLevel="2" x14ac:dyDescent="0.3">
      <c r="D43" t="s">
        <v>77</v>
      </c>
    </row>
    <row r="44" spans="3:9" hidden="1" outlineLevel="2" x14ac:dyDescent="0.3">
      <c r="D44" t="s">
        <v>79</v>
      </c>
    </row>
    <row r="45" spans="3:9" hidden="1" outlineLevel="2" x14ac:dyDescent="0.3">
      <c r="D45" t="s">
        <v>118</v>
      </c>
    </row>
    <row r="46" spans="3:9" hidden="1" outlineLevel="2" x14ac:dyDescent="0.3">
      <c r="D46" t="s">
        <v>117</v>
      </c>
    </row>
    <row r="47" spans="3:9" hidden="1" outlineLevel="2" x14ac:dyDescent="0.3">
      <c r="D47" t="s">
        <v>116</v>
      </c>
    </row>
    <row r="48" spans="3:9" hidden="1" outlineLevel="2" x14ac:dyDescent="0.3"/>
    <row r="49" spans="2:10" ht="17" thickBot="1" x14ac:dyDescent="0.4">
      <c r="B49" s="8" t="s">
        <v>6</v>
      </c>
      <c r="C49" s="8"/>
      <c r="D49" s="8"/>
      <c r="E49" s="8"/>
      <c r="F49" s="8"/>
      <c r="G49" s="8"/>
      <c r="H49" s="8"/>
      <c r="I49" s="8"/>
      <c r="J49" s="8"/>
    </row>
    <row r="50" spans="2:10" ht="15" collapsed="1" thickTop="1" x14ac:dyDescent="0.35">
      <c r="C50" s="20" t="s">
        <v>101</v>
      </c>
    </row>
    <row r="51" spans="2:10" ht="16" hidden="1" outlineLevel="1" thickBot="1" x14ac:dyDescent="0.4">
      <c r="C51" s="9" t="s">
        <v>7</v>
      </c>
      <c r="D51" s="9"/>
      <c r="E51" s="9"/>
      <c r="F51" s="9"/>
      <c r="G51" s="9"/>
      <c r="H51" s="9"/>
      <c r="I51" s="9"/>
    </row>
    <row r="52" spans="2:10" hidden="1" outlineLevel="2" x14ac:dyDescent="0.3">
      <c r="D52" t="s">
        <v>39</v>
      </c>
      <c r="E52" s="3">
        <v>1234.56</v>
      </c>
    </row>
    <row r="53" spans="2:10" ht="14.5" hidden="1" outlineLevel="2" thickBot="1" x14ac:dyDescent="0.35"/>
    <row r="54" spans="2:10" ht="14.5" hidden="1" outlineLevel="2" thickBot="1" x14ac:dyDescent="0.35">
      <c r="D54" t="s">
        <v>40</v>
      </c>
      <c r="E54" s="55">
        <v>1234.56</v>
      </c>
    </row>
    <row r="55" spans="2:10" hidden="1" outlineLevel="2" x14ac:dyDescent="0.3"/>
    <row r="56" spans="2:10" hidden="1" outlineLevel="2" x14ac:dyDescent="0.3">
      <c r="D56" t="s">
        <v>41</v>
      </c>
      <c r="E56">
        <v>1234.56</v>
      </c>
    </row>
    <row r="57" spans="2:10" hidden="1" outlineLevel="2" x14ac:dyDescent="0.3"/>
    <row r="58" spans="2:10" hidden="1" outlineLevel="2" x14ac:dyDescent="0.3">
      <c r="D58" t="s">
        <v>42</v>
      </c>
      <c r="E58" s="4">
        <v>1234.56</v>
      </c>
    </row>
    <row r="59" spans="2:10" hidden="1" outlineLevel="2" x14ac:dyDescent="0.3"/>
    <row r="60" spans="2:10" hidden="1" outlineLevel="2" x14ac:dyDescent="0.3">
      <c r="D60" t="s">
        <v>43</v>
      </c>
      <c r="E60" s="2">
        <v>0.23449999999999999</v>
      </c>
    </row>
    <row r="61" spans="2:10" hidden="1" outlineLevel="2" x14ac:dyDescent="0.3"/>
    <row r="62" spans="2:10" hidden="1" outlineLevel="2" x14ac:dyDescent="0.3">
      <c r="D62" t="s">
        <v>44</v>
      </c>
      <c r="E62" s="12">
        <v>1234.56</v>
      </c>
    </row>
    <row r="63" spans="2:10" hidden="1" outlineLevel="2" x14ac:dyDescent="0.3"/>
    <row r="64" spans="2:10" ht="14.5" hidden="1" outlineLevel="2" thickBot="1" x14ac:dyDescent="0.35">
      <c r="D64" t="s">
        <v>45</v>
      </c>
      <c r="E64" s="11">
        <v>1234.56</v>
      </c>
    </row>
    <row r="65" spans="4:5" ht="14.5" hidden="1" outlineLevel="2" thickTop="1" x14ac:dyDescent="0.3"/>
    <row r="66" spans="4:5" hidden="1" outlineLevel="2" x14ac:dyDescent="0.3">
      <c r="D66" t="s">
        <v>46</v>
      </c>
      <c r="E66" s="5">
        <v>23.4</v>
      </c>
    </row>
    <row r="67" spans="4:5" hidden="1" outlineLevel="2" x14ac:dyDescent="0.3"/>
    <row r="68" spans="4:5" ht="32.5" hidden="1" outlineLevel="2" x14ac:dyDescent="0.65">
      <c r="D68" t="s">
        <v>48</v>
      </c>
      <c r="E68" s="6" t="s">
        <v>48</v>
      </c>
    </row>
    <row r="69" spans="4:5" hidden="1" outlineLevel="2" x14ac:dyDescent="0.3"/>
    <row r="70" spans="4:5" ht="25" hidden="1" outlineLevel="2" x14ac:dyDescent="0.5">
      <c r="D70" t="s">
        <v>49</v>
      </c>
      <c r="E70" s="7" t="s">
        <v>49</v>
      </c>
    </row>
    <row r="71" spans="4:5" hidden="1" outlineLevel="2" x14ac:dyDescent="0.3"/>
    <row r="72" spans="4:5" ht="17" hidden="1" outlineLevel="2" thickBot="1" x14ac:dyDescent="0.4">
      <c r="D72" t="s">
        <v>50</v>
      </c>
      <c r="E72" s="8" t="s">
        <v>50</v>
      </c>
    </row>
    <row r="73" spans="4:5" ht="14.5" hidden="1" outlineLevel="2" thickTop="1" x14ac:dyDescent="0.3"/>
    <row r="74" spans="4:5" ht="16" hidden="1" outlineLevel="2" thickBot="1" x14ac:dyDescent="0.4">
      <c r="D74" t="s">
        <v>51</v>
      </c>
      <c r="E74" s="9" t="s">
        <v>51</v>
      </c>
    </row>
    <row r="75" spans="4:5" hidden="1" outlineLevel="2" x14ac:dyDescent="0.3"/>
    <row r="76" spans="4:5" hidden="1" outlineLevel="2" x14ac:dyDescent="0.3">
      <c r="D76" t="s">
        <v>52</v>
      </c>
      <c r="E76" s="10" t="s">
        <v>52</v>
      </c>
    </row>
    <row r="77" spans="4:5" hidden="1" outlineLevel="2" x14ac:dyDescent="0.3"/>
    <row r="78" spans="4:5" hidden="1" outlineLevel="2" x14ac:dyDescent="0.3">
      <c r="D78" t="s">
        <v>53</v>
      </c>
      <c r="E78" s="13">
        <v>1</v>
      </c>
    </row>
    <row r="79" spans="4:5" hidden="1" outlineLevel="2" x14ac:dyDescent="0.3"/>
    <row r="80" spans="4:5" hidden="1" outlineLevel="2" x14ac:dyDescent="0.3">
      <c r="D80" t="s">
        <v>54</v>
      </c>
      <c r="E80" s="13">
        <v>0</v>
      </c>
    </row>
    <row r="81" spans="2:10" hidden="1" outlineLevel="2" x14ac:dyDescent="0.3"/>
    <row r="82" spans="2:10" hidden="1" outlineLevel="2" x14ac:dyDescent="0.3">
      <c r="D82" t="s">
        <v>55</v>
      </c>
      <c r="E82" s="14"/>
    </row>
    <row r="83" spans="2:10" hidden="1" outlineLevel="2" x14ac:dyDescent="0.3"/>
    <row r="84" spans="2:10" ht="17" thickBot="1" x14ac:dyDescent="0.4">
      <c r="B84" s="8" t="s">
        <v>8</v>
      </c>
      <c r="C84" s="8"/>
      <c r="D84" s="8"/>
      <c r="E84" s="8"/>
      <c r="F84" s="8"/>
      <c r="G84" s="8"/>
      <c r="H84" s="8"/>
      <c r="I84" s="8"/>
      <c r="J84" s="8"/>
    </row>
    <row r="85" spans="2:10" ht="15" collapsed="1" thickTop="1" x14ac:dyDescent="0.35">
      <c r="C85" s="20" t="s">
        <v>102</v>
      </c>
      <c r="D85" s="20"/>
    </row>
    <row r="86" spans="2:10" ht="16" hidden="1" outlineLevel="1" thickBot="1" x14ac:dyDescent="0.4">
      <c r="C86" s="9" t="s">
        <v>47</v>
      </c>
      <c r="D86" s="9"/>
      <c r="E86" s="9"/>
      <c r="F86" s="9"/>
      <c r="G86" s="9"/>
      <c r="H86" s="9"/>
      <c r="I86" s="9"/>
    </row>
    <row r="87" spans="2:10" hidden="1" outlineLevel="2" x14ac:dyDescent="0.3"/>
    <row r="88" spans="2:10" hidden="1" outlineLevel="2" x14ac:dyDescent="0.3">
      <c r="D88" s="10" t="s">
        <v>8</v>
      </c>
      <c r="E88" s="10" t="s">
        <v>62</v>
      </c>
    </row>
    <row r="89" spans="2:10" hidden="1" outlineLevel="2" x14ac:dyDescent="0.3">
      <c r="D89" t="s">
        <v>63</v>
      </c>
      <c r="E89" t="s">
        <v>64</v>
      </c>
    </row>
    <row r="90" spans="2:10" hidden="1" outlineLevel="2" x14ac:dyDescent="0.3">
      <c r="D90" t="s">
        <v>65</v>
      </c>
      <c r="E90" t="s">
        <v>66</v>
      </c>
    </row>
    <row r="91" spans="2:10" hidden="1" outlineLevel="2" x14ac:dyDescent="0.3">
      <c r="D91" t="s">
        <v>67</v>
      </c>
      <c r="E91" t="s">
        <v>68</v>
      </c>
    </row>
    <row r="92" spans="2:10" hidden="1" outlineLevel="2" x14ac:dyDescent="0.3">
      <c r="D92" t="s">
        <v>69</v>
      </c>
      <c r="E92" t="s">
        <v>70</v>
      </c>
    </row>
    <row r="93" spans="2:10" hidden="1" outlineLevel="2" x14ac:dyDescent="0.3">
      <c r="D93" t="s">
        <v>22</v>
      </c>
      <c r="E93" t="s">
        <v>71</v>
      </c>
    </row>
    <row r="94" spans="2:10" hidden="1" outlineLevel="2" x14ac:dyDescent="0.3"/>
    <row r="95" spans="2:10" ht="17" thickBot="1" x14ac:dyDescent="0.4">
      <c r="B95" s="8" t="s">
        <v>56</v>
      </c>
      <c r="C95" s="8"/>
      <c r="D95" s="8"/>
      <c r="E95" s="8"/>
      <c r="F95" s="8"/>
      <c r="G95" s="8"/>
      <c r="H95" s="8"/>
      <c r="I95" s="8"/>
      <c r="J95" s="8"/>
    </row>
    <row r="96" spans="2:10" ht="15" collapsed="1" thickTop="1" x14ac:dyDescent="0.35">
      <c r="C96" s="20" t="s">
        <v>103</v>
      </c>
    </row>
    <row r="97" spans="2:10" ht="16" hidden="1" outlineLevel="1" thickBot="1" x14ac:dyDescent="0.4">
      <c r="C97" s="9" t="s">
        <v>57</v>
      </c>
      <c r="D97" s="9"/>
      <c r="E97" s="9"/>
      <c r="F97" s="9"/>
      <c r="G97" s="9"/>
      <c r="H97" s="9"/>
      <c r="I97" s="9"/>
    </row>
    <row r="98" spans="2:10" hidden="1" outlineLevel="2" x14ac:dyDescent="0.3"/>
    <row r="99" spans="2:10" hidden="1" outlineLevel="2" x14ac:dyDescent="0.3">
      <c r="D99" s="10" t="s">
        <v>76</v>
      </c>
      <c r="E99" s="10" t="s">
        <v>62</v>
      </c>
    </row>
    <row r="100" spans="2:10" hidden="1" outlineLevel="2" x14ac:dyDescent="0.3">
      <c r="D100" t="s">
        <v>72</v>
      </c>
      <c r="E100" t="s">
        <v>77</v>
      </c>
    </row>
    <row r="101" spans="2:10" hidden="1" outlineLevel="2" x14ac:dyDescent="0.3">
      <c r="D101" t="s">
        <v>36</v>
      </c>
      <c r="E101" t="s">
        <v>78</v>
      </c>
    </row>
    <row r="102" spans="2:10" hidden="1" outlineLevel="2" x14ac:dyDescent="0.3">
      <c r="D102" t="s">
        <v>37</v>
      </c>
      <c r="E102" t="s">
        <v>79</v>
      </c>
    </row>
    <row r="103" spans="2:10" hidden="1" outlineLevel="2" x14ac:dyDescent="0.3">
      <c r="D103" t="s">
        <v>38</v>
      </c>
      <c r="E103" t="s">
        <v>80</v>
      </c>
    </row>
    <row r="104" spans="2:10" hidden="1" outlineLevel="2" x14ac:dyDescent="0.3">
      <c r="D104" t="s">
        <v>73</v>
      </c>
      <c r="E104" t="s">
        <v>81</v>
      </c>
    </row>
    <row r="105" spans="2:10" hidden="1" outlineLevel="2" x14ac:dyDescent="0.3">
      <c r="D105" t="s">
        <v>74</v>
      </c>
      <c r="E105" t="s">
        <v>82</v>
      </c>
    </row>
    <row r="106" spans="2:10" hidden="1" outlineLevel="2" x14ac:dyDescent="0.3">
      <c r="D106" t="s">
        <v>15</v>
      </c>
      <c r="E106" t="s">
        <v>83</v>
      </c>
    </row>
    <row r="107" spans="2:10" hidden="1" outlineLevel="2" x14ac:dyDescent="0.3">
      <c r="D107" t="s">
        <v>75</v>
      </c>
      <c r="E107" t="s">
        <v>84</v>
      </c>
    </row>
    <row r="108" spans="2:10" hidden="1" outlineLevel="2" x14ac:dyDescent="0.3"/>
    <row r="109" spans="2:10" hidden="1" outlineLevel="2" x14ac:dyDescent="0.3"/>
    <row r="110" spans="2:10" hidden="1" outlineLevel="2" x14ac:dyDescent="0.3"/>
    <row r="111" spans="2:10" hidden="1" outlineLevel="2" x14ac:dyDescent="0.3"/>
    <row r="112" spans="2:10" ht="17" thickBot="1" x14ac:dyDescent="0.4">
      <c r="B112" s="8" t="s">
        <v>58</v>
      </c>
      <c r="C112" s="8"/>
      <c r="D112" s="8"/>
      <c r="E112" s="8"/>
      <c r="F112" s="8"/>
      <c r="G112" s="8"/>
      <c r="H112" s="8"/>
      <c r="I112" s="8"/>
      <c r="J112" s="8"/>
    </row>
    <row r="113" spans="2:9" ht="15" collapsed="1" thickTop="1" x14ac:dyDescent="0.35">
      <c r="B113" s="20" t="s">
        <v>104</v>
      </c>
    </row>
    <row r="114" spans="2:9" ht="16" hidden="1" outlineLevel="1" thickBot="1" x14ac:dyDescent="0.4">
      <c r="B114" s="20"/>
      <c r="C114" s="9" t="s">
        <v>59</v>
      </c>
      <c r="D114" s="9"/>
      <c r="E114" s="9"/>
      <c r="F114" s="9"/>
      <c r="G114" s="9"/>
      <c r="H114" s="9"/>
      <c r="I114" s="9"/>
    </row>
    <row r="115" spans="2:9" hidden="1" outlineLevel="2" x14ac:dyDescent="0.3"/>
    <row r="116" spans="2:9" hidden="1" outlineLevel="2" x14ac:dyDescent="0.3">
      <c r="D116" s="10" t="s">
        <v>85</v>
      </c>
      <c r="E116" s="10"/>
      <c r="F116" s="10" t="s">
        <v>86</v>
      </c>
      <c r="G116" s="10" t="s">
        <v>87</v>
      </c>
    </row>
    <row r="117" spans="2:9" hidden="1" outlineLevel="2" x14ac:dyDescent="0.3">
      <c r="D117" t="s">
        <v>88</v>
      </c>
      <c r="F117" s="18">
        <f>Hist!I162</f>
        <v>0</v>
      </c>
      <c r="G117" s="17" t="str">
        <f>IF(F117=0,"OK", "ERROR")</f>
        <v>OK</v>
      </c>
    </row>
    <row r="118" spans="2:9" hidden="1" outlineLevel="2" x14ac:dyDescent="0.3">
      <c r="D118" t="s">
        <v>89</v>
      </c>
      <c r="F118" s="18">
        <f>Hist!I163</f>
        <v>0</v>
      </c>
      <c r="G118" s="17" t="str">
        <f t="shared" ref="G118:G133" si="0">IF(F118=0,"OK", "ERROR")</f>
        <v>OK</v>
      </c>
    </row>
    <row r="119" spans="2:9" hidden="1" outlineLevel="2" x14ac:dyDescent="0.3">
      <c r="D119" t="s">
        <v>90</v>
      </c>
      <c r="F119" s="18">
        <f>Hist!I164</f>
        <v>0</v>
      </c>
      <c r="G119" s="17" t="str">
        <f t="shared" si="0"/>
        <v>OK</v>
      </c>
    </row>
    <row r="120" spans="2:9" hidden="1" outlineLevel="2" x14ac:dyDescent="0.3">
      <c r="D120" t="s">
        <v>91</v>
      </c>
      <c r="F120" s="18">
        <f>Hist!I165</f>
        <v>0</v>
      </c>
      <c r="G120" s="17" t="str">
        <f t="shared" si="0"/>
        <v>OK</v>
      </c>
    </row>
    <row r="121" spans="2:9" hidden="1" outlineLevel="2" x14ac:dyDescent="0.3">
      <c r="D121" t="s">
        <v>228</v>
      </c>
      <c r="F121" s="18">
        <f>Hist!I114</f>
        <v>0</v>
      </c>
      <c r="G121" s="17" t="str">
        <f>IF(F121=0,"OK", "ERROR")</f>
        <v>OK</v>
      </c>
    </row>
    <row r="122" spans="2:9" x14ac:dyDescent="0.3">
      <c r="D122" t="str">
        <f>Hist!D305</f>
        <v>Reconciliation  of Trade and Other Receivables</v>
      </c>
      <c r="F122" s="18">
        <f>Hist!I305</f>
        <v>0</v>
      </c>
      <c r="G122" s="17" t="str">
        <f t="shared" ref="G122:G126" si="1">IF(F122=0,"OK", "ERROR")</f>
        <v>OK</v>
      </c>
    </row>
    <row r="123" spans="2:9" x14ac:dyDescent="0.3">
      <c r="D123" t="s">
        <v>339</v>
      </c>
      <c r="F123" s="18">
        <f>Hist!J368</f>
        <v>0</v>
      </c>
      <c r="G123" s="17" t="str">
        <f t="shared" si="1"/>
        <v>OK</v>
      </c>
    </row>
    <row r="124" spans="2:9" x14ac:dyDescent="0.3">
      <c r="D124" t="str">
        <f>Hist!D222</f>
        <v>Recon depreciation classification</v>
      </c>
      <c r="F124" s="18">
        <f>Hist!I222</f>
        <v>0</v>
      </c>
      <c r="G124" s="17" t="str">
        <f t="shared" si="1"/>
        <v>OK</v>
      </c>
    </row>
    <row r="125" spans="2:9" x14ac:dyDescent="0.3">
      <c r="D125" t="str">
        <f>Hist!D239</f>
        <v>Recon impairment classification</v>
      </c>
      <c r="F125" s="17">
        <f>Hist!I239</f>
        <v>0</v>
      </c>
      <c r="G125" s="17" t="str">
        <f t="shared" si="1"/>
        <v>OK</v>
      </c>
    </row>
    <row r="126" spans="2:9" x14ac:dyDescent="0.3">
      <c r="D126" t="str">
        <f>Hist!D266</f>
        <v>Recon of Tax Expense</v>
      </c>
      <c r="F126" s="18">
        <f>Hist!I266</f>
        <v>0</v>
      </c>
      <c r="G126" s="17" t="str">
        <f t="shared" si="1"/>
        <v>OK</v>
      </c>
    </row>
    <row r="127" spans="2:9" x14ac:dyDescent="0.3">
      <c r="F127" s="18"/>
      <c r="G127" s="17"/>
    </row>
    <row r="128" spans="2:9" x14ac:dyDescent="0.3">
      <c r="D128" t="s">
        <v>342</v>
      </c>
      <c r="F128" s="18">
        <f>Hist!I217</f>
        <v>0</v>
      </c>
      <c r="G128" s="17" t="str">
        <f t="shared" ref="G128:G130" si="2">IF(F128=0,"OK", "ERROR")</f>
        <v>OK</v>
      </c>
    </row>
    <row r="129" spans="2:11" x14ac:dyDescent="0.3">
      <c r="D129" t="s">
        <v>374</v>
      </c>
      <c r="F129" s="18">
        <f>BS!I52</f>
        <v>0</v>
      </c>
      <c r="G129" s="17" t="str">
        <f t="shared" si="2"/>
        <v>OK</v>
      </c>
    </row>
    <row r="130" spans="2:11" x14ac:dyDescent="0.3">
      <c r="D130" t="s">
        <v>434</v>
      </c>
      <c r="F130" s="18">
        <f>Calc!J178</f>
        <v>0</v>
      </c>
      <c r="G130" s="17" t="str">
        <f t="shared" si="2"/>
        <v>OK</v>
      </c>
    </row>
    <row r="131" spans="2:11" x14ac:dyDescent="0.3">
      <c r="D131" t="str">
        <f>Hist!D344</f>
        <v>Trade Payables Reconciliation</v>
      </c>
      <c r="F131" s="18">
        <f>Hist!I344</f>
        <v>0</v>
      </c>
      <c r="G131" s="17" t="str">
        <f t="shared" ref="G131" si="3">IF(F131=0,"OK", "ERROR")</f>
        <v>OK</v>
      </c>
    </row>
    <row r="132" spans="2:11" collapsed="1" x14ac:dyDescent="0.3">
      <c r="F132" s="18"/>
      <c r="G132" s="17"/>
    </row>
    <row r="133" spans="2:11" hidden="1" outlineLevel="2" x14ac:dyDescent="0.3">
      <c r="D133" s="29" t="s">
        <v>340</v>
      </c>
      <c r="F133" s="18">
        <f>SUM(F117:F131)</f>
        <v>0</v>
      </c>
      <c r="G133" s="17" t="str">
        <f t="shared" si="0"/>
        <v>OK</v>
      </c>
    </row>
    <row r="134" spans="2:11" hidden="1" outlineLevel="2" x14ac:dyDescent="0.3"/>
    <row r="135" spans="2:11" hidden="1" outlineLevel="2" x14ac:dyDescent="0.3"/>
    <row r="136" spans="2:11" ht="17" thickBot="1" x14ac:dyDescent="0.4">
      <c r="B136" s="8" t="s">
        <v>60</v>
      </c>
      <c r="C136" s="8"/>
      <c r="D136" s="8"/>
      <c r="E136" s="8"/>
      <c r="F136" s="8"/>
      <c r="G136" s="8"/>
      <c r="H136" s="8"/>
      <c r="I136" s="8"/>
      <c r="J136" s="8"/>
    </row>
    <row r="137" spans="2:11" ht="15" collapsed="1" thickTop="1" x14ac:dyDescent="0.35">
      <c r="C137" s="20" t="s">
        <v>105</v>
      </c>
    </row>
    <row r="138" spans="2:11" ht="16" hidden="1" outlineLevel="1" thickBot="1" x14ac:dyDescent="0.4">
      <c r="C138" s="9" t="s">
        <v>61</v>
      </c>
      <c r="D138" s="9"/>
      <c r="E138" s="9"/>
      <c r="F138" s="9"/>
      <c r="G138" s="9"/>
      <c r="H138" s="9"/>
      <c r="I138" s="9"/>
    </row>
    <row r="139" spans="2:11" hidden="1" outlineLevel="2" x14ac:dyDescent="0.3"/>
    <row r="140" spans="2:11" hidden="1" outlineLevel="2" x14ac:dyDescent="0.3">
      <c r="D140" s="10" t="s">
        <v>92</v>
      </c>
      <c r="E140" s="10" t="s">
        <v>93</v>
      </c>
      <c r="F140" s="10" t="s">
        <v>67</v>
      </c>
      <c r="G140" s="10" t="s">
        <v>94</v>
      </c>
      <c r="H140" s="10"/>
      <c r="I140" s="10" t="s">
        <v>95</v>
      </c>
      <c r="J140" s="10"/>
      <c r="K140" s="10"/>
    </row>
    <row r="141" spans="2:11" hidden="1" outlineLevel="2" x14ac:dyDescent="0.3"/>
    <row r="142" spans="2:11" hidden="1" outlineLevel="2" x14ac:dyDescent="0.3">
      <c r="D142" t="s">
        <v>96</v>
      </c>
      <c r="E142" s="19"/>
      <c r="F142" t="s">
        <v>97</v>
      </c>
      <c r="G142" t="s">
        <v>98</v>
      </c>
      <c r="I142" t="s">
        <v>458</v>
      </c>
    </row>
    <row r="143" spans="2:11" hidden="1" outlineLevel="2" x14ac:dyDescent="0.3">
      <c r="E143" s="19"/>
    </row>
    <row r="144" spans="2:11" hidden="1" outlineLevel="2" x14ac:dyDescent="0.3">
      <c r="E144" s="19"/>
    </row>
    <row r="145" hidden="1" outlineLevel="1" x14ac:dyDescent="0.3"/>
  </sheetData>
  <conditionalFormatting sqref="D124">
    <cfRule type="expression" dxfId="33" priority="21">
      <formula>#REF!&lt;&gt;0</formula>
    </cfRule>
  </conditionalFormatting>
  <conditionalFormatting sqref="D125">
    <cfRule type="expression" dxfId="32" priority="20">
      <formula>$F124&lt;&gt;0</formula>
    </cfRule>
  </conditionalFormatting>
  <conditionalFormatting sqref="D117:G121 D122:D123 F122:G124 G125:G126 D126:D132 F126:G133">
    <cfRule type="expression" dxfId="31" priority="3">
      <formula>$F117&lt;&gt;0</formula>
    </cfRule>
  </conditionalFormatting>
  <conditionalFormatting sqref="E78">
    <cfRule type="cellIs" dxfId="30" priority="9" operator="equal">
      <formula>0</formula>
    </cfRule>
  </conditionalFormatting>
  <conditionalFormatting sqref="E80">
    <cfRule type="cellIs" dxfId="29" priority="8" operator="equal">
      <formula>0</formula>
    </cfRule>
  </conditionalFormatting>
  <dataValidations disablePrompts="1" count="1">
    <dataValidation type="list" allowBlank="1" showInputMessage="1" showErrorMessage="1" sqref="G142:G144" xr:uid="{E6967D91-C33B-424D-8FC2-3309865551D5}">
      <formula1>"Assumption, Structure, Both"</formula1>
    </dataValidation>
  </dataValidations>
  <pageMargins left="0.7" right="0.7" top="0.75" bottom="0.75" header="0.3" footer="0.3"/>
  <pageSetup scale="67" fitToHeight="0" orientation="landscape" r:id="rId1"/>
  <headerFooter>
    <oddFooter>&amp;LNestle Financial Model&amp;CPrinted on&amp;D at &amp;T&amp;RPage &amp;P of &amp;N</oddFooter>
  </headerFooter>
  <rowBreaks count="3" manualBreakCount="3">
    <brk id="47" max="16383" man="1"/>
    <brk id="82" max="16383" man="1"/>
    <brk id="134" max="16383" man="1"/>
  </rowBreaks>
  <colBreaks count="1" manualBreakCount="1">
    <brk id="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5</xdr:col>
                    <xdr:colOff>514350</xdr:colOff>
                    <xdr:row>18</xdr:row>
                    <xdr:rowOff>31750</xdr:rowOff>
                  </from>
                  <to>
                    <xdr:col>6</xdr:col>
                    <xdr:colOff>387350</xdr:colOff>
                    <xdr:row>24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6192-B965-4DE9-BD3D-59F66589259C}">
  <sheetPr>
    <tabColor rgb="FF0070C0"/>
    <pageSetUpPr fitToPage="1"/>
  </sheetPr>
  <dimension ref="A1:R8"/>
  <sheetViews>
    <sheetView showGridLines="0" workbookViewId="0">
      <pane xSplit="4" ySplit="8" topLeftCell="F9" activePane="bottomRight" state="frozen"/>
      <selection activeCell="F20" sqref="F20"/>
      <selection pane="topRight" activeCell="F20" sqref="F20"/>
      <selection pane="bottomLeft" activeCell="F20" sqref="F20"/>
      <selection pane="bottomRight" activeCell="R8" sqref="R8"/>
    </sheetView>
  </sheetViews>
  <sheetFormatPr defaultColWidth="0" defaultRowHeight="14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17" width="11.16406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33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</sheetData>
  <conditionalFormatting sqref="J6:Q7">
    <cfRule type="cellIs" dxfId="27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165C5F95-51EA-461A-A092-91F923D556E9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D5B6-E5E2-441C-9EF2-87DE103E2667}">
  <sheetPr>
    <tabColor theme="6" tint="0.59999389629810485"/>
    <outlinePr summaryBelow="0" summaryRight="0"/>
    <pageSetUpPr fitToPage="1"/>
  </sheetPr>
  <dimension ref="A1:R383"/>
  <sheetViews>
    <sheetView showGridLines="0" zoomScale="70" zoomScaleNormal="70" workbookViewId="0">
      <pane xSplit="4" ySplit="8" topLeftCell="E339" activePane="bottomRight" state="frozen"/>
      <selection activeCell="D5" sqref="D5"/>
      <selection pane="topRight" activeCell="D5" sqref="D5"/>
      <selection pane="bottomLeft" activeCell="D5" sqref="D5"/>
      <selection pane="bottomRight" activeCell="I365" sqref="I365"/>
    </sheetView>
  </sheetViews>
  <sheetFormatPr defaultColWidth="0" defaultRowHeight="14" outlineLevelRow="3" x14ac:dyDescent="0.3"/>
  <cols>
    <col min="1" max="3" width="2" customWidth="1"/>
    <col min="4" max="4" width="23.4140625" customWidth="1"/>
    <col min="5" max="5" width="9.08203125" customWidth="1"/>
    <col min="6" max="6" width="8.6640625" customWidth="1"/>
    <col min="7" max="7" width="10.33203125" bestFit="1" customWidth="1"/>
    <col min="8" max="8" width="13.9140625" bestFit="1" customWidth="1"/>
    <col min="9" max="9" width="13.83203125" bestFit="1" customWidth="1"/>
    <col min="10" max="10" width="17.25" bestFit="1" customWidth="1"/>
    <col min="11" max="11" width="14.9140625" bestFit="1" customWidth="1"/>
    <col min="12" max="12" width="15.6640625" bestFit="1" customWidth="1"/>
    <col min="13" max="13" width="11.1640625" bestFit="1" customWidth="1"/>
    <col min="14" max="14" width="25.08203125" bestFit="1" customWidth="1"/>
    <col min="15" max="17" width="13.91406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122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13">
        <f t="shared" ref="J6:Q6" si="2">(J5&lt;=Date_last_historical)*1</f>
        <v>1</v>
      </c>
      <c r="K6" s="13">
        <f t="shared" si="2"/>
        <v>1</v>
      </c>
      <c r="L6" s="13">
        <f t="shared" si="2"/>
        <v>1</v>
      </c>
      <c r="M6" s="13">
        <f t="shared" si="2"/>
        <v>0</v>
      </c>
      <c r="N6" s="13">
        <f t="shared" si="2"/>
        <v>0</v>
      </c>
      <c r="O6" s="13">
        <f t="shared" si="2"/>
        <v>0</v>
      </c>
      <c r="P6" s="13">
        <f t="shared" si="2"/>
        <v>0</v>
      </c>
      <c r="Q6" s="13">
        <f t="shared" si="2"/>
        <v>0</v>
      </c>
    </row>
    <row r="7" spans="2:17" x14ac:dyDescent="0.3">
      <c r="D7" t="s">
        <v>115</v>
      </c>
      <c r="J7" s="13">
        <f t="shared" ref="J7:Q7" si="3">(J5&gt;Date_last_historical)*1</f>
        <v>0</v>
      </c>
      <c r="K7" s="13">
        <f t="shared" si="3"/>
        <v>0</v>
      </c>
      <c r="L7" s="13">
        <f t="shared" si="3"/>
        <v>0</v>
      </c>
      <c r="M7" s="13">
        <f t="shared" si="3"/>
        <v>1</v>
      </c>
      <c r="N7" s="13">
        <f t="shared" si="3"/>
        <v>1</v>
      </c>
      <c r="O7" s="13">
        <f t="shared" si="3"/>
        <v>1</v>
      </c>
      <c r="P7" s="13">
        <f t="shared" si="3"/>
        <v>1</v>
      </c>
      <c r="Q7" s="13">
        <f t="shared" si="3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7" ht="19.5" x14ac:dyDescent="0.45">
      <c r="B10" s="34" t="s">
        <v>191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spans="2:17" outlineLevel="1" x14ac:dyDescent="0.3">
      <c r="B11" s="35" t="s">
        <v>192</v>
      </c>
    </row>
    <row r="12" spans="2:17" ht="16" outlineLevel="1" thickBot="1" x14ac:dyDescent="0.4">
      <c r="C12" s="9" t="s">
        <v>136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outlineLevel="3" x14ac:dyDescent="0.3">
      <c r="D13" t="s">
        <v>124</v>
      </c>
      <c r="E13" s="36" t="str">
        <f t="shared" ref="E13:E25" si="4">currency</f>
        <v>₦ Th's</v>
      </c>
      <c r="J13" s="4">
        <v>287084087</v>
      </c>
      <c r="K13" s="4">
        <v>351822329</v>
      </c>
      <c r="L13" s="4">
        <v>446819260</v>
      </c>
    </row>
    <row r="14" spans="2:17" outlineLevel="3" x14ac:dyDescent="0.3">
      <c r="D14" t="s">
        <v>125</v>
      </c>
      <c r="E14" s="36" t="str">
        <f t="shared" si="4"/>
        <v>₦ Th's</v>
      </c>
      <c r="J14" s="4">
        <v>-167872616</v>
      </c>
      <c r="K14" s="4">
        <v>-219985914</v>
      </c>
      <c r="L14" s="4">
        <v>-291054270</v>
      </c>
    </row>
    <row r="15" spans="2:17" outlineLevel="3" x14ac:dyDescent="0.3">
      <c r="D15" s="29" t="s">
        <v>126</v>
      </c>
      <c r="E15" s="36" t="str">
        <f t="shared" si="4"/>
        <v>₦ Th's</v>
      </c>
      <c r="J15" s="4">
        <v>119211471</v>
      </c>
      <c r="K15" s="4">
        <v>131836414</v>
      </c>
      <c r="L15" s="4">
        <v>155764990</v>
      </c>
    </row>
    <row r="16" spans="2:17" outlineLevel="3" x14ac:dyDescent="0.3">
      <c r="D16" t="s">
        <v>127</v>
      </c>
      <c r="E16" s="36" t="str">
        <f t="shared" si="4"/>
        <v>₦ Th's</v>
      </c>
      <c r="J16" s="4">
        <v>-43843396</v>
      </c>
      <c r="K16" s="4">
        <v>-48097581</v>
      </c>
      <c r="L16" s="4">
        <v>-57331351</v>
      </c>
    </row>
    <row r="17" spans="2:16" outlineLevel="3" x14ac:dyDescent="0.3">
      <c r="D17" t="s">
        <v>128</v>
      </c>
      <c r="E17" s="36" t="str">
        <f t="shared" si="4"/>
        <v>₦ Th's</v>
      </c>
      <c r="J17" s="4">
        <v>-10949492</v>
      </c>
      <c r="K17" s="4">
        <v>-11494450</v>
      </c>
      <c r="L17" s="4">
        <v>-11538113</v>
      </c>
    </row>
    <row r="18" spans="2:16" outlineLevel="3" x14ac:dyDescent="0.3">
      <c r="B18" s="47" t="s">
        <v>465</v>
      </c>
      <c r="D18" t="s">
        <v>464</v>
      </c>
      <c r="E18" s="36"/>
      <c r="J18" s="4">
        <v>0</v>
      </c>
      <c r="K18" s="4">
        <v>-278438</v>
      </c>
      <c r="L18" s="4">
        <v>-29043</v>
      </c>
    </row>
    <row r="19" spans="2:16" outlineLevel="3" x14ac:dyDescent="0.3">
      <c r="D19" s="29" t="s">
        <v>129</v>
      </c>
      <c r="E19" s="36" t="str">
        <f t="shared" si="4"/>
        <v>₦ Th's</v>
      </c>
      <c r="J19" s="89">
        <v>64418583</v>
      </c>
      <c r="K19" s="89">
        <v>71965945</v>
      </c>
      <c r="L19" s="89">
        <v>86866483</v>
      </c>
    </row>
    <row r="20" spans="2:16" outlineLevel="3" x14ac:dyDescent="0.3">
      <c r="D20" t="s">
        <v>130</v>
      </c>
      <c r="E20" s="36" t="str">
        <f t="shared" si="4"/>
        <v>₦ Th's</v>
      </c>
      <c r="J20" s="4">
        <v>646546</v>
      </c>
      <c r="K20" s="4">
        <v>1987042</v>
      </c>
      <c r="L20" s="4">
        <v>4777113</v>
      </c>
    </row>
    <row r="21" spans="2:16" outlineLevel="3" x14ac:dyDescent="0.3">
      <c r="D21" t="s">
        <v>131</v>
      </c>
      <c r="E21" s="36" t="str">
        <f t="shared" si="4"/>
        <v>₦ Th's</v>
      </c>
      <c r="J21" s="4">
        <v>-4426686</v>
      </c>
      <c r="K21" s="4">
        <v>-12077645</v>
      </c>
      <c r="L21" s="4">
        <v>-20534225</v>
      </c>
    </row>
    <row r="22" spans="2:16" outlineLevel="3" x14ac:dyDescent="0.3">
      <c r="D22" s="29" t="s">
        <v>132</v>
      </c>
      <c r="E22" s="36" t="str">
        <f t="shared" si="4"/>
        <v>₦ Th's</v>
      </c>
      <c r="J22" s="4">
        <v>-3780140</v>
      </c>
      <c r="K22" s="4">
        <v>-10090603</v>
      </c>
      <c r="L22" s="4">
        <v>-15757112</v>
      </c>
    </row>
    <row r="23" spans="2:16" outlineLevel="3" x14ac:dyDescent="0.3">
      <c r="D23" t="s">
        <v>133</v>
      </c>
      <c r="E23" s="36" t="str">
        <f t="shared" si="4"/>
        <v>₦ Th's</v>
      </c>
      <c r="J23" s="4">
        <v>60638443</v>
      </c>
      <c r="K23" s="4">
        <v>61875342</v>
      </c>
      <c r="L23" s="4">
        <v>71109371</v>
      </c>
    </row>
    <row r="24" spans="2:16" outlineLevel="3" x14ac:dyDescent="0.3">
      <c r="D24" t="s">
        <v>134</v>
      </c>
      <c r="E24" s="36" t="str">
        <f t="shared" si="4"/>
        <v>₦ Th's</v>
      </c>
      <c r="J24" s="4">
        <v>-21426418</v>
      </c>
      <c r="K24" s="4">
        <v>-21838065</v>
      </c>
      <c r="L24" s="4">
        <v>-22143883</v>
      </c>
    </row>
    <row r="25" spans="2:16" outlineLevel="3" x14ac:dyDescent="0.3">
      <c r="D25" s="29" t="s">
        <v>135</v>
      </c>
      <c r="E25" s="36" t="str">
        <f t="shared" si="4"/>
        <v>₦ Th's</v>
      </c>
      <c r="J25" s="4">
        <v>39212025</v>
      </c>
      <c r="K25" s="4">
        <f>SUM(K13:K14,K16:K18,K20:K21,K24)</f>
        <v>40037278</v>
      </c>
      <c r="L25" s="4">
        <v>48965488</v>
      </c>
    </row>
    <row r="26" spans="2:16" outlineLevel="3" x14ac:dyDescent="0.3"/>
    <row r="27" spans="2:16" ht="17.5" customHeight="1" outlineLevel="1" thickBot="1" x14ac:dyDescent="0.4">
      <c r="C27" s="9" t="s">
        <v>137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outlineLevel="3" x14ac:dyDescent="0.3">
      <c r="D28" s="32" t="s">
        <v>138</v>
      </c>
    </row>
    <row r="29" spans="2:16" outlineLevel="3" x14ac:dyDescent="0.3">
      <c r="D29" t="s">
        <v>139</v>
      </c>
      <c r="E29" s="36" t="str">
        <f t="shared" ref="E29:E39" si="5">currency</f>
        <v>₦ Th's</v>
      </c>
      <c r="J29" s="4">
        <v>87265836</v>
      </c>
      <c r="K29" s="4">
        <v>98964157</v>
      </c>
      <c r="L29" s="4">
        <f>116739370-1+N("Rounding error per audited account")</f>
        <v>116739369</v>
      </c>
    </row>
    <row r="30" spans="2:16" outlineLevel="3" x14ac:dyDescent="0.3">
      <c r="D30" t="s">
        <v>140</v>
      </c>
      <c r="E30" s="36" t="str">
        <f t="shared" si="5"/>
        <v>₦ Th's</v>
      </c>
      <c r="J30" s="4">
        <v>5054528</v>
      </c>
      <c r="K30" s="4">
        <v>4848732</v>
      </c>
      <c r="L30" s="4">
        <v>4976420</v>
      </c>
    </row>
    <row r="31" spans="2:16" outlineLevel="3" x14ac:dyDescent="0.3">
      <c r="D31" t="s">
        <v>141</v>
      </c>
      <c r="E31" s="36" t="str">
        <f t="shared" si="5"/>
        <v>₦ Th's</v>
      </c>
      <c r="J31" s="4">
        <v>2363177</v>
      </c>
      <c r="K31" s="4">
        <v>2501289</v>
      </c>
      <c r="L31" s="4">
        <v>2816337</v>
      </c>
      <c r="N31" s="29"/>
    </row>
    <row r="32" spans="2:16" outlineLevel="3" x14ac:dyDescent="0.3">
      <c r="D32" s="29" t="s">
        <v>142</v>
      </c>
      <c r="E32" s="36" t="str">
        <f t="shared" si="5"/>
        <v>₦ Th's</v>
      </c>
      <c r="J32" s="87">
        <f>SUM(J29:J31)</f>
        <v>94683541</v>
      </c>
      <c r="K32" s="87">
        <f>SUM(K29:K31)</f>
        <v>106314178</v>
      </c>
      <c r="L32" s="87">
        <f>SUM(L29:L31)</f>
        <v>124532126</v>
      </c>
      <c r="N32" s="29"/>
    </row>
    <row r="33" spans="4:14" outlineLevel="3" x14ac:dyDescent="0.3">
      <c r="D33" t="s">
        <v>143</v>
      </c>
      <c r="E33" s="36" t="str">
        <f t="shared" si="5"/>
        <v>₦ Th's</v>
      </c>
      <c r="J33" s="4">
        <v>52222267</v>
      </c>
      <c r="K33" s="4">
        <v>58964125</v>
      </c>
      <c r="L33" s="4">
        <v>88340532</v>
      </c>
    </row>
    <row r="34" spans="4:14" outlineLevel="3" x14ac:dyDescent="0.3">
      <c r="D34" t="s">
        <v>144</v>
      </c>
      <c r="E34" s="36" t="str">
        <f t="shared" si="5"/>
        <v>₦ Th's</v>
      </c>
      <c r="J34" s="4">
        <v>52263</v>
      </c>
      <c r="K34" s="4">
        <v>45443</v>
      </c>
      <c r="L34" s="4">
        <v>72879</v>
      </c>
    </row>
    <row r="35" spans="4:14" outlineLevel="3" x14ac:dyDescent="0.3">
      <c r="D35" t="s">
        <v>145</v>
      </c>
      <c r="E35" s="36" t="str">
        <f t="shared" si="5"/>
        <v>₦ Th's</v>
      </c>
      <c r="J35" s="4">
        <v>39555290</v>
      </c>
      <c r="K35" s="4">
        <f>43302758-2+N(("rounding error per audit"))</f>
        <v>43302756</v>
      </c>
      <c r="L35" s="4">
        <v>82237026</v>
      </c>
    </row>
    <row r="36" spans="4:14" outlineLevel="3" x14ac:dyDescent="0.3">
      <c r="D36" t="s">
        <v>146</v>
      </c>
      <c r="E36" s="36" t="str">
        <f t="shared" si="5"/>
        <v>₦ Th's</v>
      </c>
      <c r="J36" s="4">
        <v>968426</v>
      </c>
      <c r="K36" s="4">
        <v>1093841</v>
      </c>
      <c r="L36" s="4">
        <v>1929038</v>
      </c>
    </row>
    <row r="37" spans="4:14" outlineLevel="3" x14ac:dyDescent="0.3">
      <c r="D37" t="s">
        <v>470</v>
      </c>
      <c r="E37" s="36" t="str">
        <f t="shared" si="5"/>
        <v>₦ Th's</v>
      </c>
      <c r="J37" s="4">
        <v>58703209</v>
      </c>
      <c r="K37" s="4">
        <v>100518159</v>
      </c>
      <c r="L37" s="4">
        <v>117932430</v>
      </c>
      <c r="N37" s="29"/>
    </row>
    <row r="38" spans="4:14" outlineLevel="3" x14ac:dyDescent="0.3">
      <c r="D38" s="29" t="s">
        <v>147</v>
      </c>
      <c r="E38" s="36" t="str">
        <f t="shared" si="5"/>
        <v>₦ Th's</v>
      </c>
      <c r="J38" s="87">
        <f>SUM(J33:J37)</f>
        <v>151501455</v>
      </c>
      <c r="K38" s="87">
        <f>SUM(K33:K37)</f>
        <v>203924324</v>
      </c>
      <c r="L38" s="87">
        <f>SUM(L33:L37)</f>
        <v>290511905</v>
      </c>
      <c r="N38" s="29"/>
    </row>
    <row r="39" spans="4:14" ht="14.5" outlineLevel="3" thickBot="1" x14ac:dyDescent="0.35">
      <c r="D39" s="29" t="s">
        <v>148</v>
      </c>
      <c r="E39" s="36" t="str">
        <f t="shared" si="5"/>
        <v>₦ Th's</v>
      </c>
      <c r="J39" s="88">
        <f>J32+J38</f>
        <v>246184996</v>
      </c>
      <c r="K39" s="88">
        <f>K32+K38</f>
        <v>310238502</v>
      </c>
      <c r="L39" s="88">
        <f>L32+L38</f>
        <v>415044031</v>
      </c>
      <c r="N39" s="29"/>
    </row>
    <row r="40" spans="4:14" ht="14.5" outlineLevel="3" thickTop="1" x14ac:dyDescent="0.3">
      <c r="D40" s="32" t="s">
        <v>149</v>
      </c>
      <c r="J40" s="4"/>
      <c r="K40" s="4"/>
      <c r="L40" s="4"/>
    </row>
    <row r="41" spans="4:14" outlineLevel="3" x14ac:dyDescent="0.3">
      <c r="D41" t="s">
        <v>150</v>
      </c>
      <c r="E41" s="36" t="str">
        <f>currency</f>
        <v>₦ Th's</v>
      </c>
      <c r="J41" s="4">
        <v>396328</v>
      </c>
      <c r="K41" s="4">
        <v>396328</v>
      </c>
      <c r="L41" s="4">
        <v>396328</v>
      </c>
    </row>
    <row r="42" spans="4:14" outlineLevel="3" x14ac:dyDescent="0.3">
      <c r="D42" t="s">
        <v>151</v>
      </c>
      <c r="E42" s="36" t="str">
        <f>currency</f>
        <v>₦ Th's</v>
      </c>
      <c r="J42" s="4">
        <v>32262</v>
      </c>
      <c r="K42" s="4">
        <v>32262</v>
      </c>
      <c r="L42" s="4">
        <v>32262</v>
      </c>
    </row>
    <row r="43" spans="4:14" outlineLevel="3" x14ac:dyDescent="0.3">
      <c r="D43" t="s">
        <v>152</v>
      </c>
      <c r="E43" s="36" t="str">
        <f>currency</f>
        <v>₦ Th's</v>
      </c>
      <c r="J43" s="4">
        <v>113811</v>
      </c>
      <c r="K43" s="4">
        <f>113459-3+N("rounding error per audited")</f>
        <v>113456</v>
      </c>
      <c r="L43" s="4">
        <v>90127</v>
      </c>
    </row>
    <row r="44" spans="4:14" outlineLevel="3" x14ac:dyDescent="0.3">
      <c r="D44" t="s">
        <v>153</v>
      </c>
      <c r="E44" s="36" t="str">
        <f>currency</f>
        <v>₦ Th's</v>
      </c>
      <c r="J44" s="4">
        <v>28754583</v>
      </c>
      <c r="K44" s="4">
        <v>20836160</v>
      </c>
      <c r="L44" s="4">
        <v>29772507</v>
      </c>
      <c r="N44" s="29"/>
    </row>
    <row r="45" spans="4:14" ht="14.5" outlineLevel="3" thickBot="1" x14ac:dyDescent="0.35">
      <c r="D45" s="29" t="s">
        <v>154</v>
      </c>
      <c r="E45" s="36" t="str">
        <f>currency</f>
        <v>₦ Th's</v>
      </c>
      <c r="J45" s="88">
        <f>SUM(J41:J44)</f>
        <v>29296984</v>
      </c>
      <c r="K45" s="88">
        <f>SUM(K41:K44)</f>
        <v>21378206</v>
      </c>
      <c r="L45" s="88">
        <f>SUM(L41:L44)</f>
        <v>30291224</v>
      </c>
      <c r="N45" s="29"/>
    </row>
    <row r="46" spans="4:14" ht="14.5" outlineLevel="3" thickTop="1" x14ac:dyDescent="0.3">
      <c r="D46" s="32" t="s">
        <v>155</v>
      </c>
      <c r="J46" s="4"/>
      <c r="K46" s="4"/>
      <c r="L46" s="4"/>
      <c r="N46" s="29"/>
    </row>
    <row r="47" spans="4:14" outlineLevel="3" x14ac:dyDescent="0.3">
      <c r="D47" t="s">
        <v>469</v>
      </c>
      <c r="E47" s="36" t="str">
        <f t="shared" ref="E47:E62" si="6">currency</f>
        <v>₦ Th's</v>
      </c>
      <c r="J47" s="4">
        <v>33834202</v>
      </c>
      <c r="K47" s="4">
        <v>76432859</v>
      </c>
      <c r="L47" s="4">
        <v>147006556</v>
      </c>
    </row>
    <row r="48" spans="4:14" outlineLevel="3" x14ac:dyDescent="0.3">
      <c r="D48" t="s">
        <v>156</v>
      </c>
      <c r="E48" s="36" t="str">
        <f t="shared" si="6"/>
        <v>₦ Th's</v>
      </c>
      <c r="J48" s="4">
        <v>4471021</v>
      </c>
      <c r="K48" s="4">
        <v>4038600</v>
      </c>
      <c r="L48" s="4">
        <v>4359648</v>
      </c>
    </row>
    <row r="49" spans="2:16" outlineLevel="3" x14ac:dyDescent="0.3">
      <c r="B49" s="47" t="s">
        <v>465</v>
      </c>
      <c r="D49" t="s">
        <v>466</v>
      </c>
      <c r="E49" s="36" t="str">
        <f t="shared" si="6"/>
        <v>₦ Th's</v>
      </c>
      <c r="J49" s="4">
        <v>568084</v>
      </c>
      <c r="K49" s="4">
        <v>283135</v>
      </c>
      <c r="L49" s="4">
        <v>127889</v>
      </c>
    </row>
    <row r="50" spans="2:16" outlineLevel="3" x14ac:dyDescent="0.3">
      <c r="D50" t="s">
        <v>157</v>
      </c>
      <c r="E50" s="36" t="str">
        <f t="shared" si="6"/>
        <v>₦ Th's</v>
      </c>
      <c r="J50" s="4">
        <v>11984354</v>
      </c>
      <c r="K50" s="4">
        <v>12587716</v>
      </c>
      <c r="L50" s="4">
        <v>14854152</v>
      </c>
    </row>
    <row r="51" spans="2:16" outlineLevel="3" x14ac:dyDescent="0.3">
      <c r="D51" s="32" t="s">
        <v>158</v>
      </c>
      <c r="E51" s="36" t="str">
        <f t="shared" si="6"/>
        <v>₦ Th's</v>
      </c>
      <c r="J51" s="87">
        <f>SUM(J47:J50)</f>
        <v>50857661</v>
      </c>
      <c r="K51" s="87">
        <f>SUM(K47:K50)</f>
        <v>93342310</v>
      </c>
      <c r="L51" s="87">
        <f>SUM(L47:L50)</f>
        <v>166348245</v>
      </c>
      <c r="N51" s="29"/>
    </row>
    <row r="52" spans="2:16" outlineLevel="3" x14ac:dyDescent="0.3">
      <c r="D52" t="s">
        <v>159</v>
      </c>
      <c r="E52" s="36" t="str">
        <f t="shared" si="6"/>
        <v>₦ Th's</v>
      </c>
      <c r="J52" s="4">
        <v>116512689</v>
      </c>
      <c r="K52" s="4">
        <v>148384425</v>
      </c>
      <c r="L52" s="4">
        <v>166161861</v>
      </c>
      <c r="N52" s="29"/>
    </row>
    <row r="53" spans="2:16" outlineLevel="3" x14ac:dyDescent="0.3">
      <c r="D53" t="s">
        <v>160</v>
      </c>
      <c r="E53" s="36" t="str">
        <f t="shared" si="6"/>
        <v>₦ Th's</v>
      </c>
      <c r="J53" s="4">
        <v>8647246</v>
      </c>
      <c r="K53" s="4">
        <v>15452355</v>
      </c>
      <c r="L53" s="4">
        <v>16548425</v>
      </c>
    </row>
    <row r="54" spans="2:16" outlineLevel="3" x14ac:dyDescent="0.3">
      <c r="D54" t="s">
        <v>161</v>
      </c>
      <c r="E54" s="36" t="str">
        <f t="shared" si="6"/>
        <v>₦ Th's</v>
      </c>
      <c r="J54" s="4">
        <v>90805</v>
      </c>
      <c r="K54" s="4">
        <v>78963</v>
      </c>
      <c r="L54" s="4">
        <v>112333</v>
      </c>
    </row>
    <row r="55" spans="2:16" outlineLevel="3" x14ac:dyDescent="0.3">
      <c r="D55" t="s">
        <v>162</v>
      </c>
      <c r="E55" s="36" t="str">
        <f t="shared" si="6"/>
        <v>₦ Th's</v>
      </c>
      <c r="J55" s="4">
        <v>2551</v>
      </c>
      <c r="K55" s="4">
        <v>2352</v>
      </c>
      <c r="L55" s="4">
        <v>0</v>
      </c>
    </row>
    <row r="56" spans="2:16" outlineLevel="3" x14ac:dyDescent="0.3">
      <c r="D56" t="s">
        <v>163</v>
      </c>
      <c r="E56" s="36" t="str">
        <f t="shared" si="6"/>
        <v>₦ Th's</v>
      </c>
      <c r="J56" s="4">
        <v>30476315</v>
      </c>
      <c r="K56" s="4">
        <v>28281629</v>
      </c>
      <c r="L56" s="4">
        <v>26208706</v>
      </c>
    </row>
    <row r="57" spans="2:16" outlineLevel="3" x14ac:dyDescent="0.3">
      <c r="B57" s="47" t="s">
        <v>465</v>
      </c>
      <c r="D57" t="s">
        <v>466</v>
      </c>
      <c r="E57" s="36" t="str">
        <f t="shared" si="6"/>
        <v>₦ Th's</v>
      </c>
      <c r="J57" s="4">
        <v>231270</v>
      </c>
      <c r="K57" s="4">
        <v>184821</v>
      </c>
      <c r="L57" s="4">
        <v>53717</v>
      </c>
    </row>
    <row r="58" spans="2:16" outlineLevel="3" x14ac:dyDescent="0.3">
      <c r="D58" t="s">
        <v>469</v>
      </c>
      <c r="E58" s="36" t="str">
        <f t="shared" si="6"/>
        <v>₦ Th's</v>
      </c>
      <c r="J58" s="4">
        <v>6377484</v>
      </c>
      <c r="K58" s="4">
        <v>431943</v>
      </c>
      <c r="L58" s="4">
        <v>8293512</v>
      </c>
    </row>
    <row r="59" spans="2:16" outlineLevel="3" x14ac:dyDescent="0.3">
      <c r="D59" t="s">
        <v>164</v>
      </c>
      <c r="E59" s="36" t="str">
        <f t="shared" si="6"/>
        <v>₦ Th's</v>
      </c>
      <c r="J59" s="4">
        <v>3691991</v>
      </c>
      <c r="K59" s="4">
        <v>2701498</v>
      </c>
      <c r="L59" s="4">
        <v>1026008</v>
      </c>
    </row>
    <row r="60" spans="2:16" outlineLevel="3" x14ac:dyDescent="0.3">
      <c r="D60" s="29" t="s">
        <v>165</v>
      </c>
      <c r="E60" s="36" t="str">
        <f t="shared" si="6"/>
        <v>₦ Th's</v>
      </c>
      <c r="J60" s="87">
        <f>SUM(J52:J59)</f>
        <v>166030351</v>
      </c>
      <c r="K60" s="87">
        <f>SUM(K52:K59)</f>
        <v>195517986</v>
      </c>
      <c r="L60" s="87">
        <f>SUM(L52:L59)</f>
        <v>218404562</v>
      </c>
    </row>
    <row r="61" spans="2:16" outlineLevel="3" x14ac:dyDescent="0.3">
      <c r="D61" s="29" t="s">
        <v>166</v>
      </c>
      <c r="E61" s="36" t="str">
        <f t="shared" si="6"/>
        <v>₦ Th's</v>
      </c>
      <c r="J61" s="87">
        <f>J51+J60</f>
        <v>216888012</v>
      </c>
      <c r="K61" s="87">
        <f>K51+K60</f>
        <v>288860296</v>
      </c>
      <c r="L61" s="87">
        <f>L51+L60</f>
        <v>384752807</v>
      </c>
    </row>
    <row r="62" spans="2:16" ht="14.5" outlineLevel="3" thickBot="1" x14ac:dyDescent="0.35">
      <c r="D62" s="29" t="s">
        <v>167</v>
      </c>
      <c r="E62" s="36" t="str">
        <f t="shared" si="6"/>
        <v>₦ Th's</v>
      </c>
      <c r="J62" s="88">
        <f>J61+J45</f>
        <v>246184996</v>
      </c>
      <c r="K62" s="88">
        <f>K61+K45</f>
        <v>310238502</v>
      </c>
      <c r="L62" s="88">
        <f>L61+L45</f>
        <v>415044031</v>
      </c>
      <c r="N62" s="29"/>
    </row>
    <row r="63" spans="2:16" ht="15" outlineLevel="3" thickTop="1" thickBot="1" x14ac:dyDescent="0.35">
      <c r="J63" s="33">
        <f>J62-J39</f>
        <v>0</v>
      </c>
      <c r="K63" s="33">
        <f>K62-K39</f>
        <v>0</v>
      </c>
      <c r="L63" s="33">
        <f>L62-L39</f>
        <v>0</v>
      </c>
      <c r="N63" s="29"/>
    </row>
    <row r="64" spans="2:16" ht="17.5" outlineLevel="1" thickTop="1" x14ac:dyDescent="0.4">
      <c r="C64" s="31" t="s">
        <v>168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</row>
    <row r="65" spans="3:16" outlineLevel="3" x14ac:dyDescent="0.3">
      <c r="C65" s="40" t="s">
        <v>169</v>
      </c>
      <c r="D65" s="40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</row>
    <row r="66" spans="3:16" outlineLevel="3" x14ac:dyDescent="0.3">
      <c r="D66" s="32" t="s">
        <v>170</v>
      </c>
    </row>
    <row r="67" spans="3:16" outlineLevel="3" x14ac:dyDescent="0.3">
      <c r="D67" s="30" t="s">
        <v>171</v>
      </c>
      <c r="E67" s="36" t="str">
        <f t="shared" ref="E67:E74" si="7">currency</f>
        <v>₦ Th's</v>
      </c>
      <c r="J67" s="90"/>
      <c r="K67" s="90"/>
      <c r="L67" s="90"/>
    </row>
    <row r="68" spans="3:16" outlineLevel="3" x14ac:dyDescent="0.3">
      <c r="D68" s="30" t="s">
        <v>172</v>
      </c>
      <c r="E68" s="36" t="str">
        <f t="shared" si="7"/>
        <v>₦ Th's</v>
      </c>
      <c r="J68" s="90"/>
      <c r="K68" s="90"/>
      <c r="L68" s="90"/>
    </row>
    <row r="69" spans="3:16" outlineLevel="3" x14ac:dyDescent="0.3">
      <c r="D69" s="30" t="s">
        <v>173</v>
      </c>
      <c r="E69" s="36" t="str">
        <f t="shared" si="7"/>
        <v>₦ Th's</v>
      </c>
      <c r="J69" s="90"/>
      <c r="K69" s="90"/>
      <c r="L69" s="90"/>
    </row>
    <row r="70" spans="3:16" outlineLevel="3" x14ac:dyDescent="0.3">
      <c r="D70" s="30" t="s">
        <v>174</v>
      </c>
      <c r="E70" s="36" t="str">
        <f t="shared" si="7"/>
        <v>₦ Th's</v>
      </c>
      <c r="J70" s="90"/>
      <c r="K70" s="90"/>
      <c r="L70" s="90"/>
    </row>
    <row r="71" spans="3:16" outlineLevel="3" x14ac:dyDescent="0.3">
      <c r="D71" s="30" t="s">
        <v>175</v>
      </c>
      <c r="E71" s="36" t="str">
        <f t="shared" si="7"/>
        <v>₦ Th's</v>
      </c>
      <c r="J71" s="91"/>
      <c r="K71" s="91"/>
      <c r="L71" s="91"/>
    </row>
    <row r="72" spans="3:16" outlineLevel="3" x14ac:dyDescent="0.3">
      <c r="D72" s="30" t="s">
        <v>176</v>
      </c>
      <c r="E72" s="36" t="str">
        <f t="shared" si="7"/>
        <v>₦ Th's</v>
      </c>
      <c r="J72" s="92"/>
      <c r="K72" s="92"/>
      <c r="L72" s="92"/>
    </row>
    <row r="73" spans="3:16" outlineLevel="3" x14ac:dyDescent="0.3">
      <c r="D73" s="30" t="s">
        <v>177</v>
      </c>
      <c r="E73" s="36" t="str">
        <f t="shared" si="7"/>
        <v>₦ Th's</v>
      </c>
      <c r="J73" s="92"/>
      <c r="K73" s="92"/>
      <c r="L73" s="92"/>
    </row>
    <row r="74" spans="3:16" ht="14.5" outlineLevel="3" thickBot="1" x14ac:dyDescent="0.35">
      <c r="D74" s="30"/>
      <c r="E74" s="36" t="str">
        <f t="shared" si="7"/>
        <v>₦ Th's</v>
      </c>
      <c r="J74" s="93"/>
      <c r="K74" s="93"/>
      <c r="L74" s="93"/>
    </row>
    <row r="75" spans="3:16" ht="14.5" outlineLevel="3" thickTop="1" x14ac:dyDescent="0.3">
      <c r="D75" s="30"/>
      <c r="J75" s="94"/>
      <c r="K75" s="94"/>
      <c r="L75" s="94"/>
    </row>
    <row r="76" spans="3:16" outlineLevel="3" x14ac:dyDescent="0.3">
      <c r="D76" s="32" t="s">
        <v>178</v>
      </c>
      <c r="J76" s="94"/>
      <c r="K76" s="94"/>
      <c r="L76" s="94"/>
    </row>
    <row r="77" spans="3:16" outlineLevel="3" x14ac:dyDescent="0.3">
      <c r="D77" s="30" t="s">
        <v>179</v>
      </c>
      <c r="E77" s="36" t="str">
        <f>currency</f>
        <v>₦ Th's</v>
      </c>
      <c r="J77" s="92"/>
      <c r="K77" s="92"/>
      <c r="L77" s="92"/>
    </row>
    <row r="78" spans="3:16" outlineLevel="3" x14ac:dyDescent="0.3">
      <c r="D78" s="30" t="s">
        <v>180</v>
      </c>
      <c r="E78" s="36" t="str">
        <f>currency</f>
        <v>₦ Th's</v>
      </c>
      <c r="J78" s="92"/>
      <c r="K78" s="92"/>
      <c r="L78" s="92"/>
    </row>
    <row r="79" spans="3:16" ht="14.5" outlineLevel="3" thickBot="1" x14ac:dyDescent="0.35">
      <c r="D79" s="30"/>
      <c r="E79" s="36" t="str">
        <f>currency</f>
        <v>₦ Th's</v>
      </c>
      <c r="J79" s="93"/>
      <c r="K79" s="93"/>
      <c r="L79" s="93"/>
    </row>
    <row r="80" spans="3:16" ht="14.5" outlineLevel="3" thickTop="1" x14ac:dyDescent="0.3">
      <c r="D80" s="30"/>
      <c r="J80" s="94"/>
      <c r="K80" s="94"/>
      <c r="L80" s="94"/>
    </row>
    <row r="81" spans="2:17" ht="14.5" outlineLevel="3" thickBot="1" x14ac:dyDescent="0.35">
      <c r="D81" s="30" t="s">
        <v>181</v>
      </c>
      <c r="E81" s="36" t="str">
        <f>currency</f>
        <v>₦ Th's</v>
      </c>
      <c r="J81" s="93"/>
      <c r="K81" s="93"/>
      <c r="L81" s="93"/>
    </row>
    <row r="82" spans="2:17" ht="14.5" outlineLevel="3" thickTop="1" x14ac:dyDescent="0.3">
      <c r="D82" s="30"/>
      <c r="J82" s="95"/>
      <c r="K82" s="95"/>
      <c r="L82" s="95"/>
    </row>
    <row r="83" spans="2:17" outlineLevel="3" x14ac:dyDescent="0.3">
      <c r="D83" s="30" t="s">
        <v>182</v>
      </c>
      <c r="E83" s="36" t="str">
        <f>currency</f>
        <v>₦ Th's</v>
      </c>
      <c r="J83" s="94"/>
      <c r="K83" s="94"/>
      <c r="L83" s="94"/>
    </row>
    <row r="84" spans="2:17" outlineLevel="3" x14ac:dyDescent="0.3">
      <c r="D84" s="30" t="s">
        <v>183</v>
      </c>
      <c r="E84" s="36" t="str">
        <f>currency</f>
        <v>₦ Th's</v>
      </c>
      <c r="J84" s="94"/>
      <c r="K84" s="94"/>
      <c r="L84" s="94"/>
    </row>
    <row r="85" spans="2:17" outlineLevel="3" x14ac:dyDescent="0.3">
      <c r="D85" s="30"/>
      <c r="J85" s="94"/>
      <c r="K85" s="94"/>
      <c r="L85" s="94"/>
    </row>
    <row r="86" spans="2:17" outlineLevel="3" x14ac:dyDescent="0.3">
      <c r="D86" s="30" t="s">
        <v>184</v>
      </c>
      <c r="E86" s="36" t="str">
        <f>currency</f>
        <v>₦ Th's</v>
      </c>
      <c r="J86" s="94"/>
      <c r="K86" s="94"/>
      <c r="L86" s="94"/>
    </row>
    <row r="87" spans="2:17" outlineLevel="3" x14ac:dyDescent="0.3">
      <c r="D87" s="30" t="s">
        <v>185</v>
      </c>
      <c r="E87" s="36" t="str">
        <f>currency</f>
        <v>₦ Th's</v>
      </c>
      <c r="J87" s="94"/>
      <c r="K87" s="94"/>
      <c r="L87" s="94"/>
    </row>
    <row r="88" spans="2:17" outlineLevel="3" x14ac:dyDescent="0.3">
      <c r="D88" s="30"/>
      <c r="J88" s="94"/>
      <c r="K88" s="94"/>
      <c r="L88" s="94"/>
    </row>
    <row r="89" spans="2:17" outlineLevel="3" x14ac:dyDescent="0.3">
      <c r="D89" s="32" t="s">
        <v>186</v>
      </c>
      <c r="J89" s="95"/>
      <c r="K89" s="95"/>
      <c r="L89" s="95"/>
    </row>
    <row r="90" spans="2:17" outlineLevel="3" x14ac:dyDescent="0.3">
      <c r="D90" s="30" t="s">
        <v>187</v>
      </c>
      <c r="E90" s="36" t="s">
        <v>193</v>
      </c>
      <c r="J90" s="94"/>
      <c r="K90" s="94"/>
      <c r="L90" s="94"/>
    </row>
    <row r="91" spans="2:17" outlineLevel="3" x14ac:dyDescent="0.3">
      <c r="D91" s="30" t="s">
        <v>188</v>
      </c>
      <c r="E91" s="36" t="s">
        <v>193</v>
      </c>
      <c r="J91" s="94"/>
      <c r="K91" s="94"/>
      <c r="L91" s="94"/>
    </row>
    <row r="92" spans="2:17" outlineLevel="3" x14ac:dyDescent="0.3">
      <c r="D92" s="30" t="s">
        <v>189</v>
      </c>
      <c r="E92" s="36" t="s">
        <v>193</v>
      </c>
      <c r="J92" s="94"/>
      <c r="K92" s="94"/>
      <c r="L92" s="94"/>
    </row>
    <row r="93" spans="2:17" outlineLevel="3" x14ac:dyDescent="0.3">
      <c r="D93" s="30" t="s">
        <v>190</v>
      </c>
      <c r="E93" s="36" t="s">
        <v>193</v>
      </c>
      <c r="J93" s="94"/>
      <c r="K93" s="94"/>
      <c r="L93" s="94"/>
    </row>
    <row r="94" spans="2:17" outlineLevel="3" x14ac:dyDescent="0.3"/>
    <row r="95" spans="2:17" outlineLevel="3" x14ac:dyDescent="0.3"/>
    <row r="96" spans="2:17" ht="17" thickBot="1" x14ac:dyDescent="0.4">
      <c r="B96" s="8" t="s">
        <v>194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2:16" ht="17.5" outlineLevel="1" thickTop="1" thickBot="1" x14ac:dyDescent="0.4">
      <c r="B97" s="8" t="s">
        <v>195</v>
      </c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2:16" ht="14.5" outlineLevel="3" thickTop="1" x14ac:dyDescent="0.3"/>
    <row r="99" spans="2:16" outlineLevel="3" x14ac:dyDescent="0.3">
      <c r="D99" t="s">
        <v>181</v>
      </c>
      <c r="J99">
        <f>J13</f>
        <v>287084087</v>
      </c>
      <c r="K99">
        <f>K13</f>
        <v>351822329</v>
      </c>
      <c r="L99">
        <f>L13</f>
        <v>446819260</v>
      </c>
    </row>
    <row r="100" spans="2:16" outlineLevel="3" x14ac:dyDescent="0.3">
      <c r="D100" t="s">
        <v>208</v>
      </c>
      <c r="J100">
        <f>J186</f>
        <v>162807627</v>
      </c>
      <c r="K100">
        <f>K186</f>
        <v>214296403</v>
      </c>
      <c r="L100">
        <f>L186</f>
        <v>284557646</v>
      </c>
    </row>
    <row r="101" spans="2:16" outlineLevel="3" x14ac:dyDescent="0.3">
      <c r="D101" s="29" t="s">
        <v>196</v>
      </c>
      <c r="J101" s="12">
        <f>J99-J100</f>
        <v>124276460</v>
      </c>
      <c r="K101" s="12">
        <f>K99-K100</f>
        <v>137525926</v>
      </c>
      <c r="L101" s="12">
        <f>L99-L100</f>
        <v>162261614</v>
      </c>
    </row>
    <row r="102" spans="2:16" outlineLevel="3" x14ac:dyDescent="0.3">
      <c r="D102" t="s">
        <v>205</v>
      </c>
      <c r="J102">
        <f>J205</f>
        <v>52543061</v>
      </c>
      <c r="K102">
        <f>K205</f>
        <v>57316411</v>
      </c>
      <c r="L102">
        <f>L205</f>
        <v>66347382</v>
      </c>
    </row>
    <row r="103" spans="2:16" outlineLevel="3" x14ac:dyDescent="0.3">
      <c r="D103" s="29" t="s">
        <v>74</v>
      </c>
      <c r="J103" s="12">
        <f>J101-J102</f>
        <v>71733399</v>
      </c>
      <c r="K103" s="12">
        <f>K101-K102</f>
        <v>80209515</v>
      </c>
      <c r="L103" s="12">
        <f>L101-L102</f>
        <v>95914232</v>
      </c>
    </row>
    <row r="104" spans="2:16" outlineLevel="3" x14ac:dyDescent="0.3">
      <c r="D104" t="s">
        <v>197</v>
      </c>
      <c r="J104">
        <f>J216</f>
        <v>7314816</v>
      </c>
      <c r="K104">
        <f>K216</f>
        <v>7965131</v>
      </c>
      <c r="L104">
        <f>L216</f>
        <v>9018706</v>
      </c>
    </row>
    <row r="105" spans="2:16" outlineLevel="3" x14ac:dyDescent="0.3">
      <c r="D105" t="s">
        <v>198</v>
      </c>
      <c r="J105">
        <f>J244</f>
        <v>0</v>
      </c>
      <c r="K105">
        <f t="shared" ref="K105:L105" si="8">K244</f>
        <v>278438</v>
      </c>
      <c r="L105">
        <f t="shared" si="8"/>
        <v>29043</v>
      </c>
    </row>
    <row r="106" spans="2:16" outlineLevel="3" x14ac:dyDescent="0.3">
      <c r="D106" s="29" t="s">
        <v>73</v>
      </c>
      <c r="J106" s="12">
        <f>J103-J104-J105</f>
        <v>64418583</v>
      </c>
      <c r="K106" s="12">
        <f>K103-K104-K105</f>
        <v>71965946</v>
      </c>
      <c r="L106" s="12">
        <f>L103-L104-L105</f>
        <v>86866483</v>
      </c>
    </row>
    <row r="107" spans="2:16" outlineLevel="3" x14ac:dyDescent="0.3">
      <c r="D107" t="s">
        <v>199</v>
      </c>
      <c r="J107">
        <f>J252</f>
        <v>646546</v>
      </c>
      <c r="K107">
        <f>K252</f>
        <v>1987042</v>
      </c>
      <c r="L107">
        <f>L252</f>
        <v>4777113</v>
      </c>
    </row>
    <row r="108" spans="2:16" outlineLevel="3" x14ac:dyDescent="0.3">
      <c r="D108" t="s">
        <v>202</v>
      </c>
      <c r="J108">
        <f>J257</f>
        <v>2698404</v>
      </c>
      <c r="K108">
        <f>K257</f>
        <v>7342611</v>
      </c>
      <c r="L108">
        <f>L257</f>
        <v>12682244</v>
      </c>
    </row>
    <row r="109" spans="2:16" outlineLevel="3" x14ac:dyDescent="0.3">
      <c r="D109" t="s">
        <v>404</v>
      </c>
      <c r="J109">
        <f>J256</f>
        <v>1728282</v>
      </c>
      <c r="K109">
        <f>K256</f>
        <v>4735034</v>
      </c>
      <c r="L109">
        <f>L256</f>
        <v>7851981</v>
      </c>
    </row>
    <row r="110" spans="2:16" outlineLevel="3" x14ac:dyDescent="0.3">
      <c r="D110" s="29" t="s">
        <v>200</v>
      </c>
      <c r="J110" s="12">
        <f>J106+J107-J108-J109</f>
        <v>60638443</v>
      </c>
      <c r="K110" s="12">
        <f>K106+K107-K108-K109</f>
        <v>61875343</v>
      </c>
      <c r="L110" s="12">
        <f>L106+L107-L108-L109</f>
        <v>71109371</v>
      </c>
    </row>
    <row r="111" spans="2:16" outlineLevel="3" x14ac:dyDescent="0.3">
      <c r="D111" t="s">
        <v>226</v>
      </c>
      <c r="J111">
        <f t="shared" ref="J111:L112" si="9">J263</f>
        <v>21899010</v>
      </c>
      <c r="K111">
        <f t="shared" si="9"/>
        <v>21234703</v>
      </c>
      <c r="L111">
        <f t="shared" si="9"/>
        <v>19877447</v>
      </c>
    </row>
    <row r="112" spans="2:16" outlineLevel="3" x14ac:dyDescent="0.3">
      <c r="D112" t="s">
        <v>203</v>
      </c>
      <c r="J112">
        <f t="shared" si="9"/>
        <v>-472592</v>
      </c>
      <c r="K112">
        <f t="shared" si="9"/>
        <v>603362</v>
      </c>
      <c r="L112">
        <f t="shared" si="9"/>
        <v>2266436</v>
      </c>
    </row>
    <row r="113" spans="1:17" ht="14.5" outlineLevel="3" thickBot="1" x14ac:dyDescent="0.35">
      <c r="D113" s="29" t="s">
        <v>204</v>
      </c>
      <c r="J113" s="11">
        <f>J110-J111-J112</f>
        <v>39212025</v>
      </c>
      <c r="K113" s="11">
        <f>K110-K111-K112</f>
        <v>40037278</v>
      </c>
      <c r="L113" s="11">
        <f>L110-L111-L112</f>
        <v>48965488</v>
      </c>
    </row>
    <row r="114" spans="1:17" ht="14.5" outlineLevel="3" thickTop="1" x14ac:dyDescent="0.3">
      <c r="D114" t="s">
        <v>229</v>
      </c>
      <c r="I114">
        <f>COUNTIF(K114:L114,"&lt;&gt;0")</f>
        <v>0</v>
      </c>
      <c r="J114">
        <f>J113-J25</f>
        <v>0</v>
      </c>
      <c r="K114">
        <f>K113-K25</f>
        <v>0</v>
      </c>
      <c r="L114">
        <f>L113-L25</f>
        <v>0</v>
      </c>
    </row>
    <row r="115" spans="1:17" outlineLevel="3" x14ac:dyDescent="0.3"/>
    <row r="116" spans="1:17" outlineLevel="3" x14ac:dyDescent="0.3"/>
    <row r="117" spans="1:17" s="8" customFormat="1" ht="17" outlineLevel="1" thickBot="1" x14ac:dyDescent="0.4">
      <c r="A117"/>
      <c r="B117" s="8" t="s">
        <v>137</v>
      </c>
    </row>
    <row r="118" spans="1:17" s="8" customFormat="1" ht="17.5" outlineLevel="2" thickTop="1" thickBot="1" x14ac:dyDescent="0.4">
      <c r="A118"/>
      <c r="B118" s="8" t="s">
        <v>138</v>
      </c>
    </row>
    <row r="119" spans="1:17" ht="16.5" outlineLevel="3" thickTop="1" thickBot="1" x14ac:dyDescent="0.4">
      <c r="C119" s="9" t="s">
        <v>230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outlineLevel="3" x14ac:dyDescent="0.3">
      <c r="D120" t="str">
        <f>D274</f>
        <v>PP&amp;E</v>
      </c>
      <c r="J120">
        <f t="shared" ref="J120" si="10">J274</f>
        <v>92320364</v>
      </c>
      <c r="K120">
        <f>K274</f>
        <v>103812889</v>
      </c>
      <c r="L120">
        <f>L274</f>
        <v>121715789</v>
      </c>
    </row>
    <row r="121" spans="1:17" outlineLevel="3" x14ac:dyDescent="0.3">
      <c r="D121" s="38" t="s">
        <v>274</v>
      </c>
      <c r="J121" s="12">
        <f>J120</f>
        <v>92320364</v>
      </c>
      <c r="K121" s="12">
        <f>K120</f>
        <v>103812889</v>
      </c>
      <c r="L121" s="12">
        <f>L120</f>
        <v>121715789</v>
      </c>
    </row>
    <row r="122" spans="1:17" outlineLevel="3" x14ac:dyDescent="0.3"/>
    <row r="123" spans="1:17" ht="16" outlineLevel="3" thickBot="1" x14ac:dyDescent="0.4">
      <c r="C123" s="9" t="s">
        <v>275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outlineLevel="3" x14ac:dyDescent="0.3">
      <c r="D124" t="str">
        <f>D287</f>
        <v>Trade Receivables</v>
      </c>
      <c r="J124">
        <f t="shared" ref="J124" si="11">J287</f>
        <v>10904423</v>
      </c>
      <c r="K124">
        <f t="shared" ref="K124:L124" si="12">K287</f>
        <v>4206216</v>
      </c>
      <c r="L124">
        <f t="shared" si="12"/>
        <v>5493686</v>
      </c>
    </row>
    <row r="125" spans="1:17" outlineLevel="3" x14ac:dyDescent="0.3">
      <c r="D125" t="str">
        <f>D292</f>
        <v>Staff Loans</v>
      </c>
      <c r="J125">
        <f t="shared" ref="J125" si="13">J292</f>
        <v>2734089</v>
      </c>
      <c r="K125">
        <f t="shared" ref="K125:L125" si="14">K292</f>
        <v>2870047</v>
      </c>
      <c r="L125">
        <f t="shared" si="14"/>
        <v>2988632</v>
      </c>
    </row>
    <row r="126" spans="1:17" outlineLevel="3" x14ac:dyDescent="0.3">
      <c r="D126" t="str">
        <f>D294</f>
        <v>Deposit with Company registrars for dividend</v>
      </c>
      <c r="J126">
        <f t="shared" ref="J126" si="15">J294</f>
        <v>2724553</v>
      </c>
      <c r="K126">
        <f t="shared" ref="K126:L126" si="16">K294</f>
        <v>2801222</v>
      </c>
      <c r="L126">
        <f t="shared" si="16"/>
        <v>2537334</v>
      </c>
    </row>
    <row r="127" spans="1:17" outlineLevel="3" x14ac:dyDescent="0.3">
      <c r="D127" t="str">
        <f>D299</f>
        <v>Advance payment to suppliers</v>
      </c>
      <c r="J127">
        <f t="shared" ref="J127" si="17">J299</f>
        <v>23625648</v>
      </c>
      <c r="K127">
        <f t="shared" ref="K127:L127" si="18">K299</f>
        <v>34263887</v>
      </c>
      <c r="L127">
        <f t="shared" si="18"/>
        <v>68444339</v>
      </c>
    </row>
    <row r="128" spans="1:17" outlineLevel="3" x14ac:dyDescent="0.3">
      <c r="D128" t="str">
        <f>D301</f>
        <v>Other receivables</v>
      </c>
      <c r="J128">
        <f t="shared" ref="J128" si="19">J301</f>
        <v>1982017</v>
      </c>
      <c r="K128">
        <f t="shared" ref="K128:L128" si="20">K301</f>
        <v>1708116</v>
      </c>
      <c r="L128">
        <f t="shared" si="20"/>
        <v>5662251</v>
      </c>
    </row>
    <row r="129" spans="2:17" outlineLevel="3" x14ac:dyDescent="0.3">
      <c r="D129" t="str">
        <f>D310</f>
        <v>Total Prepayments</v>
      </c>
      <c r="J129">
        <f t="shared" ref="J129" si="21">J310</f>
        <v>968426</v>
      </c>
      <c r="K129">
        <f t="shared" ref="K129:L129" si="22">K310</f>
        <v>1093841</v>
      </c>
      <c r="L129">
        <f t="shared" si="22"/>
        <v>1929038</v>
      </c>
    </row>
    <row r="130" spans="2:17" outlineLevel="3" x14ac:dyDescent="0.3">
      <c r="D130" t="str">
        <f>D314</f>
        <v xml:space="preserve">Inventories </v>
      </c>
      <c r="J130">
        <f t="shared" ref="J130" si="23">J314</f>
        <v>52222267</v>
      </c>
      <c r="K130">
        <f t="shared" ref="K130:L130" si="24">K314</f>
        <v>58964125</v>
      </c>
      <c r="L130">
        <f t="shared" si="24"/>
        <v>88340532</v>
      </c>
    </row>
    <row r="131" spans="2:17" outlineLevel="3" x14ac:dyDescent="0.3">
      <c r="D131" t="str">
        <f>D380</f>
        <v>Cash and short term-deposit</v>
      </c>
      <c r="J131">
        <f t="shared" ref="J131" si="25">J380</f>
        <v>58703209</v>
      </c>
      <c r="K131">
        <f t="shared" ref="K131:L131" si="26">K380</f>
        <v>100518159</v>
      </c>
      <c r="L131">
        <f t="shared" si="26"/>
        <v>117932430</v>
      </c>
    </row>
    <row r="132" spans="2:17" outlineLevel="3" x14ac:dyDescent="0.3">
      <c r="D132" s="38" t="s">
        <v>277</v>
      </c>
      <c r="J132" s="12">
        <f>SUM(J124:J131)</f>
        <v>153864632</v>
      </c>
      <c r="K132" s="12">
        <f>SUM(K124:K131)</f>
        <v>206425613</v>
      </c>
      <c r="L132" s="12">
        <f>SUM(L124:L131)</f>
        <v>293328242</v>
      </c>
    </row>
    <row r="133" spans="2:17" ht="14.5" outlineLevel="3" thickBot="1" x14ac:dyDescent="0.35">
      <c r="D133" s="38" t="s">
        <v>278</v>
      </c>
      <c r="J133" s="11">
        <f>J121+J132</f>
        <v>246184996</v>
      </c>
      <c r="K133" s="11">
        <f>K121+K132</f>
        <v>310238502</v>
      </c>
      <c r="L133" s="11">
        <f>L121+L132</f>
        <v>415044031</v>
      </c>
    </row>
    <row r="134" spans="2:17" ht="17.5" outlineLevel="2" thickTop="1" thickBot="1" x14ac:dyDescent="0.4">
      <c r="B134" s="8" t="s">
        <v>279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2:17" ht="16.5" outlineLevel="3" thickTop="1" thickBot="1" x14ac:dyDescent="0.4">
      <c r="C135" s="9" t="s">
        <v>149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2:17" outlineLevel="3" x14ac:dyDescent="0.3">
      <c r="D136" t="str">
        <f>D372</f>
        <v xml:space="preserve">Share capital </v>
      </c>
      <c r="J136">
        <f t="shared" ref="J136" si="27">J372</f>
        <v>396328</v>
      </c>
      <c r="K136">
        <f t="shared" ref="K136:L136" si="28">K372</f>
        <v>396328</v>
      </c>
      <c r="L136">
        <f t="shared" si="28"/>
        <v>396328</v>
      </c>
    </row>
    <row r="137" spans="2:17" outlineLevel="3" x14ac:dyDescent="0.3">
      <c r="D137" t="str">
        <f>D373</f>
        <v xml:space="preserve">Share premium </v>
      </c>
      <c r="J137">
        <f t="shared" ref="J137" si="29">J373</f>
        <v>32262</v>
      </c>
      <c r="K137">
        <f t="shared" ref="K137:L137" si="30">K373</f>
        <v>32262</v>
      </c>
      <c r="L137">
        <f t="shared" si="30"/>
        <v>32262</v>
      </c>
    </row>
    <row r="138" spans="2:17" outlineLevel="3" x14ac:dyDescent="0.3">
      <c r="D138" t="str">
        <f>D374</f>
        <v xml:space="preserve">Share based payment reserve </v>
      </c>
      <c r="J138">
        <f t="shared" ref="J138" si="31">J374</f>
        <v>113811</v>
      </c>
      <c r="K138">
        <f t="shared" ref="K138:L138" si="32">K374</f>
        <v>113456</v>
      </c>
      <c r="L138">
        <f t="shared" si="32"/>
        <v>90127</v>
      </c>
    </row>
    <row r="139" spans="2:17" outlineLevel="3" x14ac:dyDescent="0.3">
      <c r="D139" t="str">
        <f>D375</f>
        <v xml:space="preserve">Retained earnings </v>
      </c>
      <c r="J139">
        <f t="shared" ref="J139" si="33">J375</f>
        <v>28754583</v>
      </c>
      <c r="K139">
        <f t="shared" ref="K139:L139" si="34">K375</f>
        <v>20836160</v>
      </c>
      <c r="L139">
        <f t="shared" si="34"/>
        <v>29772507</v>
      </c>
    </row>
    <row r="140" spans="2:17" ht="14.5" outlineLevel="3" thickBot="1" x14ac:dyDescent="0.35">
      <c r="D140" s="38" t="s">
        <v>280</v>
      </c>
      <c r="J140" s="11">
        <f>SUM(J136:J139)</f>
        <v>29296984</v>
      </c>
      <c r="K140" s="11">
        <f>SUM(K136:K139)</f>
        <v>21378206</v>
      </c>
      <c r="L140" s="11">
        <f>SUM(L136:L139)</f>
        <v>30291224</v>
      </c>
    </row>
    <row r="141" spans="2:17" ht="16.5" outlineLevel="3" thickTop="1" thickBot="1" x14ac:dyDescent="0.4">
      <c r="C141" s="9" t="s">
        <v>281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2:17" outlineLevel="3" x14ac:dyDescent="0.3">
      <c r="D142" t="str">
        <f>D359</f>
        <v>Total Loans and Borrowings</v>
      </c>
      <c r="J142">
        <f t="shared" ref="J142" si="35">J359</f>
        <v>40211686</v>
      </c>
      <c r="K142">
        <f t="shared" ref="K142:L142" si="36">K359</f>
        <v>76864802</v>
      </c>
      <c r="L142">
        <f t="shared" si="36"/>
        <v>155300068</v>
      </c>
    </row>
    <row r="143" spans="2:17" outlineLevel="3" x14ac:dyDescent="0.3">
      <c r="D143" t="str">
        <f>D319</f>
        <v xml:space="preserve">Employee benefits </v>
      </c>
      <c r="J143">
        <f t="shared" ref="J143" si="37">J319</f>
        <v>4471021</v>
      </c>
      <c r="K143">
        <f t="shared" ref="K143:L143" si="38">K319</f>
        <v>4038600</v>
      </c>
      <c r="L143">
        <f t="shared" si="38"/>
        <v>4359648</v>
      </c>
    </row>
    <row r="144" spans="2:17" outlineLevel="3" x14ac:dyDescent="0.3">
      <c r="B144" s="47" t="s">
        <v>467</v>
      </c>
      <c r="D144" t="s">
        <v>466</v>
      </c>
      <c r="J144">
        <f>J332</f>
        <v>799354</v>
      </c>
      <c r="K144">
        <f t="shared" ref="K144:L144" si="39">K332</f>
        <v>467956</v>
      </c>
      <c r="L144">
        <f t="shared" si="39"/>
        <v>181606</v>
      </c>
    </row>
    <row r="145" spans="3:17" outlineLevel="3" x14ac:dyDescent="0.3">
      <c r="D145" t="str">
        <f>D321</f>
        <v xml:space="preserve">Deferred tax liabilities </v>
      </c>
      <c r="J145">
        <f t="shared" ref="J145" si="40">J321</f>
        <v>11984354</v>
      </c>
      <c r="K145">
        <f t="shared" ref="K145:L145" si="41">K321</f>
        <v>12587716</v>
      </c>
      <c r="L145">
        <f t="shared" si="41"/>
        <v>14854152</v>
      </c>
    </row>
    <row r="146" spans="3:17" outlineLevel="3" x14ac:dyDescent="0.3">
      <c r="D146" s="38" t="s">
        <v>282</v>
      </c>
      <c r="J146" s="12">
        <f>SUM(J142:J145)</f>
        <v>57466415</v>
      </c>
      <c r="K146" s="12">
        <f>SUM(K142:K145)</f>
        <v>93959074</v>
      </c>
      <c r="L146" s="12">
        <f>SUM(L142:L145)</f>
        <v>174695474</v>
      </c>
    </row>
    <row r="147" spans="3:17" ht="16" outlineLevel="3" thickBot="1" x14ac:dyDescent="0.4">
      <c r="C147" s="9" t="s">
        <v>176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3:17" outlineLevel="3" x14ac:dyDescent="0.3">
      <c r="D148" t="str">
        <f>D322</f>
        <v xml:space="preserve">Contract liabilities </v>
      </c>
      <c r="J148">
        <f t="shared" ref="J148" si="42">J322</f>
        <v>8647246</v>
      </c>
      <c r="K148">
        <f t="shared" ref="K148:L151" si="43">K322</f>
        <v>15452355</v>
      </c>
      <c r="L148">
        <f t="shared" si="43"/>
        <v>16548425</v>
      </c>
    </row>
    <row r="149" spans="3:17" outlineLevel="3" x14ac:dyDescent="0.3">
      <c r="D149" t="str">
        <f t="shared" ref="D149:D151" si="44">D323</f>
        <v xml:space="preserve">Refund liabilities </v>
      </c>
      <c r="J149">
        <f t="shared" ref="J149" si="45">J323</f>
        <v>90805</v>
      </c>
      <c r="K149">
        <f t="shared" si="43"/>
        <v>78963</v>
      </c>
      <c r="L149">
        <f t="shared" si="43"/>
        <v>112333</v>
      </c>
    </row>
    <row r="150" spans="3:17" outlineLevel="3" x14ac:dyDescent="0.3">
      <c r="D150" t="str">
        <f t="shared" si="44"/>
        <v xml:space="preserve">Current tax liabilities </v>
      </c>
      <c r="J150">
        <f t="shared" ref="J150" si="46">J324</f>
        <v>30476315</v>
      </c>
      <c r="K150">
        <f t="shared" si="43"/>
        <v>28281629</v>
      </c>
      <c r="L150">
        <f t="shared" si="43"/>
        <v>26208706</v>
      </c>
    </row>
    <row r="151" spans="3:17" outlineLevel="3" x14ac:dyDescent="0.3">
      <c r="D151" t="str">
        <f t="shared" si="44"/>
        <v xml:space="preserve">Provisions </v>
      </c>
      <c r="J151">
        <f t="shared" ref="J151" si="47">J325</f>
        <v>3691991</v>
      </c>
      <c r="K151">
        <f t="shared" si="43"/>
        <v>2701498</v>
      </c>
      <c r="L151">
        <f t="shared" si="43"/>
        <v>1026008</v>
      </c>
    </row>
    <row r="152" spans="3:17" outlineLevel="3" x14ac:dyDescent="0.3">
      <c r="D152" t="str">
        <f>D348</f>
        <v>Trade Payables</v>
      </c>
      <c r="J152">
        <f t="shared" ref="J152" si="48">J348</f>
        <v>93299251</v>
      </c>
      <c r="K152">
        <f t="shared" ref="K152:L152" si="49">K348</f>
        <v>117612889</v>
      </c>
      <c r="L152">
        <f t="shared" si="49"/>
        <v>136267227</v>
      </c>
    </row>
    <row r="153" spans="3:17" outlineLevel="3" x14ac:dyDescent="0.3">
      <c r="D153" t="str">
        <f>D350</f>
        <v>Other payables and accruals</v>
      </c>
      <c r="J153">
        <f t="shared" ref="J153" si="50">J350</f>
        <v>14921545</v>
      </c>
      <c r="K153">
        <f t="shared" ref="K153:L153" si="51">K350</f>
        <v>21369862</v>
      </c>
      <c r="L153">
        <f t="shared" si="51"/>
        <v>19775025</v>
      </c>
    </row>
    <row r="154" spans="3:17" outlineLevel="3" x14ac:dyDescent="0.3">
      <c r="D154" t="str">
        <f>D352</f>
        <v>Dividend payable</v>
      </c>
      <c r="J154">
        <f t="shared" ref="J154" si="52">J352</f>
        <v>8291893</v>
      </c>
      <c r="K154">
        <f t="shared" ref="K154:L154" si="53">K352</f>
        <v>9401674</v>
      </c>
      <c r="L154">
        <f t="shared" si="53"/>
        <v>10119609</v>
      </c>
    </row>
    <row r="155" spans="3:17" outlineLevel="3" x14ac:dyDescent="0.3">
      <c r="D155" t="str">
        <f>D381</f>
        <v xml:space="preserve">Bank Overdraft </v>
      </c>
      <c r="J155">
        <f t="shared" ref="J155" si="54">J381</f>
        <v>2551</v>
      </c>
      <c r="K155">
        <f t="shared" ref="K155:L155" si="55">K381</f>
        <v>2352</v>
      </c>
      <c r="L155">
        <f t="shared" si="55"/>
        <v>0</v>
      </c>
    </row>
    <row r="156" spans="3:17" outlineLevel="3" x14ac:dyDescent="0.3">
      <c r="D156" s="38" t="s">
        <v>283</v>
      </c>
      <c r="J156" s="12">
        <f>SUM(J148:J155)</f>
        <v>159421597</v>
      </c>
      <c r="K156" s="12">
        <f>SUM(K148:K155)</f>
        <v>194901222</v>
      </c>
      <c r="L156" s="12">
        <f>SUM(L148:L155)</f>
        <v>210057333</v>
      </c>
    </row>
    <row r="157" spans="3:17" ht="14.5" outlineLevel="3" thickBot="1" x14ac:dyDescent="0.35">
      <c r="D157" s="38" t="s">
        <v>284</v>
      </c>
      <c r="J157" s="11">
        <f>J156+J146</f>
        <v>216888012</v>
      </c>
      <c r="K157" s="11">
        <f>K156+K146</f>
        <v>288860296</v>
      </c>
      <c r="L157" s="11">
        <f>L156+L146</f>
        <v>384752807</v>
      </c>
    </row>
    <row r="158" spans="3:17" ht="15" outlineLevel="3" thickTop="1" thickBot="1" x14ac:dyDescent="0.35">
      <c r="D158" s="38" t="s">
        <v>285</v>
      </c>
      <c r="J158" s="11">
        <f>J157+J140</f>
        <v>246184996</v>
      </c>
      <c r="K158" s="11">
        <f>K157+K140</f>
        <v>310238502</v>
      </c>
      <c r="L158" s="11">
        <f>L157+L140</f>
        <v>415044031</v>
      </c>
    </row>
    <row r="159" spans="3:17" ht="14.5" outlineLevel="3" thickTop="1" x14ac:dyDescent="0.3"/>
    <row r="160" spans="3:17" outlineLevel="3" x14ac:dyDescent="0.3">
      <c r="D160" s="29" t="s">
        <v>247</v>
      </c>
      <c r="J160">
        <f>J158-J133</f>
        <v>0</v>
      </c>
      <c r="K160">
        <f>K158-K133</f>
        <v>0</v>
      </c>
      <c r="L160">
        <f>L158-L133</f>
        <v>0</v>
      </c>
    </row>
    <row r="161" spans="2:17" ht="17" thickBot="1" x14ac:dyDescent="0.4">
      <c r="B161" s="8" t="s">
        <v>286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2:17" ht="14.5" outlineLevel="3" thickTop="1" x14ac:dyDescent="0.3">
      <c r="D162" t="s">
        <v>88</v>
      </c>
      <c r="I162">
        <f>COUNTIF(J162:L162, "&lt;&gt;0")</f>
        <v>0</v>
      </c>
      <c r="J162">
        <f>J62-J39</f>
        <v>0</v>
      </c>
      <c r="K162">
        <f>K62-K39</f>
        <v>0</v>
      </c>
      <c r="L162">
        <f>L62-L39</f>
        <v>0</v>
      </c>
    </row>
    <row r="163" spans="2:17" outlineLevel="3" x14ac:dyDescent="0.3">
      <c r="D163" t="s">
        <v>89</v>
      </c>
      <c r="I163">
        <f t="shared" ref="I163:I164" si="56">COUNTIF(J163:L163, "&lt;&gt;0")</f>
        <v>0</v>
      </c>
      <c r="J163">
        <f>NOT(J45&gt;0)*1</f>
        <v>0</v>
      </c>
      <c r="K163">
        <f>NOT(K45&gt;0)*1</f>
        <v>0</v>
      </c>
      <c r="L163">
        <f>NOT(L45&gt;0)*1</f>
        <v>0</v>
      </c>
    </row>
    <row r="164" spans="2:17" outlineLevel="3" x14ac:dyDescent="0.3">
      <c r="D164" t="s">
        <v>90</v>
      </c>
      <c r="I164">
        <f t="shared" si="56"/>
        <v>0</v>
      </c>
      <c r="J164">
        <f>J158-J133</f>
        <v>0</v>
      </c>
      <c r="K164">
        <f>K158-K133</f>
        <v>0</v>
      </c>
      <c r="L164">
        <f>L158-L133</f>
        <v>0</v>
      </c>
    </row>
    <row r="165" spans="2:17" outlineLevel="3" x14ac:dyDescent="0.3">
      <c r="D165" t="s">
        <v>91</v>
      </c>
      <c r="I165">
        <f>COUNTIF(K165:L165, "&lt;&gt;0")</f>
        <v>0</v>
      </c>
      <c r="J165">
        <f>NOT(J140&gt;0)*1</f>
        <v>0</v>
      </c>
      <c r="K165">
        <f>NOT(K140&gt;0)*1</f>
        <v>0</v>
      </c>
      <c r="L165">
        <f>NOT(L140&gt;0)*1</f>
        <v>0</v>
      </c>
    </row>
    <row r="166" spans="2:17" outlineLevel="3" x14ac:dyDescent="0.3">
      <c r="D166" s="29"/>
    </row>
    <row r="167" spans="2:17" outlineLevel="3" x14ac:dyDescent="0.3">
      <c r="D167" s="29"/>
    </row>
    <row r="168" spans="2:17" outlineLevel="3" x14ac:dyDescent="0.3"/>
    <row r="169" spans="2:17" ht="17" thickBot="1" x14ac:dyDescent="0.4">
      <c r="B169" s="8" t="s">
        <v>206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2:17" ht="17.5" outlineLevel="1" thickTop="1" thickBot="1" x14ac:dyDescent="0.4">
      <c r="B170" s="8" t="s">
        <v>207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2:17" ht="14.5" outlineLevel="2" thickTop="1" x14ac:dyDescent="0.3"/>
    <row r="172" spans="2:17" ht="16" outlineLevel="2" thickBot="1" x14ac:dyDescent="0.4">
      <c r="C172" s="9" t="s">
        <v>208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2:17" outlineLevel="3" x14ac:dyDescent="0.3">
      <c r="D173" t="s">
        <v>209</v>
      </c>
      <c r="J173">
        <f>-J14</f>
        <v>167872616</v>
      </c>
      <c r="K173">
        <f>-K14</f>
        <v>219985914</v>
      </c>
      <c r="L173">
        <f>-L14</f>
        <v>291054270</v>
      </c>
    </row>
    <row r="174" spans="2:17" outlineLevel="3" x14ac:dyDescent="0.3"/>
    <row r="175" spans="2:17" ht="14.5" outlineLevel="3" x14ac:dyDescent="0.35">
      <c r="D175" s="37" t="s">
        <v>219</v>
      </c>
    </row>
    <row r="176" spans="2:17" outlineLevel="3" x14ac:dyDescent="0.3">
      <c r="D176" t="str">
        <f>D210</f>
        <v>Land</v>
      </c>
      <c r="J176">
        <f t="shared" ref="J176:L176" si="57">J210</f>
        <v>0</v>
      </c>
      <c r="K176">
        <f t="shared" si="57"/>
        <v>0</v>
      </c>
      <c r="L176">
        <f t="shared" si="57"/>
        <v>0</v>
      </c>
    </row>
    <row r="177" spans="3:17" outlineLevel="3" x14ac:dyDescent="0.3">
      <c r="D177" t="str">
        <f>D211</f>
        <v>Building</v>
      </c>
      <c r="J177">
        <f t="shared" ref="J177:L177" si="58">J211</f>
        <v>864638</v>
      </c>
      <c r="K177">
        <f t="shared" si="58"/>
        <v>901703</v>
      </c>
      <c r="L177">
        <f t="shared" si="58"/>
        <v>965076</v>
      </c>
    </row>
    <row r="178" spans="3:17" outlineLevel="3" x14ac:dyDescent="0.3">
      <c r="D178" t="str">
        <f>D212</f>
        <v>Plant and Machinery</v>
      </c>
      <c r="J178">
        <f t="shared" ref="J178:L178" si="59">J212</f>
        <v>4200351</v>
      </c>
      <c r="K178">
        <f t="shared" si="59"/>
        <v>4787808</v>
      </c>
      <c r="L178">
        <f t="shared" si="59"/>
        <v>5531548</v>
      </c>
    </row>
    <row r="179" spans="3:17" outlineLevel="3" x14ac:dyDescent="0.3">
      <c r="J179" s="12">
        <f>SUM(J176:J178)</f>
        <v>5064989</v>
      </c>
      <c r="K179" s="12">
        <f>SUM(K176:K178)</f>
        <v>5689511</v>
      </c>
      <c r="L179" s="12">
        <f>SUM(L176:L178)</f>
        <v>6496624</v>
      </c>
    </row>
    <row r="180" spans="3:17" ht="14.5" outlineLevel="3" x14ac:dyDescent="0.35">
      <c r="D180" s="37" t="s">
        <v>220</v>
      </c>
    </row>
    <row r="181" spans="3:17" outlineLevel="3" x14ac:dyDescent="0.3">
      <c r="D181" t="str">
        <f>D227</f>
        <v>Land</v>
      </c>
      <c r="J181">
        <f t="shared" ref="J181:L182" si="60">J227</f>
        <v>0</v>
      </c>
      <c r="K181">
        <f t="shared" ref="K181:L181" si="61">K227</f>
        <v>0</v>
      </c>
      <c r="L181">
        <f t="shared" si="61"/>
        <v>0</v>
      </c>
    </row>
    <row r="182" spans="3:17" outlineLevel="3" x14ac:dyDescent="0.3">
      <c r="D182" t="str">
        <f>D228</f>
        <v>Buildings</v>
      </c>
      <c r="J182">
        <f t="shared" si="60"/>
        <v>0</v>
      </c>
      <c r="K182">
        <f t="shared" si="60"/>
        <v>0</v>
      </c>
      <c r="L182">
        <f t="shared" si="60"/>
        <v>0</v>
      </c>
    </row>
    <row r="183" spans="3:17" outlineLevel="3" x14ac:dyDescent="0.3">
      <c r="D183" t="str">
        <f>D229</f>
        <v>Plant and Machinery</v>
      </c>
      <c r="J183">
        <f t="shared" ref="J183" si="62">J229</f>
        <v>0</v>
      </c>
      <c r="K183">
        <f t="shared" ref="K183:L183" si="63">K229</f>
        <v>0</v>
      </c>
      <c r="L183">
        <f t="shared" si="63"/>
        <v>0</v>
      </c>
    </row>
    <row r="184" spans="3:17" outlineLevel="3" x14ac:dyDescent="0.3">
      <c r="J184" s="12">
        <f>SUM(J181:J183)</f>
        <v>0</v>
      </c>
      <c r="K184" s="12">
        <f>SUM(K181:K183)</f>
        <v>0</v>
      </c>
      <c r="L184" s="12">
        <f>SUM(L181:L183)</f>
        <v>0</v>
      </c>
    </row>
    <row r="185" spans="3:17" outlineLevel="3" x14ac:dyDescent="0.3"/>
    <row r="186" spans="3:17" ht="14.5" outlineLevel="3" thickBot="1" x14ac:dyDescent="0.35">
      <c r="D186" t="s">
        <v>210</v>
      </c>
      <c r="J186" s="11">
        <f>J173-(J179+J184)</f>
        <v>162807627</v>
      </c>
      <c r="K186" s="11">
        <f>K173-(K179+K184)</f>
        <v>214296403</v>
      </c>
      <c r="L186" s="11">
        <f>L173-(L179+L184)</f>
        <v>284557646</v>
      </c>
    </row>
    <row r="187" spans="3:17" ht="14.5" outlineLevel="3" thickTop="1" x14ac:dyDescent="0.3"/>
    <row r="188" spans="3:17" ht="16" outlineLevel="2" thickBot="1" x14ac:dyDescent="0.4">
      <c r="C188" s="9" t="s">
        <v>205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3:17" outlineLevel="3" x14ac:dyDescent="0.3">
      <c r="D189" t="s">
        <v>209</v>
      </c>
      <c r="J189">
        <f>SUM(J190:J191)</f>
        <v>54792888</v>
      </c>
      <c r="K189">
        <f>SUM(K190:K191)</f>
        <v>59592031</v>
      </c>
      <c r="L189">
        <f>SUM(L190:L191)</f>
        <v>68869464</v>
      </c>
    </row>
    <row r="190" spans="3:17" outlineLevel="3" x14ac:dyDescent="0.3">
      <c r="D190" t="str">
        <f>D16</f>
        <v xml:space="preserve">Marketing and distribution expenses </v>
      </c>
      <c r="J190">
        <f t="shared" ref="J190:L191" si="64">-(J16)</f>
        <v>43843396</v>
      </c>
      <c r="K190">
        <f t="shared" si="64"/>
        <v>48097581</v>
      </c>
      <c r="L190">
        <f t="shared" si="64"/>
        <v>57331351</v>
      </c>
    </row>
    <row r="191" spans="3:17" outlineLevel="3" x14ac:dyDescent="0.3">
      <c r="D191" t="str">
        <f>D17</f>
        <v xml:space="preserve">Administrative expenses </v>
      </c>
      <c r="J191">
        <f t="shared" si="64"/>
        <v>10949492</v>
      </c>
      <c r="K191">
        <f t="shared" si="64"/>
        <v>11494450</v>
      </c>
      <c r="L191">
        <f t="shared" si="64"/>
        <v>11538113</v>
      </c>
    </row>
    <row r="192" spans="3:17" outlineLevel="3" x14ac:dyDescent="0.3"/>
    <row r="193" spans="3:17" outlineLevel="3" x14ac:dyDescent="0.3">
      <c r="D193" s="38" t="s">
        <v>219</v>
      </c>
    </row>
    <row r="194" spans="3:17" outlineLevel="3" x14ac:dyDescent="0.3">
      <c r="D194" t="str">
        <f>D213</f>
        <v>Motor vehicle</v>
      </c>
      <c r="J194">
        <f t="shared" ref="J194" si="65">J213</f>
        <v>733486</v>
      </c>
      <c r="K194">
        <f t="shared" ref="K194" si="66">K213</f>
        <v>759604</v>
      </c>
      <c r="L194">
        <f t="shared" ref="L194" si="67">L213</f>
        <v>905079</v>
      </c>
    </row>
    <row r="195" spans="3:17" outlineLevel="3" x14ac:dyDescent="0.3">
      <c r="D195" t="str">
        <f>D214</f>
        <v>Furniture and Fittings</v>
      </c>
      <c r="J195">
        <f t="shared" ref="J195" si="68">J214</f>
        <v>1216963</v>
      </c>
      <c r="K195">
        <f t="shared" ref="K195" si="69">K214</f>
        <v>1211102</v>
      </c>
      <c r="L195">
        <f t="shared" ref="L195" si="70">L214</f>
        <v>1273405</v>
      </c>
    </row>
    <row r="196" spans="3:17" outlineLevel="3" x14ac:dyDescent="0.3">
      <c r="D196" t="str">
        <f>D215</f>
        <v>IT Equipments</v>
      </c>
      <c r="J196">
        <f t="shared" ref="J196" si="71">J215</f>
        <v>299378</v>
      </c>
      <c r="K196">
        <f t="shared" ref="K196" si="72">K215</f>
        <v>304914</v>
      </c>
      <c r="L196">
        <f t="shared" ref="L196" si="73">L215</f>
        <v>343598</v>
      </c>
    </row>
    <row r="197" spans="3:17" outlineLevel="3" x14ac:dyDescent="0.3">
      <c r="J197" s="12">
        <f>SUM(J194:J196)</f>
        <v>2249827</v>
      </c>
      <c r="K197" s="12">
        <f>SUM(K194:K196)</f>
        <v>2275620</v>
      </c>
      <c r="L197" s="12">
        <f>SUM(L194:L196)</f>
        <v>2522082</v>
      </c>
    </row>
    <row r="198" spans="3:17" outlineLevel="3" x14ac:dyDescent="0.3"/>
    <row r="199" spans="3:17" outlineLevel="3" x14ac:dyDescent="0.3">
      <c r="D199" s="38" t="s">
        <v>220</v>
      </c>
    </row>
    <row r="200" spans="3:17" outlineLevel="3" x14ac:dyDescent="0.3">
      <c r="D200" t="str">
        <f>D230</f>
        <v>Motor Vehicle</v>
      </c>
      <c r="J200">
        <f t="shared" ref="J200" si="74">J230</f>
        <v>0</v>
      </c>
      <c r="K200">
        <f t="shared" ref="K200:L200" si="75">K230</f>
        <v>0</v>
      </c>
      <c r="L200">
        <f t="shared" si="75"/>
        <v>0</v>
      </c>
    </row>
    <row r="201" spans="3:17" outlineLevel="3" x14ac:dyDescent="0.3">
      <c r="D201" t="str">
        <f>D231</f>
        <v>Furniture and Fittings</v>
      </c>
      <c r="J201">
        <f t="shared" ref="J201" si="76">J231</f>
        <v>0</v>
      </c>
      <c r="K201">
        <f t="shared" ref="K201:L201" si="77">K231</f>
        <v>0</v>
      </c>
      <c r="L201">
        <f t="shared" si="77"/>
        <v>0</v>
      </c>
    </row>
    <row r="202" spans="3:17" outlineLevel="3" x14ac:dyDescent="0.3">
      <c r="D202" t="str">
        <f>D232</f>
        <v>IT Equipments</v>
      </c>
      <c r="J202">
        <f t="shared" ref="J202" si="78">J232</f>
        <v>0</v>
      </c>
      <c r="K202">
        <f t="shared" ref="K202:L202" si="79">K232</f>
        <v>0</v>
      </c>
      <c r="L202">
        <f t="shared" si="79"/>
        <v>0</v>
      </c>
    </row>
    <row r="203" spans="3:17" outlineLevel="3" x14ac:dyDescent="0.3">
      <c r="J203" s="12">
        <f>SUM(J200:J202)</f>
        <v>0</v>
      </c>
      <c r="K203" s="12">
        <f>SUM(K200:K202)</f>
        <v>0</v>
      </c>
      <c r="L203" s="12">
        <f>SUM(L200:L202)</f>
        <v>0</v>
      </c>
    </row>
    <row r="204" spans="3:17" outlineLevel="3" x14ac:dyDescent="0.3"/>
    <row r="205" spans="3:17" ht="14.5" outlineLevel="3" thickBot="1" x14ac:dyDescent="0.35">
      <c r="D205" t="s">
        <v>211</v>
      </c>
      <c r="J205" s="11">
        <f>J189-(J197+J203)</f>
        <v>52543061</v>
      </c>
      <c r="K205" s="11">
        <f>K189-(K197+K203)</f>
        <v>57316411</v>
      </c>
      <c r="L205" s="11">
        <f>L189-(L197+L203)</f>
        <v>66347382</v>
      </c>
    </row>
    <row r="206" spans="3:17" ht="14.5" outlineLevel="3" thickTop="1" x14ac:dyDescent="0.3"/>
    <row r="207" spans="3:17" ht="16" outlineLevel="2" thickBot="1" x14ac:dyDescent="0.4">
      <c r="C207" s="9" t="s">
        <v>197</v>
      </c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3:17" outlineLevel="3" x14ac:dyDescent="0.3">
      <c r="D208" t="s">
        <v>209</v>
      </c>
      <c r="J208" s="4">
        <v>7314816</v>
      </c>
      <c r="K208" s="4">
        <v>7965131</v>
      </c>
      <c r="L208" s="4">
        <v>9018706</v>
      </c>
    </row>
    <row r="209" spans="3:17" outlineLevel="3" x14ac:dyDescent="0.3"/>
    <row r="210" spans="3:17" ht="14.5" outlineLevel="3" x14ac:dyDescent="0.35">
      <c r="D210" t="s">
        <v>471</v>
      </c>
      <c r="E210" s="20" t="s">
        <v>474</v>
      </c>
      <c r="K210">
        <v>0</v>
      </c>
    </row>
    <row r="211" spans="3:17" ht="14.5" outlineLevel="3" x14ac:dyDescent="0.35">
      <c r="D211" t="s">
        <v>472</v>
      </c>
      <c r="E211" s="20" t="s">
        <v>474</v>
      </c>
      <c r="J211" s="4">
        <v>864638</v>
      </c>
      <c r="K211" s="4">
        <v>901703</v>
      </c>
      <c r="L211" s="4">
        <v>965076</v>
      </c>
    </row>
    <row r="212" spans="3:17" ht="14.5" outlineLevel="3" x14ac:dyDescent="0.35">
      <c r="D212" t="s">
        <v>214</v>
      </c>
      <c r="E212" s="20" t="s">
        <v>474</v>
      </c>
      <c r="J212" s="4">
        <v>4200351</v>
      </c>
      <c r="K212" s="4">
        <v>4787808</v>
      </c>
      <c r="L212" s="4">
        <v>5531548</v>
      </c>
    </row>
    <row r="213" spans="3:17" ht="14.5" outlineLevel="3" x14ac:dyDescent="0.35">
      <c r="D213" t="s">
        <v>217</v>
      </c>
      <c r="E213" s="20" t="s">
        <v>474</v>
      </c>
      <c r="J213" s="4">
        <v>733486</v>
      </c>
      <c r="K213" s="4">
        <v>759604</v>
      </c>
      <c r="L213" s="4">
        <v>905079</v>
      </c>
    </row>
    <row r="214" spans="3:17" ht="14.5" outlineLevel="3" x14ac:dyDescent="0.35">
      <c r="D214" t="s">
        <v>215</v>
      </c>
      <c r="E214" s="20" t="s">
        <v>474</v>
      </c>
      <c r="J214" s="4">
        <v>1216963</v>
      </c>
      <c r="K214" s="4">
        <v>1211102</v>
      </c>
      <c r="L214" s="4">
        <v>1273405</v>
      </c>
    </row>
    <row r="215" spans="3:17" ht="14.5" outlineLevel="3" x14ac:dyDescent="0.35">
      <c r="D215" t="s">
        <v>216</v>
      </c>
      <c r="E215" s="20" t="s">
        <v>474</v>
      </c>
      <c r="J215" s="4">
        <v>299378</v>
      </c>
      <c r="K215" s="4">
        <v>304914</v>
      </c>
      <c r="L215" s="4">
        <v>343598</v>
      </c>
    </row>
    <row r="216" spans="3:17" outlineLevel="3" x14ac:dyDescent="0.3">
      <c r="J216" s="39">
        <f>SUM(J210:J215)</f>
        <v>7314816</v>
      </c>
      <c r="K216" s="39">
        <f>SUM(K211:K215)</f>
        <v>7965131</v>
      </c>
      <c r="L216" s="39">
        <f t="shared" ref="L216" si="80">SUM(L210:L215)</f>
        <v>9018706</v>
      </c>
    </row>
    <row r="217" spans="3:17" outlineLevel="3" x14ac:dyDescent="0.3">
      <c r="D217" t="s">
        <v>341</v>
      </c>
      <c r="I217">
        <f>COUNTIF(K217:L217,"&lt;&gt;0")</f>
        <v>0</v>
      </c>
      <c r="J217">
        <f>J208-J216</f>
        <v>0</v>
      </c>
      <c r="K217">
        <f>K208-K216</f>
        <v>0</v>
      </c>
      <c r="L217">
        <f>L208-L216</f>
        <v>0</v>
      </c>
    </row>
    <row r="218" spans="3:17" outlineLevel="3" x14ac:dyDescent="0.3">
      <c r="D218" s="29" t="s">
        <v>272</v>
      </c>
    </row>
    <row r="219" spans="3:17" outlineLevel="3" x14ac:dyDescent="0.3">
      <c r="D219" t="s">
        <v>208</v>
      </c>
      <c r="J219">
        <f>J179</f>
        <v>5064989</v>
      </c>
      <c r="K219">
        <f>K179</f>
        <v>5689511</v>
      </c>
      <c r="L219">
        <f>L179</f>
        <v>6496624</v>
      </c>
    </row>
    <row r="220" spans="3:17" outlineLevel="3" x14ac:dyDescent="0.3">
      <c r="D220" t="s">
        <v>459</v>
      </c>
      <c r="J220">
        <f>J197</f>
        <v>2249827</v>
      </c>
      <c r="K220">
        <f>K197</f>
        <v>2275620</v>
      </c>
      <c r="L220">
        <f>L197</f>
        <v>2522082</v>
      </c>
    </row>
    <row r="221" spans="3:17" outlineLevel="3" x14ac:dyDescent="0.3">
      <c r="J221" s="12">
        <f>SUM(J219:J220)</f>
        <v>7314816</v>
      </c>
      <c r="K221" s="12">
        <f>SUM(K219:K220)</f>
        <v>7965131</v>
      </c>
      <c r="L221" s="12">
        <f>SUM(L219:L220)</f>
        <v>9018706</v>
      </c>
    </row>
    <row r="222" spans="3:17" outlineLevel="3" x14ac:dyDescent="0.3">
      <c r="D222" t="s">
        <v>460</v>
      </c>
      <c r="I222">
        <f>COUNTIF(K222:L222,"&lt;&gt;0")</f>
        <v>0</v>
      </c>
      <c r="J222">
        <f>J221-J208</f>
        <v>0</v>
      </c>
      <c r="K222">
        <f>K221-K208</f>
        <v>0</v>
      </c>
      <c r="L222">
        <f>L221-L208</f>
        <v>0</v>
      </c>
    </row>
    <row r="223" spans="3:17" outlineLevel="3" x14ac:dyDescent="0.3"/>
    <row r="224" spans="3:17" ht="16" outlineLevel="2" thickBot="1" x14ac:dyDescent="0.4">
      <c r="C224" s="9" t="s">
        <v>212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4:12" outlineLevel="3" x14ac:dyDescent="0.3">
      <c r="D225" t="s">
        <v>209</v>
      </c>
      <c r="J225">
        <v>0</v>
      </c>
      <c r="K225">
        <v>0</v>
      </c>
      <c r="L225">
        <v>0</v>
      </c>
    </row>
    <row r="226" spans="4:12" outlineLevel="3" x14ac:dyDescent="0.3"/>
    <row r="227" spans="4:12" ht="14.5" outlineLevel="3" x14ac:dyDescent="0.35">
      <c r="D227" t="s">
        <v>471</v>
      </c>
      <c r="E227" s="20" t="s">
        <v>223</v>
      </c>
      <c r="J227">
        <v>0</v>
      </c>
      <c r="K227">
        <v>0</v>
      </c>
      <c r="L227">
        <v>0</v>
      </c>
    </row>
    <row r="228" spans="4:12" ht="14.5" outlineLevel="3" x14ac:dyDescent="0.35">
      <c r="D228" t="s">
        <v>473</v>
      </c>
      <c r="E228" s="20"/>
      <c r="J228">
        <v>0</v>
      </c>
      <c r="K228">
        <v>0</v>
      </c>
      <c r="L228">
        <v>0</v>
      </c>
    </row>
    <row r="229" spans="4:12" ht="14.5" outlineLevel="3" x14ac:dyDescent="0.35">
      <c r="D229" t="s">
        <v>214</v>
      </c>
      <c r="E229" s="20" t="s">
        <v>223</v>
      </c>
      <c r="J229">
        <v>0</v>
      </c>
      <c r="K229">
        <v>0</v>
      </c>
      <c r="L229">
        <v>0</v>
      </c>
    </row>
    <row r="230" spans="4:12" ht="14.5" outlineLevel="3" x14ac:dyDescent="0.35">
      <c r="D230" t="s">
        <v>218</v>
      </c>
      <c r="E230" s="20" t="s">
        <v>223</v>
      </c>
      <c r="J230">
        <v>0</v>
      </c>
      <c r="K230">
        <v>0</v>
      </c>
      <c r="L230">
        <v>0</v>
      </c>
    </row>
    <row r="231" spans="4:12" ht="14.5" outlineLevel="3" x14ac:dyDescent="0.35">
      <c r="D231" t="s">
        <v>215</v>
      </c>
      <c r="E231" s="20" t="s">
        <v>223</v>
      </c>
      <c r="J231">
        <v>0</v>
      </c>
      <c r="K231">
        <v>0</v>
      </c>
      <c r="L231">
        <v>0</v>
      </c>
    </row>
    <row r="232" spans="4:12" ht="14.5" outlineLevel="3" x14ac:dyDescent="0.35">
      <c r="D232" t="s">
        <v>216</v>
      </c>
      <c r="E232" s="20" t="s">
        <v>223</v>
      </c>
      <c r="J232">
        <v>0</v>
      </c>
      <c r="K232">
        <v>0</v>
      </c>
      <c r="L232">
        <v>0</v>
      </c>
    </row>
    <row r="233" spans="4:12" outlineLevel="3" x14ac:dyDescent="0.3">
      <c r="D233" t="s">
        <v>210</v>
      </c>
      <c r="J233" s="12">
        <f>SUM(J227:J232)</f>
        <v>0</v>
      </c>
      <c r="K233" s="12">
        <f>SUM(K227:K232)</f>
        <v>0</v>
      </c>
      <c r="L233" s="12">
        <f>SUM(L227:L232)</f>
        <v>0</v>
      </c>
    </row>
    <row r="234" spans="4:12" outlineLevel="3" x14ac:dyDescent="0.3">
      <c r="J234" s="29"/>
      <c r="K234" s="29"/>
      <c r="L234" s="29"/>
    </row>
    <row r="235" spans="4:12" outlineLevel="3" x14ac:dyDescent="0.3">
      <c r="D235" s="29" t="s">
        <v>272</v>
      </c>
    </row>
    <row r="236" spans="4:12" outlineLevel="3" x14ac:dyDescent="0.3">
      <c r="D236" t="s">
        <v>208</v>
      </c>
      <c r="J236">
        <f>J184</f>
        <v>0</v>
      </c>
      <c r="K236">
        <f>K184</f>
        <v>0</v>
      </c>
      <c r="L236">
        <f>L184</f>
        <v>0</v>
      </c>
    </row>
    <row r="237" spans="4:12" outlineLevel="3" x14ac:dyDescent="0.3">
      <c r="D237" t="s">
        <v>459</v>
      </c>
      <c r="J237">
        <f>J203</f>
        <v>0</v>
      </c>
      <c r="K237">
        <f>K203</f>
        <v>0</v>
      </c>
      <c r="L237">
        <f>L203</f>
        <v>0</v>
      </c>
    </row>
    <row r="238" spans="4:12" outlineLevel="3" x14ac:dyDescent="0.3">
      <c r="J238" s="12">
        <f>SUM(J236:J237)</f>
        <v>0</v>
      </c>
      <c r="K238" s="12">
        <f>SUM(K236:K237)</f>
        <v>0</v>
      </c>
      <c r="L238" s="12">
        <f>SUM(L236:L237)</f>
        <v>0</v>
      </c>
    </row>
    <row r="239" spans="4:12" outlineLevel="3" x14ac:dyDescent="0.3">
      <c r="D239" t="s">
        <v>461</v>
      </c>
      <c r="I239">
        <f>COUNTIF(J239:L239,"&lt;&gt;0")</f>
        <v>0</v>
      </c>
      <c r="J239">
        <f>J238-J225</f>
        <v>0</v>
      </c>
      <c r="K239">
        <f>K238-K225</f>
        <v>0</v>
      </c>
      <c r="L239">
        <f>L238-L225</f>
        <v>0</v>
      </c>
    </row>
    <row r="240" spans="4:12" outlineLevel="3" x14ac:dyDescent="0.3"/>
    <row r="241" spans="3:17" outlineLevel="3" x14ac:dyDescent="0.3">
      <c r="D241" s="29" t="s">
        <v>468</v>
      </c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</row>
    <row r="242" spans="3:17" outlineLevel="3" x14ac:dyDescent="0.3">
      <c r="D242" t="s">
        <v>209</v>
      </c>
      <c r="J242">
        <v>0</v>
      </c>
      <c r="K242" s="4">
        <v>278438</v>
      </c>
      <c r="L242" s="4">
        <v>29043</v>
      </c>
    </row>
    <row r="243" spans="3:17" outlineLevel="3" x14ac:dyDescent="0.3"/>
    <row r="244" spans="3:17" outlineLevel="3" x14ac:dyDescent="0.3">
      <c r="D244" s="29" t="s">
        <v>475</v>
      </c>
      <c r="J244" s="12">
        <f>J233+J242</f>
        <v>0</v>
      </c>
      <c r="K244" s="12">
        <f t="shared" ref="K244:L244" si="81">K233+K242</f>
        <v>278438</v>
      </c>
      <c r="L244" s="12">
        <f t="shared" si="81"/>
        <v>29043</v>
      </c>
    </row>
    <row r="245" spans="3:17" outlineLevel="3" x14ac:dyDescent="0.3"/>
    <row r="246" spans="3:17" outlineLevel="3" x14ac:dyDescent="0.3"/>
    <row r="247" spans="3:17" outlineLevel="3" x14ac:dyDescent="0.3"/>
    <row r="248" spans="3:17" outlineLevel="3" x14ac:dyDescent="0.3"/>
    <row r="249" spans="3:17" ht="16" outlineLevel="2" thickBot="1" x14ac:dyDescent="0.4">
      <c r="C249" s="9" t="s">
        <v>213</v>
      </c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3:17" outlineLevel="3" x14ac:dyDescent="0.3">
      <c r="D250" t="s">
        <v>209</v>
      </c>
      <c r="J250">
        <f>J20</f>
        <v>646546</v>
      </c>
      <c r="K250">
        <f>K20</f>
        <v>1987042</v>
      </c>
      <c r="L250">
        <f>L20</f>
        <v>4777113</v>
      </c>
    </row>
    <row r="251" spans="3:17" ht="14.5" outlineLevel="3" x14ac:dyDescent="0.35">
      <c r="D251" t="s">
        <v>221</v>
      </c>
      <c r="E251" s="20" t="s">
        <v>222</v>
      </c>
      <c r="J251">
        <v>0</v>
      </c>
      <c r="K251">
        <v>0</v>
      </c>
      <c r="L251">
        <v>0</v>
      </c>
    </row>
    <row r="252" spans="3:17" outlineLevel="3" x14ac:dyDescent="0.3">
      <c r="D252" s="29" t="s">
        <v>210</v>
      </c>
      <c r="J252" s="39">
        <f>J250-J251</f>
        <v>646546</v>
      </c>
      <c r="K252" s="39">
        <f>K250-K251</f>
        <v>1987042</v>
      </c>
      <c r="L252" s="39">
        <f>L250-L251</f>
        <v>4777113</v>
      </c>
    </row>
    <row r="253" spans="3:17" outlineLevel="3" x14ac:dyDescent="0.3"/>
    <row r="254" spans="3:17" ht="16" outlineLevel="2" thickBot="1" x14ac:dyDescent="0.4">
      <c r="C254" s="9" t="s">
        <v>202</v>
      </c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3:17" outlineLevel="3" x14ac:dyDescent="0.3">
      <c r="D255" t="s">
        <v>209</v>
      </c>
      <c r="J255">
        <f>-(J21)</f>
        <v>4426686</v>
      </c>
      <c r="K255">
        <f>-(K21)</f>
        <v>12077645</v>
      </c>
      <c r="L255">
        <f>-(L21)</f>
        <v>20534225</v>
      </c>
    </row>
    <row r="256" spans="3:17" ht="14.5" outlineLevel="3" x14ac:dyDescent="0.35">
      <c r="D256" t="s">
        <v>224</v>
      </c>
      <c r="E256" s="20" t="s">
        <v>476</v>
      </c>
      <c r="J256" s="4">
        <v>1728282</v>
      </c>
      <c r="K256" s="4">
        <v>4735034</v>
      </c>
      <c r="L256" s="4">
        <v>7851981</v>
      </c>
    </row>
    <row r="257" spans="2:18" outlineLevel="3" x14ac:dyDescent="0.3">
      <c r="D257" s="29" t="s">
        <v>225</v>
      </c>
      <c r="J257" s="39">
        <f>J255-J256</f>
        <v>2698404</v>
      </c>
      <c r="K257" s="39">
        <f>K255-K256</f>
        <v>7342611</v>
      </c>
      <c r="L257" s="39">
        <f>L255-L256</f>
        <v>12682244</v>
      </c>
      <c r="R257" s="86"/>
    </row>
    <row r="258" spans="2:18" outlineLevel="3" x14ac:dyDescent="0.3"/>
    <row r="259" spans="2:18" ht="16" outlineLevel="2" thickBot="1" x14ac:dyDescent="0.4">
      <c r="C259" s="9" t="s">
        <v>201</v>
      </c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2:18" outlineLevel="3" x14ac:dyDescent="0.3">
      <c r="D260" t="s">
        <v>209</v>
      </c>
      <c r="J260">
        <f>-(J24)</f>
        <v>21426418</v>
      </c>
      <c r="K260">
        <f>-(K24)</f>
        <v>21838065</v>
      </c>
      <c r="L260">
        <f>-(L24)</f>
        <v>22143883</v>
      </c>
    </row>
    <row r="261" spans="2:18" outlineLevel="3" x14ac:dyDescent="0.3"/>
    <row r="262" spans="2:18" outlineLevel="3" x14ac:dyDescent="0.3">
      <c r="D262" t="s">
        <v>211</v>
      </c>
    </row>
    <row r="263" spans="2:18" ht="14.5" outlineLevel="3" x14ac:dyDescent="0.35">
      <c r="D263" t="s">
        <v>227</v>
      </c>
      <c r="E263" s="20" t="s">
        <v>477</v>
      </c>
      <c r="J263" s="4">
        <v>21899010</v>
      </c>
      <c r="K263" s="4">
        <v>21234703</v>
      </c>
      <c r="L263" s="4">
        <v>19877447</v>
      </c>
    </row>
    <row r="264" spans="2:18" ht="14.5" outlineLevel="3" x14ac:dyDescent="0.35">
      <c r="D264" t="s">
        <v>203</v>
      </c>
      <c r="E264" s="20" t="s">
        <v>477</v>
      </c>
      <c r="J264" s="4">
        <v>-472592</v>
      </c>
      <c r="K264" s="4">
        <v>603362</v>
      </c>
      <c r="L264" s="4">
        <v>2266436</v>
      </c>
    </row>
    <row r="265" spans="2:18" outlineLevel="3" x14ac:dyDescent="0.3">
      <c r="J265" s="39">
        <f>SUM(J263:J264)</f>
        <v>21426418</v>
      </c>
      <c r="K265" s="39">
        <f>SUM(K263:K264)</f>
        <v>21838065</v>
      </c>
      <c r="L265" s="39">
        <f>SUM(L263:L264)</f>
        <v>22143883</v>
      </c>
    </row>
    <row r="266" spans="2:18" outlineLevel="3" x14ac:dyDescent="0.3">
      <c r="D266" t="s">
        <v>462</v>
      </c>
      <c r="I266">
        <f>COUNTIF(J266:L266,"&lt;&gt;0")</f>
        <v>0</v>
      </c>
      <c r="J266">
        <f>J265-J260</f>
        <v>0</v>
      </c>
      <c r="K266">
        <f>K265-K260</f>
        <v>0</v>
      </c>
      <c r="L266">
        <f>L265-L260</f>
        <v>0</v>
      </c>
    </row>
    <row r="267" spans="2:18" outlineLevel="3" x14ac:dyDescent="0.3"/>
    <row r="268" spans="2:18" ht="17" outlineLevel="1" thickBot="1" x14ac:dyDescent="0.4">
      <c r="B268" s="8" t="s">
        <v>231</v>
      </c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spans="2:18" ht="14.5" outlineLevel="2" thickTop="1" x14ac:dyDescent="0.3"/>
    <row r="270" spans="2:18" ht="16" outlineLevel="2" thickBot="1" x14ac:dyDescent="0.4">
      <c r="C270" s="9" t="s">
        <v>232</v>
      </c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2:18" outlineLevel="3" x14ac:dyDescent="0.3"/>
    <row r="272" spans="2:18" ht="14.5" outlineLevel="3" x14ac:dyDescent="0.35">
      <c r="D272" t="str">
        <f>D29</f>
        <v xml:space="preserve">Property, plant and equipment </v>
      </c>
      <c r="E272" s="20" t="s">
        <v>250</v>
      </c>
      <c r="J272">
        <f t="shared" ref="J272:L273" si="82">J29</f>
        <v>87265836</v>
      </c>
      <c r="K272">
        <f t="shared" si="82"/>
        <v>98964157</v>
      </c>
      <c r="L272">
        <f t="shared" si="82"/>
        <v>116739369</v>
      </c>
    </row>
    <row r="273" spans="3:17" ht="14.5" outlineLevel="3" x14ac:dyDescent="0.35">
      <c r="D273" t="str">
        <f>D30</f>
        <v xml:space="preserve">Right of Use Assets </v>
      </c>
      <c r="E273" s="20" t="s">
        <v>250</v>
      </c>
      <c r="J273">
        <f t="shared" si="82"/>
        <v>5054528</v>
      </c>
      <c r="K273">
        <f t="shared" si="82"/>
        <v>4848732</v>
      </c>
      <c r="L273">
        <f t="shared" si="82"/>
        <v>4976420</v>
      </c>
    </row>
    <row r="274" spans="3:17" outlineLevel="3" x14ac:dyDescent="0.3">
      <c r="D274" s="38" t="s">
        <v>273</v>
      </c>
      <c r="J274" s="12">
        <f>SUM(J272:J273)</f>
        <v>92320364</v>
      </c>
      <c r="K274" s="12">
        <f>SUM(K272:K273)</f>
        <v>103812889</v>
      </c>
      <c r="L274" s="12">
        <f>SUM(L272:L273)</f>
        <v>121715789</v>
      </c>
    </row>
    <row r="275" spans="3:17" outlineLevel="3" x14ac:dyDescent="0.3"/>
    <row r="276" spans="3:17" ht="16" outlineLevel="2" thickBot="1" x14ac:dyDescent="0.4">
      <c r="C276" s="9" t="s">
        <v>234</v>
      </c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3:17" outlineLevel="3" x14ac:dyDescent="0.3"/>
    <row r="278" spans="3:17" ht="14.5" outlineLevel="3" x14ac:dyDescent="0.35">
      <c r="D278" t="s">
        <v>233</v>
      </c>
      <c r="E278" s="20" t="s">
        <v>250</v>
      </c>
      <c r="J278" s="29">
        <f>SUM(J279:J281)</f>
        <v>41970730</v>
      </c>
      <c r="K278" s="29">
        <f>SUM(K279:K281)</f>
        <v>45849488</v>
      </c>
      <c r="L278" s="29">
        <f>SUM(L279:L281)</f>
        <v>85126242</v>
      </c>
    </row>
    <row r="279" spans="3:17" ht="14.5" outlineLevel="3" x14ac:dyDescent="0.35">
      <c r="D279" t="str">
        <f>D31</f>
        <v xml:space="preserve">Long term receivables </v>
      </c>
      <c r="E279" s="20" t="s">
        <v>250</v>
      </c>
      <c r="J279">
        <f>J31</f>
        <v>2363177</v>
      </c>
      <c r="K279">
        <f>K31</f>
        <v>2501289</v>
      </c>
      <c r="L279">
        <f>L31</f>
        <v>2816337</v>
      </c>
    </row>
    <row r="280" spans="3:17" ht="14.5" outlineLevel="3" x14ac:dyDescent="0.35">
      <c r="D280" t="str">
        <f>D35</f>
        <v xml:space="preserve">Trade and other receivables </v>
      </c>
      <c r="E280" s="20" t="s">
        <v>250</v>
      </c>
      <c r="J280">
        <f>J35</f>
        <v>39555290</v>
      </c>
      <c r="K280">
        <f>K35</f>
        <v>43302756</v>
      </c>
      <c r="L280">
        <f>L35</f>
        <v>82237026</v>
      </c>
    </row>
    <row r="281" spans="3:17" ht="14.5" outlineLevel="3" x14ac:dyDescent="0.35">
      <c r="D281" t="str">
        <f>D34</f>
        <v xml:space="preserve">Right of return assets </v>
      </c>
      <c r="E281" s="20" t="s">
        <v>250</v>
      </c>
      <c r="J281">
        <f>J34</f>
        <v>52263</v>
      </c>
      <c r="K281">
        <f>K34</f>
        <v>45443</v>
      </c>
      <c r="L281">
        <f>L34</f>
        <v>72879</v>
      </c>
    </row>
    <row r="282" spans="3:17" outlineLevel="3" x14ac:dyDescent="0.3"/>
    <row r="283" spans="3:17" ht="14.5" outlineLevel="3" x14ac:dyDescent="0.35">
      <c r="D283" t="s">
        <v>235</v>
      </c>
      <c r="E283" s="20" t="s">
        <v>479</v>
      </c>
      <c r="J283" s="4">
        <v>13604796</v>
      </c>
      <c r="K283" s="4">
        <v>7373387</v>
      </c>
      <c r="L283" s="4">
        <v>9000465</v>
      </c>
    </row>
    <row r="284" spans="3:17" ht="14.5" outlineLevel="3" x14ac:dyDescent="0.35">
      <c r="D284" t="s">
        <v>238</v>
      </c>
      <c r="E284" s="20" t="s">
        <v>479</v>
      </c>
      <c r="J284" s="4">
        <v>2749239</v>
      </c>
      <c r="K284" s="4">
        <v>1952209</v>
      </c>
      <c r="L284" s="4">
        <v>1333168</v>
      </c>
    </row>
    <row r="285" spans="3:17" ht="14.5" outlineLevel="3" x14ac:dyDescent="0.35">
      <c r="D285" t="str">
        <f>D281</f>
        <v xml:space="preserve">Right of return assets </v>
      </c>
      <c r="E285" s="20" t="str">
        <f>E281</f>
        <v>per Audit</v>
      </c>
      <c r="J285">
        <f>J281</f>
        <v>52263</v>
      </c>
      <c r="K285">
        <f>K281</f>
        <v>45443</v>
      </c>
      <c r="L285">
        <f>L281</f>
        <v>72879</v>
      </c>
    </row>
    <row r="286" spans="3:17" ht="14.5" outlineLevel="3" x14ac:dyDescent="0.35">
      <c r="D286" t="s">
        <v>240</v>
      </c>
      <c r="E286" s="20" t="s">
        <v>479</v>
      </c>
      <c r="J286" s="4">
        <v>-5501875</v>
      </c>
      <c r="K286" s="4">
        <v>-5164823</v>
      </c>
      <c r="L286" s="4">
        <v>-4912826</v>
      </c>
    </row>
    <row r="287" spans="3:17" outlineLevel="3" x14ac:dyDescent="0.3">
      <c r="D287" s="38" t="s">
        <v>244</v>
      </c>
      <c r="J287" s="12">
        <f>SUM(J283:J286)</f>
        <v>10904423</v>
      </c>
      <c r="K287" s="12">
        <f>SUM(K283:K286)</f>
        <v>4206216</v>
      </c>
      <c r="L287" s="12">
        <f>SUM(L283:L286)</f>
        <v>5493686</v>
      </c>
    </row>
    <row r="288" spans="3:17" outlineLevel="3" x14ac:dyDescent="0.3">
      <c r="J288" s="12"/>
      <c r="K288" s="12"/>
      <c r="L288" s="12"/>
    </row>
    <row r="289" spans="4:12" outlineLevel="3" x14ac:dyDescent="0.3"/>
    <row r="290" spans="4:12" ht="14.5" outlineLevel="3" x14ac:dyDescent="0.35">
      <c r="D290" t="s">
        <v>236</v>
      </c>
      <c r="E290" s="20" t="s">
        <v>479</v>
      </c>
      <c r="J290" s="4">
        <v>17317</v>
      </c>
      <c r="K290" s="4">
        <v>30516</v>
      </c>
      <c r="L290" s="4">
        <v>10910</v>
      </c>
    </row>
    <row r="291" spans="4:12" ht="14.5" outlineLevel="3" x14ac:dyDescent="0.35">
      <c r="D291" t="s">
        <v>237</v>
      </c>
      <c r="E291" s="20" t="s">
        <v>479</v>
      </c>
      <c r="J291" s="4">
        <v>2716772</v>
      </c>
      <c r="K291" s="4">
        <v>2839531</v>
      </c>
      <c r="L291" s="4">
        <v>2977722</v>
      </c>
    </row>
    <row r="292" spans="4:12" outlineLevel="3" x14ac:dyDescent="0.3">
      <c r="D292" s="38" t="s">
        <v>245</v>
      </c>
      <c r="J292" s="12">
        <f>SUM(J290:J291)</f>
        <v>2734089</v>
      </c>
      <c r="K292" s="12">
        <f>SUM(K290:K291)</f>
        <v>2870047</v>
      </c>
      <c r="L292" s="12">
        <f>SUM(L290:L291)</f>
        <v>2988632</v>
      </c>
    </row>
    <row r="293" spans="4:12" outlineLevel="3" x14ac:dyDescent="0.3"/>
    <row r="294" spans="4:12" ht="14.5" outlineLevel="3" x14ac:dyDescent="0.35">
      <c r="D294" s="38" t="s">
        <v>239</v>
      </c>
      <c r="E294" s="20" t="s">
        <v>479</v>
      </c>
      <c r="J294" s="87">
        <v>2724553</v>
      </c>
      <c r="K294" s="87">
        <v>2801222</v>
      </c>
      <c r="L294" s="87">
        <v>2537334</v>
      </c>
    </row>
    <row r="295" spans="4:12" ht="14.5" outlineLevel="3" x14ac:dyDescent="0.35">
      <c r="E295" s="20"/>
    </row>
    <row r="296" spans="4:12" outlineLevel="3" x14ac:dyDescent="0.3"/>
    <row r="297" spans="4:12" ht="14.5" outlineLevel="3" x14ac:dyDescent="0.35">
      <c r="D297" t="s">
        <v>241</v>
      </c>
      <c r="E297" s="20" t="s">
        <v>479</v>
      </c>
      <c r="J297" s="4">
        <v>4395672</v>
      </c>
      <c r="K297" s="4">
        <v>19923253</v>
      </c>
      <c r="L297" s="4">
        <v>55541577</v>
      </c>
    </row>
    <row r="298" spans="4:12" ht="14.5" outlineLevel="3" x14ac:dyDescent="0.35">
      <c r="D298" t="s">
        <v>242</v>
      </c>
      <c r="E298" s="20" t="s">
        <v>479</v>
      </c>
      <c r="J298" s="4">
        <v>19229976</v>
      </c>
      <c r="K298" s="4">
        <v>14340634</v>
      </c>
      <c r="L298" s="4">
        <v>12902762</v>
      </c>
    </row>
    <row r="299" spans="4:12" ht="14.5" outlineLevel="3" x14ac:dyDescent="0.35">
      <c r="D299" s="38" t="s">
        <v>241</v>
      </c>
      <c r="E299" s="20"/>
      <c r="J299" s="12">
        <f>SUM(J297:J298)</f>
        <v>23625648</v>
      </c>
      <c r="K299" s="12">
        <f>SUM(K297:K298)</f>
        <v>34263887</v>
      </c>
      <c r="L299" s="12">
        <f>SUM(L297:L298)</f>
        <v>68444339</v>
      </c>
    </row>
    <row r="300" spans="4:12" ht="14.5" outlineLevel="3" x14ac:dyDescent="0.35">
      <c r="E300" s="20"/>
      <c r="J300" s="12"/>
      <c r="K300" s="12"/>
      <c r="L300" s="12"/>
    </row>
    <row r="301" spans="4:12" ht="14.5" outlineLevel="3" x14ac:dyDescent="0.35">
      <c r="D301" s="38" t="s">
        <v>243</v>
      </c>
      <c r="E301" s="20" t="s">
        <v>479</v>
      </c>
      <c r="J301" s="87">
        <v>1982017</v>
      </c>
      <c r="K301" s="87">
        <v>1708116</v>
      </c>
      <c r="L301" s="87">
        <v>5662251</v>
      </c>
    </row>
    <row r="302" spans="4:12" outlineLevel="3" x14ac:dyDescent="0.3"/>
    <row r="303" spans="4:12" ht="14.5" outlineLevel="3" thickBot="1" x14ac:dyDescent="0.35">
      <c r="D303" s="29" t="s">
        <v>246</v>
      </c>
      <c r="J303" s="11">
        <f>J287+J292+J294+J299+J301</f>
        <v>41970730</v>
      </c>
      <c r="K303" s="11">
        <f>K287+K292+K294+K299+K301</f>
        <v>45849488</v>
      </c>
      <c r="L303" s="11">
        <f>L287+L292+L294+L299+L301</f>
        <v>85126242</v>
      </c>
    </row>
    <row r="304" spans="4:12" ht="14.5" outlineLevel="3" thickTop="1" x14ac:dyDescent="0.3"/>
    <row r="305" spans="3:17" outlineLevel="3" x14ac:dyDescent="0.3">
      <c r="D305" s="29" t="s">
        <v>463</v>
      </c>
      <c r="I305">
        <f>COUNTIF(K305:L305, "&lt;&gt;0")</f>
        <v>0</v>
      </c>
      <c r="J305">
        <f>J303-J278</f>
        <v>0</v>
      </c>
      <c r="K305">
        <f>K303-K278</f>
        <v>0</v>
      </c>
      <c r="L305">
        <f>L303-L278</f>
        <v>0</v>
      </c>
    </row>
    <row r="306" spans="3:17" outlineLevel="3" x14ac:dyDescent="0.3"/>
    <row r="307" spans="3:17" ht="15.5" customHeight="1" outlineLevel="2" thickBot="1" x14ac:dyDescent="0.4">
      <c r="C307" s="9" t="s">
        <v>248</v>
      </c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3:17" outlineLevel="3" x14ac:dyDescent="0.3"/>
    <row r="309" spans="3:17" ht="14.5" outlineLevel="3" x14ac:dyDescent="0.35">
      <c r="D309" t="str">
        <f>D36</f>
        <v xml:space="preserve">Prepayments </v>
      </c>
      <c r="E309" s="20" t="s">
        <v>250</v>
      </c>
      <c r="J309">
        <f>J36</f>
        <v>968426</v>
      </c>
      <c r="K309">
        <f>K36</f>
        <v>1093841</v>
      </c>
      <c r="L309">
        <f>L36</f>
        <v>1929038</v>
      </c>
    </row>
    <row r="310" spans="3:17" outlineLevel="3" x14ac:dyDescent="0.3">
      <c r="D310" s="38" t="s">
        <v>276</v>
      </c>
      <c r="J310" s="12">
        <f>SUM(J309:J309)</f>
        <v>968426</v>
      </c>
      <c r="K310" s="12">
        <f>SUM(K309:K309)</f>
        <v>1093841</v>
      </c>
      <c r="L310" s="12">
        <f>SUM(L309:L309)</f>
        <v>1929038</v>
      </c>
    </row>
    <row r="311" spans="3:17" outlineLevel="3" x14ac:dyDescent="0.3"/>
    <row r="312" spans="3:17" ht="16" outlineLevel="2" thickBot="1" x14ac:dyDescent="0.4">
      <c r="C312" s="9" t="s">
        <v>249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3:17" outlineLevel="3" x14ac:dyDescent="0.3"/>
    <row r="314" spans="3:17" ht="14.5" outlineLevel="3" x14ac:dyDescent="0.35">
      <c r="D314" s="38" t="str">
        <f>D33</f>
        <v xml:space="preserve">Inventories </v>
      </c>
      <c r="E314" s="20" t="s">
        <v>250</v>
      </c>
      <c r="J314">
        <f>J33</f>
        <v>52222267</v>
      </c>
      <c r="K314">
        <f>K33</f>
        <v>58964125</v>
      </c>
      <c r="L314">
        <f>L33</f>
        <v>88340532</v>
      </c>
    </row>
    <row r="316" spans="3:17" outlineLevel="3" x14ac:dyDescent="0.3"/>
    <row r="317" spans="3:17" outlineLevel="3" x14ac:dyDescent="0.3"/>
    <row r="318" spans="3:17" ht="16" outlineLevel="2" thickBot="1" x14ac:dyDescent="0.4">
      <c r="C318" s="9" t="s">
        <v>251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3:17" ht="14.5" outlineLevel="3" x14ac:dyDescent="0.35">
      <c r="D319" s="38" t="str">
        <f>D48</f>
        <v xml:space="preserve">Employee benefits </v>
      </c>
      <c r="E319" s="20" t="s">
        <v>250</v>
      </c>
      <c r="J319">
        <f t="shared" ref="J319:L321" si="83">J48</f>
        <v>4471021</v>
      </c>
      <c r="K319">
        <f t="shared" si="83"/>
        <v>4038600</v>
      </c>
      <c r="L319">
        <f t="shared" si="83"/>
        <v>4359648</v>
      </c>
    </row>
    <row r="320" spans="3:17" ht="14.5" outlineLevel="3" x14ac:dyDescent="0.35">
      <c r="D320" s="38" t="str">
        <f>D49</f>
        <v>Lease liabilities</v>
      </c>
      <c r="E320" s="20" t="s">
        <v>250</v>
      </c>
      <c r="J320">
        <f t="shared" si="83"/>
        <v>568084</v>
      </c>
      <c r="K320">
        <f t="shared" si="83"/>
        <v>283135</v>
      </c>
      <c r="L320">
        <f t="shared" si="83"/>
        <v>127889</v>
      </c>
    </row>
    <row r="321" spans="3:17" ht="14.5" outlineLevel="3" x14ac:dyDescent="0.35">
      <c r="D321" s="38" t="str">
        <f>D50</f>
        <v xml:space="preserve">Deferred tax liabilities </v>
      </c>
      <c r="E321" s="20" t="s">
        <v>250</v>
      </c>
      <c r="J321">
        <f t="shared" si="83"/>
        <v>11984354</v>
      </c>
      <c r="K321">
        <f t="shared" si="83"/>
        <v>12587716</v>
      </c>
      <c r="L321">
        <f t="shared" si="83"/>
        <v>14854152</v>
      </c>
    </row>
    <row r="322" spans="3:17" ht="14.5" outlineLevel="3" x14ac:dyDescent="0.35">
      <c r="D322" s="38" t="str">
        <f>D53</f>
        <v xml:space="preserve">Contract liabilities </v>
      </c>
      <c r="E322" s="20" t="s">
        <v>250</v>
      </c>
      <c r="J322">
        <f t="shared" ref="J322:L323" si="84">J53</f>
        <v>8647246</v>
      </c>
      <c r="K322">
        <f t="shared" si="84"/>
        <v>15452355</v>
      </c>
      <c r="L322">
        <f t="shared" si="84"/>
        <v>16548425</v>
      </c>
    </row>
    <row r="323" spans="3:17" ht="14.5" outlineLevel="3" x14ac:dyDescent="0.35">
      <c r="D323" s="38" t="str">
        <f>D54</f>
        <v xml:space="preserve">Refund liabilities </v>
      </c>
      <c r="E323" s="20" t="s">
        <v>250</v>
      </c>
      <c r="J323">
        <f t="shared" si="84"/>
        <v>90805</v>
      </c>
      <c r="K323">
        <f t="shared" si="84"/>
        <v>78963</v>
      </c>
      <c r="L323">
        <f t="shared" si="84"/>
        <v>112333</v>
      </c>
    </row>
    <row r="324" spans="3:17" ht="14.5" outlineLevel="3" x14ac:dyDescent="0.35">
      <c r="D324" s="38" t="str">
        <f>D56</f>
        <v xml:space="preserve">Current tax liabilities </v>
      </c>
      <c r="E324" s="20" t="s">
        <v>250</v>
      </c>
      <c r="J324">
        <f>J56</f>
        <v>30476315</v>
      </c>
      <c r="K324">
        <f>K56</f>
        <v>28281629</v>
      </c>
      <c r="L324">
        <f>L56</f>
        <v>26208706</v>
      </c>
    </row>
    <row r="325" spans="3:17" ht="14.5" outlineLevel="3" x14ac:dyDescent="0.35">
      <c r="D325" s="38" t="str">
        <f>D59</f>
        <v xml:space="preserve">Provisions </v>
      </c>
      <c r="E325" s="20" t="s">
        <v>250</v>
      </c>
      <c r="J325">
        <f>J59</f>
        <v>3691991</v>
      </c>
      <c r="K325">
        <f>K59</f>
        <v>2701498</v>
      </c>
      <c r="L325">
        <f>L59</f>
        <v>1026008</v>
      </c>
    </row>
    <row r="326" spans="3:17" ht="14.5" outlineLevel="3" x14ac:dyDescent="0.35">
      <c r="D326" s="38"/>
      <c r="E326" s="20"/>
    </row>
    <row r="327" spans="3:17" ht="14.5" outlineLevel="3" x14ac:dyDescent="0.35">
      <c r="D327" s="38"/>
      <c r="E327" s="20"/>
    </row>
    <row r="328" spans="3:17" ht="16" outlineLevel="2" thickBot="1" x14ac:dyDescent="0.4">
      <c r="C328" s="9" t="s">
        <v>482</v>
      </c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3:17" outlineLevel="3" x14ac:dyDescent="0.3"/>
    <row r="330" spans="3:17" ht="14.5" outlineLevel="3" x14ac:dyDescent="0.35">
      <c r="D330" t="s">
        <v>483</v>
      </c>
      <c r="E330" s="20" t="s">
        <v>250</v>
      </c>
      <c r="J330">
        <f>J49</f>
        <v>568084</v>
      </c>
      <c r="K330">
        <f t="shared" ref="K330:L330" si="85">K49</f>
        <v>283135</v>
      </c>
      <c r="L330">
        <f t="shared" si="85"/>
        <v>127889</v>
      </c>
    </row>
    <row r="331" spans="3:17" ht="14.5" outlineLevel="3" x14ac:dyDescent="0.35">
      <c r="D331" t="s">
        <v>484</v>
      </c>
      <c r="E331" s="20" t="s">
        <v>250</v>
      </c>
      <c r="J331">
        <f>J57</f>
        <v>231270</v>
      </c>
      <c r="K331">
        <f t="shared" ref="K331:L331" si="86">K57</f>
        <v>184821</v>
      </c>
      <c r="L331">
        <f t="shared" si="86"/>
        <v>53717</v>
      </c>
    </row>
    <row r="332" spans="3:17" ht="14.5" outlineLevel="3" thickBot="1" x14ac:dyDescent="0.35">
      <c r="D332" s="38" t="s">
        <v>485</v>
      </c>
      <c r="J332" s="11">
        <f>SUM(J330:J331)</f>
        <v>799354</v>
      </c>
      <c r="K332" s="11">
        <f t="shared" ref="K332:L332" si="87">SUM(K330:K331)</f>
        <v>467956</v>
      </c>
      <c r="L332" s="11">
        <f t="shared" si="87"/>
        <v>181606</v>
      </c>
    </row>
    <row r="333" spans="3:17" ht="14.5" outlineLevel="3" thickTop="1" x14ac:dyDescent="0.3"/>
    <row r="334" spans="3:17" ht="16" outlineLevel="2" thickBot="1" x14ac:dyDescent="0.4">
      <c r="C334" s="9" t="s">
        <v>252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3:17" outlineLevel="3" x14ac:dyDescent="0.3"/>
    <row r="336" spans="3:17" ht="14.5" outlineLevel="3" thickBot="1" x14ac:dyDescent="0.35">
      <c r="D336" t="s">
        <v>233</v>
      </c>
      <c r="J336" s="11">
        <f>J52</f>
        <v>116512689</v>
      </c>
      <c r="K336" s="11">
        <f>K52</f>
        <v>148384425</v>
      </c>
      <c r="L336" s="11">
        <f>L52</f>
        <v>166161861</v>
      </c>
    </row>
    <row r="337" spans="4:12" ht="15" outlineLevel="3" thickTop="1" x14ac:dyDescent="0.35">
      <c r="D337" t="s">
        <v>253</v>
      </c>
      <c r="E337" s="20" t="s">
        <v>480</v>
      </c>
      <c r="J337" s="4">
        <v>32026503</v>
      </c>
      <c r="K337" s="4">
        <v>40866329</v>
      </c>
      <c r="L337" s="4">
        <v>36622733</v>
      </c>
    </row>
    <row r="338" spans="4:12" ht="14.5" outlineLevel="3" x14ac:dyDescent="0.35">
      <c r="D338" t="s">
        <v>254</v>
      </c>
      <c r="E338" s="20" t="s">
        <v>480</v>
      </c>
      <c r="J338" s="4">
        <v>14921545</v>
      </c>
      <c r="K338" s="4">
        <v>21369862</v>
      </c>
      <c r="L338" s="4">
        <v>19775025</v>
      </c>
    </row>
    <row r="339" spans="4:12" ht="14.5" outlineLevel="3" x14ac:dyDescent="0.35">
      <c r="D339" t="s">
        <v>255</v>
      </c>
      <c r="E339" s="20" t="s">
        <v>480</v>
      </c>
      <c r="J339" s="4">
        <v>61272748</v>
      </c>
      <c r="K339" s="4">
        <v>76746560</v>
      </c>
      <c r="L339" s="4">
        <v>99644494</v>
      </c>
    </row>
    <row r="340" spans="4:12" ht="14.5" outlineLevel="3" x14ac:dyDescent="0.35">
      <c r="D340" t="s">
        <v>256</v>
      </c>
      <c r="E340" s="20" t="s">
        <v>480</v>
      </c>
      <c r="J340" s="4">
        <v>8291893</v>
      </c>
      <c r="K340" s="4">
        <v>9401674</v>
      </c>
      <c r="L340" s="4">
        <v>10119609</v>
      </c>
    </row>
    <row r="341" spans="4:12" outlineLevel="3" x14ac:dyDescent="0.3">
      <c r="J341" s="12">
        <f>SUM(J337:J340)</f>
        <v>116512689</v>
      </c>
      <c r="K341" s="12">
        <f>SUM(K337:K340)</f>
        <v>148384425</v>
      </c>
      <c r="L341" s="12">
        <f>SUM(L337:L340)</f>
        <v>166161861</v>
      </c>
    </row>
    <row r="342" spans="4:12" outlineLevel="3" x14ac:dyDescent="0.3">
      <c r="J342" s="12"/>
      <c r="K342" s="12"/>
      <c r="L342" s="12"/>
    </row>
    <row r="343" spans="4:12" ht="14.5" outlineLevel="3" thickBot="1" x14ac:dyDescent="0.35">
      <c r="D343" s="29" t="s">
        <v>272</v>
      </c>
      <c r="J343" s="11">
        <f>J348+J350+J352</f>
        <v>116512689</v>
      </c>
      <c r="K343" s="11">
        <f>K348+K350+K352</f>
        <v>148384425</v>
      </c>
      <c r="L343" s="11">
        <f>L348+L350+L352</f>
        <v>166161861</v>
      </c>
    </row>
    <row r="344" spans="4:12" ht="14.5" outlineLevel="3" thickTop="1" x14ac:dyDescent="0.3">
      <c r="D344" t="s">
        <v>481</v>
      </c>
      <c r="I344">
        <f>COUNTIF(J344:L344, "&lt;&gt;0")</f>
        <v>0</v>
      </c>
      <c r="J344">
        <f>J343-J336</f>
        <v>0</v>
      </c>
      <c r="K344">
        <f>K343-K336</f>
        <v>0</v>
      </c>
      <c r="L344">
        <f>L343-L336</f>
        <v>0</v>
      </c>
    </row>
    <row r="345" spans="4:12" outlineLevel="3" x14ac:dyDescent="0.3"/>
    <row r="346" spans="4:12" outlineLevel="3" x14ac:dyDescent="0.3">
      <c r="D346" t="str">
        <f>D337</f>
        <v>Trade payables</v>
      </c>
      <c r="J346">
        <f t="shared" ref="J346" si="88">J337</f>
        <v>32026503</v>
      </c>
      <c r="K346">
        <f t="shared" ref="K346:L346" si="89">K337</f>
        <v>40866329</v>
      </c>
      <c r="L346">
        <f t="shared" si="89"/>
        <v>36622733</v>
      </c>
    </row>
    <row r="347" spans="4:12" outlineLevel="3" x14ac:dyDescent="0.3">
      <c r="D347" t="str">
        <f>D339</f>
        <v>Trade payables due to related parties</v>
      </c>
      <c r="J347">
        <f t="shared" ref="J347" si="90">J339</f>
        <v>61272748</v>
      </c>
      <c r="K347">
        <f t="shared" ref="K347:L347" si="91">K339</f>
        <v>76746560</v>
      </c>
      <c r="L347">
        <f t="shared" si="91"/>
        <v>99644494</v>
      </c>
    </row>
    <row r="348" spans="4:12" outlineLevel="3" x14ac:dyDescent="0.3">
      <c r="D348" s="38" t="s">
        <v>257</v>
      </c>
      <c r="J348" s="12">
        <f>SUM(J346:J347)</f>
        <v>93299251</v>
      </c>
      <c r="K348" s="12">
        <f>SUM(K346:K347)</f>
        <v>117612889</v>
      </c>
      <c r="L348" s="12">
        <f>SUM(L346:L347)</f>
        <v>136267227</v>
      </c>
    </row>
    <row r="349" spans="4:12" outlineLevel="3" x14ac:dyDescent="0.3"/>
    <row r="350" spans="4:12" outlineLevel="3" x14ac:dyDescent="0.3">
      <c r="D350" s="38" t="str">
        <f>D338</f>
        <v>Other payables and accruals</v>
      </c>
      <c r="J350" s="12">
        <f t="shared" ref="J350" si="92">J338</f>
        <v>14921545</v>
      </c>
      <c r="K350" s="12">
        <f t="shared" ref="K350:L350" si="93">K338</f>
        <v>21369862</v>
      </c>
      <c r="L350" s="12">
        <f t="shared" si="93"/>
        <v>19775025</v>
      </c>
    </row>
    <row r="351" spans="4:12" outlineLevel="3" x14ac:dyDescent="0.3"/>
    <row r="352" spans="4:12" outlineLevel="3" x14ac:dyDescent="0.3">
      <c r="D352" s="38" t="str">
        <f>D340</f>
        <v>Dividend payable</v>
      </c>
      <c r="J352" s="12">
        <f t="shared" ref="J352" si="94">J340</f>
        <v>8291893</v>
      </c>
      <c r="K352" s="12">
        <f t="shared" ref="K352:L352" si="95">K340</f>
        <v>9401674</v>
      </c>
      <c r="L352" s="12">
        <f t="shared" si="95"/>
        <v>10119609</v>
      </c>
    </row>
    <row r="353" spans="2:17" outlineLevel="3" x14ac:dyDescent="0.3"/>
    <row r="354" spans="2:17" outlineLevel="3" x14ac:dyDescent="0.3"/>
    <row r="355" spans="2:17" ht="16" outlineLevel="2" thickBot="1" x14ac:dyDescent="0.4">
      <c r="C355" s="9" t="s">
        <v>258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2:17" outlineLevel="3" x14ac:dyDescent="0.3">
      <c r="B356" s="47"/>
    </row>
    <row r="357" spans="2:17" ht="14.5" outlineLevel="3" x14ac:dyDescent="0.35">
      <c r="B357" s="47"/>
      <c r="D357" t="s">
        <v>259</v>
      </c>
      <c r="E357" s="20" t="s">
        <v>250</v>
      </c>
      <c r="J357">
        <f>J47</f>
        <v>33834202</v>
      </c>
      <c r="K357">
        <f>K47</f>
        <v>76432859</v>
      </c>
      <c r="L357">
        <f>L47</f>
        <v>147006556</v>
      </c>
    </row>
    <row r="358" spans="2:17" ht="14.5" outlineLevel="3" x14ac:dyDescent="0.35">
      <c r="B358" s="47"/>
      <c r="D358" t="s">
        <v>260</v>
      </c>
      <c r="E358" s="20" t="s">
        <v>250</v>
      </c>
      <c r="J358">
        <f>J58</f>
        <v>6377484</v>
      </c>
      <c r="K358">
        <f>K58</f>
        <v>431943</v>
      </c>
      <c r="L358">
        <f>L58</f>
        <v>8293512</v>
      </c>
    </row>
    <row r="359" spans="2:17" outlineLevel="3" x14ac:dyDescent="0.3">
      <c r="B359" s="47"/>
      <c r="D359" s="38" t="s">
        <v>271</v>
      </c>
      <c r="J359" s="12">
        <f>SUM(J357:J358)</f>
        <v>40211686</v>
      </c>
      <c r="K359" s="12">
        <f>SUM(K357:K358)</f>
        <v>76864802</v>
      </c>
      <c r="L359" s="12">
        <f>SUM(L357:L358)</f>
        <v>155300068</v>
      </c>
    </row>
    <row r="360" spans="2:17" outlineLevel="3" x14ac:dyDescent="0.3">
      <c r="B360" s="47"/>
    </row>
    <row r="361" spans="2:17" outlineLevel="3" x14ac:dyDescent="0.3">
      <c r="B361" s="47"/>
      <c r="C361" s="10"/>
      <c r="D361" s="10" t="s">
        <v>261</v>
      </c>
      <c r="E361" s="10" t="s">
        <v>330</v>
      </c>
      <c r="F361" s="10" t="s">
        <v>262</v>
      </c>
      <c r="G361" s="10" t="s">
        <v>263</v>
      </c>
      <c r="H361" s="10" t="s">
        <v>264</v>
      </c>
      <c r="I361" s="10" t="s">
        <v>265</v>
      </c>
      <c r="J361" s="10" t="s">
        <v>269</v>
      </c>
    </row>
    <row r="362" spans="2:17" ht="14.5" outlineLevel="3" x14ac:dyDescent="0.35">
      <c r="B362" s="47"/>
      <c r="C362" s="1">
        <v>1</v>
      </c>
      <c r="D362" t="s">
        <v>266</v>
      </c>
      <c r="E362" s="1"/>
      <c r="F362" s="1">
        <v>2027</v>
      </c>
      <c r="G362" t="s">
        <v>267</v>
      </c>
      <c r="H362" t="s">
        <v>333</v>
      </c>
      <c r="I362" s="2">
        <v>0.11</v>
      </c>
      <c r="J362">
        <v>58570728</v>
      </c>
      <c r="K362" s="20" t="s">
        <v>489</v>
      </c>
    </row>
    <row r="363" spans="2:17" ht="14.5" outlineLevel="3" x14ac:dyDescent="0.35">
      <c r="B363" s="47"/>
      <c r="C363" s="1">
        <v>2</v>
      </c>
      <c r="D363" t="s">
        <v>266</v>
      </c>
      <c r="E363" s="1"/>
      <c r="F363" s="1">
        <v>2027</v>
      </c>
      <c r="G363" t="s">
        <v>267</v>
      </c>
      <c r="H363" t="s">
        <v>333</v>
      </c>
      <c r="I363" s="2">
        <v>7.0000000000000007E-2</v>
      </c>
      <c r="J363">
        <v>51018981</v>
      </c>
      <c r="K363" s="20" t="s">
        <v>490</v>
      </c>
    </row>
    <row r="364" spans="2:17" ht="14.5" outlineLevel="3" x14ac:dyDescent="0.35">
      <c r="B364" s="47"/>
      <c r="C364" s="1">
        <v>3</v>
      </c>
      <c r="D364" t="s">
        <v>266</v>
      </c>
      <c r="E364" s="1"/>
      <c r="F364" s="1">
        <v>2028</v>
      </c>
      <c r="G364" t="s">
        <v>267</v>
      </c>
      <c r="H364" t="s">
        <v>333</v>
      </c>
      <c r="I364" s="2">
        <v>0.04</v>
      </c>
      <c r="J364">
        <v>23754913</v>
      </c>
      <c r="K364" s="20" t="s">
        <v>491</v>
      </c>
    </row>
    <row r="365" spans="2:17" ht="14.5" outlineLevel="3" x14ac:dyDescent="0.35">
      <c r="B365" s="47"/>
      <c r="C365" s="1">
        <v>4</v>
      </c>
      <c r="D365" t="s">
        <v>266</v>
      </c>
      <c r="E365" s="1"/>
      <c r="F365" s="1">
        <v>2029</v>
      </c>
      <c r="G365" t="s">
        <v>267</v>
      </c>
      <c r="H365" t="s">
        <v>488</v>
      </c>
      <c r="I365" s="2">
        <v>0.1</v>
      </c>
      <c r="J365">
        <v>13661934</v>
      </c>
      <c r="K365" s="20" t="s">
        <v>492</v>
      </c>
    </row>
    <row r="366" spans="2:17" ht="14.5" outlineLevel="3" x14ac:dyDescent="0.35">
      <c r="B366" s="47"/>
      <c r="C366" s="1">
        <v>5</v>
      </c>
      <c r="D366" t="s">
        <v>487</v>
      </c>
      <c r="E366" s="1"/>
      <c r="F366" s="1">
        <v>2023</v>
      </c>
      <c r="G366" t="s">
        <v>267</v>
      </c>
      <c r="H366" t="s">
        <v>488</v>
      </c>
      <c r="I366" s="2">
        <v>0.06</v>
      </c>
      <c r="J366">
        <v>8293512</v>
      </c>
      <c r="K366" s="20" t="s">
        <v>493</v>
      </c>
    </row>
    <row r="367" spans="2:17" outlineLevel="3" x14ac:dyDescent="0.3">
      <c r="B367" s="47"/>
      <c r="J367" s="12">
        <f>SUM(J362:J366)</f>
        <v>155300068</v>
      </c>
    </row>
    <row r="368" spans="2:17" outlineLevel="3" x14ac:dyDescent="0.3">
      <c r="B368" s="47"/>
      <c r="D368" t="s">
        <v>338</v>
      </c>
      <c r="I368">
        <f>J367-L359</f>
        <v>0</v>
      </c>
      <c r="J368">
        <f>J367-L359</f>
        <v>0</v>
      </c>
    </row>
    <row r="369" spans="3:17" outlineLevel="3" x14ac:dyDescent="0.3"/>
    <row r="370" spans="3:17" ht="16" outlineLevel="2" thickBot="1" x14ac:dyDescent="0.4">
      <c r="C370" s="9" t="s">
        <v>149</v>
      </c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3:17" outlineLevel="3" x14ac:dyDescent="0.3"/>
    <row r="372" spans="3:17" ht="14.5" outlineLevel="3" x14ac:dyDescent="0.35">
      <c r="D372" s="38" t="str">
        <f>D41</f>
        <v xml:space="preserve">Share capital </v>
      </c>
      <c r="E372" s="20" t="s">
        <v>250</v>
      </c>
      <c r="J372">
        <f t="shared" ref="J372:L375" si="96">J41</f>
        <v>396328</v>
      </c>
      <c r="K372">
        <f t="shared" si="96"/>
        <v>396328</v>
      </c>
      <c r="L372">
        <f t="shared" si="96"/>
        <v>396328</v>
      </c>
    </row>
    <row r="373" spans="3:17" ht="14.5" outlineLevel="3" x14ac:dyDescent="0.35">
      <c r="D373" s="38" t="str">
        <f>D42</f>
        <v xml:space="preserve">Share premium </v>
      </c>
      <c r="E373" s="20" t="s">
        <v>250</v>
      </c>
      <c r="J373">
        <f t="shared" si="96"/>
        <v>32262</v>
      </c>
      <c r="K373">
        <f t="shared" si="96"/>
        <v>32262</v>
      </c>
      <c r="L373">
        <f t="shared" si="96"/>
        <v>32262</v>
      </c>
    </row>
    <row r="374" spans="3:17" ht="14.5" outlineLevel="3" x14ac:dyDescent="0.35">
      <c r="D374" s="38" t="str">
        <f>D43</f>
        <v xml:space="preserve">Share based payment reserve </v>
      </c>
      <c r="E374" s="20" t="s">
        <v>250</v>
      </c>
      <c r="J374">
        <f t="shared" si="96"/>
        <v>113811</v>
      </c>
      <c r="K374">
        <f t="shared" si="96"/>
        <v>113456</v>
      </c>
      <c r="L374">
        <f t="shared" si="96"/>
        <v>90127</v>
      </c>
    </row>
    <row r="375" spans="3:17" ht="14.5" outlineLevel="3" x14ac:dyDescent="0.35">
      <c r="D375" s="38" t="str">
        <f>D44</f>
        <v xml:space="preserve">Retained earnings </v>
      </c>
      <c r="E375" s="20" t="s">
        <v>250</v>
      </c>
      <c r="J375">
        <f t="shared" si="96"/>
        <v>28754583</v>
      </c>
      <c r="K375">
        <f t="shared" si="96"/>
        <v>20836160</v>
      </c>
      <c r="L375">
        <f t="shared" si="96"/>
        <v>29772507</v>
      </c>
    </row>
    <row r="376" spans="3:17" outlineLevel="3" x14ac:dyDescent="0.3"/>
    <row r="377" spans="3:17" outlineLevel="3" x14ac:dyDescent="0.3"/>
    <row r="378" spans="3:17" ht="16" outlineLevel="2" thickBot="1" x14ac:dyDescent="0.4">
      <c r="C378" s="9" t="s">
        <v>270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3:17" outlineLevel="3" x14ac:dyDescent="0.3"/>
    <row r="380" spans="3:17" ht="14.5" outlineLevel="3" x14ac:dyDescent="0.35">
      <c r="D380" s="38" t="str">
        <f>D37</f>
        <v>Cash and short term-deposit</v>
      </c>
      <c r="E380" s="20" t="s">
        <v>250</v>
      </c>
      <c r="J380">
        <f>J37</f>
        <v>58703209</v>
      </c>
      <c r="K380">
        <f>K37</f>
        <v>100518159</v>
      </c>
      <c r="L380">
        <f>L37</f>
        <v>117932430</v>
      </c>
    </row>
    <row r="381" spans="3:17" ht="14.5" outlineLevel="3" x14ac:dyDescent="0.35">
      <c r="D381" s="38" t="str">
        <f>D55</f>
        <v xml:space="preserve">Bank Overdraft </v>
      </c>
      <c r="E381" s="20" t="s">
        <v>250</v>
      </c>
      <c r="J381">
        <f>J55</f>
        <v>2551</v>
      </c>
      <c r="K381">
        <f>K55</f>
        <v>2352</v>
      </c>
      <c r="L381">
        <f>L55</f>
        <v>0</v>
      </c>
    </row>
    <row r="382" spans="3:17" outlineLevel="3" x14ac:dyDescent="0.3"/>
    <row r="383" spans="3:17" outlineLevel="3" x14ac:dyDescent="0.3"/>
  </sheetData>
  <mergeCells count="6">
    <mergeCell ref="M65:N65"/>
    <mergeCell ref="O65:P65"/>
    <mergeCell ref="G65:H65"/>
    <mergeCell ref="K65:L65"/>
    <mergeCell ref="E65:F65"/>
    <mergeCell ref="I65:J65"/>
  </mergeCells>
  <phoneticPr fontId="22" type="noConversion"/>
  <conditionalFormatting sqref="D162:D165">
    <cfRule type="expression" dxfId="25" priority="1">
      <formula>$F162&lt;&gt;0</formula>
    </cfRule>
  </conditionalFormatting>
  <conditionalFormatting sqref="J6:Q7">
    <cfRule type="cellIs" dxfId="24" priority="2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ignoredErrors>
    <ignoredError sqref="J144:L144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38948BAF-D922-4767-946C-C7004E27ED2B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BFA8-1238-406D-801F-4E4F3F130534}">
  <sheetPr>
    <tabColor theme="6" tint="0.59999389629810485"/>
    <outlinePr summaryBelow="0" summaryRight="0"/>
    <pageSetUpPr fitToPage="1"/>
  </sheetPr>
  <dimension ref="A1:R103"/>
  <sheetViews>
    <sheetView showGridLines="0" zoomScale="70" zoomScaleNormal="70" workbookViewId="0">
      <pane xSplit="4" ySplit="8" topLeftCell="E75" activePane="bottomRight" state="frozen"/>
      <selection activeCell="D5" sqref="D5"/>
      <selection pane="topRight" activeCell="D5" sqref="D5"/>
      <selection pane="bottomLeft" activeCell="D5" sqref="D5"/>
      <selection pane="bottomRight" activeCell="I90" sqref="I90"/>
    </sheetView>
  </sheetViews>
  <sheetFormatPr defaultColWidth="0" defaultRowHeight="14" outlineLevelRow="3" x14ac:dyDescent="0.3"/>
  <cols>
    <col min="1" max="2" width="2" customWidth="1"/>
    <col min="3" max="3" width="4.75" customWidth="1"/>
    <col min="4" max="4" width="23.4140625" customWidth="1"/>
    <col min="5" max="6" width="8.6640625" customWidth="1"/>
    <col min="7" max="7" width="9.83203125" customWidth="1"/>
    <col min="8" max="8" width="9.33203125" bestFit="1" customWidth="1"/>
    <col min="9" max="9" width="14.1640625" customWidth="1"/>
    <col min="10" max="10" width="12.83203125" customWidth="1"/>
    <col min="11" max="11" width="14.25" bestFit="1" customWidth="1"/>
    <col min="12" max="12" width="15" bestFit="1" customWidth="1"/>
    <col min="13" max="17" width="13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121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ref="O6" si="3">(O5&lt;=Date_last_historical)*1</f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Q7" si="4">(J5&gt;=Date_last_historical)*1</f>
        <v>0</v>
      </c>
      <c r="K7" s="28">
        <f t="shared" si="4"/>
        <v>0</v>
      </c>
      <c r="L7" s="28">
        <f>(L5&gt;Date_last_historical)*1</f>
        <v>0</v>
      </c>
      <c r="M7" s="28">
        <f t="shared" si="4"/>
        <v>1</v>
      </c>
      <c r="N7" s="28">
        <f t="shared" si="4"/>
        <v>1</v>
      </c>
      <c r="O7" s="28">
        <f t="shared" ref="O7" si="5">(O5&gt;=Date_last_historical)*1</f>
        <v>1</v>
      </c>
      <c r="P7" s="28">
        <f t="shared" si="4"/>
        <v>1</v>
      </c>
      <c r="Q7" s="28">
        <f t="shared" si="4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7" ht="17" thickBot="1" x14ac:dyDescent="0.4">
      <c r="B10" s="8" t="s">
        <v>287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7" ht="15" thickTop="1" x14ac:dyDescent="0.35">
      <c r="C11" s="20" t="s">
        <v>288</v>
      </c>
    </row>
    <row r="12" spans="2:17" ht="16" outlineLevel="1" thickBot="1" x14ac:dyDescent="0.4">
      <c r="C12" s="9" t="s">
        <v>289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ht="14.5" outlineLevel="3" x14ac:dyDescent="0.35">
      <c r="D13" t="s">
        <v>290</v>
      </c>
      <c r="E13" s="20" t="s">
        <v>294</v>
      </c>
      <c r="J13" s="1">
        <f>K13-1</f>
        <v>-2</v>
      </c>
      <c r="K13" s="1">
        <f>L13-1</f>
        <v>-1</v>
      </c>
      <c r="L13" s="1">
        <f>0</f>
        <v>0</v>
      </c>
      <c r="M13" s="1">
        <f>L13+1</f>
        <v>1</v>
      </c>
      <c r="N13" s="1">
        <f t="shared" ref="N13:Q13" si="6">M13+1</f>
        <v>2</v>
      </c>
      <c r="O13" s="1">
        <f t="shared" si="6"/>
        <v>3</v>
      </c>
      <c r="P13" s="1">
        <f t="shared" si="6"/>
        <v>4</v>
      </c>
      <c r="Q13" s="1">
        <f t="shared" si="6"/>
        <v>5</v>
      </c>
    </row>
    <row r="14" spans="2:17" ht="14.5" outlineLevel="3" x14ac:dyDescent="0.35">
      <c r="D14" t="s">
        <v>291</v>
      </c>
      <c r="E14" s="20" t="s">
        <v>291</v>
      </c>
      <c r="J14" s="1">
        <f t="shared" ref="J14:K14" si="7">YEAR(J5)</f>
        <v>2020</v>
      </c>
      <c r="K14" s="1">
        <f t="shared" si="7"/>
        <v>2021</v>
      </c>
      <c r="L14" s="1">
        <f>YEAR(L5)</f>
        <v>2022</v>
      </c>
      <c r="M14" s="1">
        <f t="shared" ref="M14:Q14" si="8">YEAR(M5)</f>
        <v>2023</v>
      </c>
      <c r="N14" s="1">
        <f t="shared" si="8"/>
        <v>2024</v>
      </c>
      <c r="O14" s="1">
        <f t="shared" ref="O14" si="9">YEAR(O5)</f>
        <v>2025</v>
      </c>
      <c r="P14" s="1">
        <f t="shared" si="8"/>
        <v>2026</v>
      </c>
      <c r="Q14" s="1">
        <f t="shared" si="8"/>
        <v>2027</v>
      </c>
    </row>
    <row r="15" spans="2:17" ht="14.5" outlineLevel="3" x14ac:dyDescent="0.35">
      <c r="D15" t="s">
        <v>292</v>
      </c>
      <c r="E15" s="20" t="s">
        <v>293</v>
      </c>
      <c r="J15" s="1">
        <f>J5-I5</f>
        <v>366</v>
      </c>
      <c r="K15" s="1">
        <f t="shared" ref="K15:Q15" si="10">K5-J5</f>
        <v>365</v>
      </c>
      <c r="L15" s="1">
        <f t="shared" si="10"/>
        <v>365</v>
      </c>
      <c r="M15" s="1">
        <f t="shared" si="10"/>
        <v>365</v>
      </c>
      <c r="N15" s="1">
        <f t="shared" si="10"/>
        <v>366</v>
      </c>
      <c r="O15" s="1">
        <f t="shared" si="10"/>
        <v>365</v>
      </c>
      <c r="P15" s="1">
        <f t="shared" si="10"/>
        <v>365</v>
      </c>
      <c r="Q15" s="1">
        <f t="shared" si="10"/>
        <v>365</v>
      </c>
    </row>
    <row r="16" spans="2:17" outlineLevel="3" x14ac:dyDescent="0.3"/>
    <row r="17" spans="2:17" outlineLevel="3" x14ac:dyDescent="0.3"/>
    <row r="18" spans="2:17" ht="17" thickBot="1" x14ac:dyDescent="0.4">
      <c r="B18" s="8" t="s">
        <v>295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2:17" ht="15" outlineLevel="1" thickTop="1" x14ac:dyDescent="0.35">
      <c r="C19" s="20" t="s">
        <v>288</v>
      </c>
    </row>
    <row r="20" spans="2:17" ht="16" outlineLevel="3" thickBot="1" x14ac:dyDescent="0.4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2:17" ht="14.5" outlineLevel="3" thickBot="1" x14ac:dyDescent="0.35"/>
    <row r="22" spans="2:17" ht="15" outlineLevel="3" thickBot="1" x14ac:dyDescent="0.4">
      <c r="D22" t="str">
        <f>Hist!D99</f>
        <v>Revenue</v>
      </c>
      <c r="E22" s="20" t="s">
        <v>351</v>
      </c>
      <c r="J22" s="43">
        <v>0</v>
      </c>
      <c r="K22" s="43">
        <f>(Hist!K13/Hist!J13)-1</f>
        <v>0.22550271830287838</v>
      </c>
      <c r="L22" s="43">
        <f>(Hist!L13/Hist!K13)-1</f>
        <v>0.27001393365228954</v>
      </c>
      <c r="M22" s="53">
        <f>Scn!M23</f>
        <v>0.22</v>
      </c>
      <c r="N22" s="53">
        <f>Scn!N23</f>
        <v>0.22</v>
      </c>
      <c r="O22" s="53">
        <f>Scn!O23</f>
        <v>0.22</v>
      </c>
      <c r="P22" s="53">
        <f>Scn!P23</f>
        <v>0.22</v>
      </c>
      <c r="Q22" s="53">
        <f>Scn!Q23</f>
        <v>0.22</v>
      </c>
    </row>
    <row r="23" spans="2:17" ht="15" outlineLevel="3" thickBot="1" x14ac:dyDescent="0.4">
      <c r="D23" t="str">
        <f>Hist!D100</f>
        <v>Cost of Sales</v>
      </c>
      <c r="E23" s="20" t="s">
        <v>296</v>
      </c>
      <c r="J23" s="43">
        <f>Hist!J100/Hist!J99</f>
        <v>0.56710780698896768</v>
      </c>
      <c r="K23" s="43">
        <f>Hist!K100/Hist!K99</f>
        <v>0.60910404296709664</v>
      </c>
      <c r="L23" s="43">
        <f>Hist!L100/Hist!L99</f>
        <v>0.63685179103514922</v>
      </c>
      <c r="M23" s="53">
        <f>Scn!M29</f>
        <v>0.65710000000000002</v>
      </c>
      <c r="N23" s="53">
        <f>Scn!N29</f>
        <v>0.65710000000000002</v>
      </c>
      <c r="O23" s="53">
        <f>Scn!O29</f>
        <v>0.65710000000000002</v>
      </c>
      <c r="P23" s="53">
        <f>Scn!P29</f>
        <v>0.65710000000000002</v>
      </c>
      <c r="Q23" s="53">
        <f>Scn!Q29</f>
        <v>0.65710000000000002</v>
      </c>
    </row>
    <row r="24" spans="2:17" ht="15" outlineLevel="3" thickBot="1" x14ac:dyDescent="0.4">
      <c r="D24" t="str">
        <f>Hist!D101</f>
        <v>Gross Profit</v>
      </c>
      <c r="E24" s="20"/>
      <c r="J24" s="4"/>
      <c r="K24" s="4"/>
      <c r="L24" s="4"/>
    </row>
    <row r="25" spans="2:17" ht="15" outlineLevel="3" thickBot="1" x14ac:dyDescent="0.4">
      <c r="D25" t="str">
        <f>Hist!D102</f>
        <v>SG&amp;A Expenses</v>
      </c>
      <c r="E25" s="20" t="s">
        <v>296</v>
      </c>
      <c r="J25" s="43">
        <f>Hist!J102/Hist!J99</f>
        <v>0.18302324433607495</v>
      </c>
      <c r="K25" s="43">
        <f>Hist!K102/Hist!K99</f>
        <v>0.16291294291329644</v>
      </c>
      <c r="L25" s="43">
        <f>Hist!L102/Hist!L99</f>
        <v>0.14848818737133221</v>
      </c>
      <c r="M25" s="53">
        <f>Scn!M35</f>
        <v>0.14848818737133221</v>
      </c>
      <c r="N25" s="53">
        <f>Scn!N35</f>
        <v>0.14848818737133221</v>
      </c>
      <c r="O25" s="53">
        <f>Scn!O35</f>
        <v>0.14848818737133221</v>
      </c>
      <c r="P25" s="53">
        <f>Scn!P35</f>
        <v>0.14848818737133221</v>
      </c>
      <c r="Q25" s="53">
        <f>Scn!Q35</f>
        <v>0.14848818737133221</v>
      </c>
    </row>
    <row r="26" spans="2:17" ht="14.5" outlineLevel="3" x14ac:dyDescent="0.35">
      <c r="E26" s="20"/>
      <c r="J26" s="4"/>
      <c r="K26" s="4"/>
      <c r="L26" s="4"/>
    </row>
    <row r="27" spans="2:17" ht="14.5" outlineLevel="3" x14ac:dyDescent="0.35">
      <c r="D27" t="str">
        <f>Hist!D104</f>
        <v>Depreciation</v>
      </c>
      <c r="E27" s="20" t="s">
        <v>297</v>
      </c>
      <c r="J27" s="43">
        <v>0</v>
      </c>
      <c r="K27" s="43">
        <f>Hist!K104/Hist!J120</f>
        <v>8.6277075337354611E-2</v>
      </c>
      <c r="L27" s="43">
        <f>Hist!L104/Hist!K120</f>
        <v>8.6874626906876654E-2</v>
      </c>
      <c r="M27" s="42">
        <v>9.5699999999999993E-2</v>
      </c>
      <c r="N27" s="42">
        <v>9.5699999999999993E-2</v>
      </c>
      <c r="O27" s="42">
        <v>9.5699999999999993E-2</v>
      </c>
      <c r="P27" s="42">
        <v>9.5699999999999993E-2</v>
      </c>
      <c r="Q27" s="42">
        <v>9.5699999999999993E-2</v>
      </c>
    </row>
    <row r="28" spans="2:17" ht="14.5" outlineLevel="3" x14ac:dyDescent="0.35">
      <c r="D28" t="str">
        <f>Hist!D105</f>
        <v>Impairement</v>
      </c>
      <c r="E28" s="20" t="s">
        <v>298</v>
      </c>
      <c r="J28" s="4">
        <f>Hist!J105</f>
        <v>0</v>
      </c>
      <c r="K28" s="4">
        <f>Hist!K105</f>
        <v>278438</v>
      </c>
      <c r="L28" s="4">
        <f>Hist!L105</f>
        <v>29043</v>
      </c>
      <c r="M28" s="3">
        <v>29043</v>
      </c>
      <c r="N28" s="3">
        <v>29043</v>
      </c>
      <c r="O28" s="3">
        <v>29043</v>
      </c>
      <c r="P28" s="3">
        <v>29043</v>
      </c>
      <c r="Q28" s="3">
        <v>29043</v>
      </c>
    </row>
    <row r="29" spans="2:17" ht="14.5" outlineLevel="3" x14ac:dyDescent="0.35">
      <c r="E29" s="20"/>
      <c r="J29" s="4"/>
      <c r="K29" s="4"/>
      <c r="L29" s="4"/>
    </row>
    <row r="30" spans="2:17" ht="14.5" outlineLevel="3" x14ac:dyDescent="0.35">
      <c r="D30" t="str">
        <f>Hist!D107</f>
        <v>Interest income</v>
      </c>
      <c r="E30" s="20"/>
      <c r="J30" s="4"/>
      <c r="K30" s="4"/>
      <c r="L30" s="4"/>
      <c r="M30" s="3"/>
      <c r="N30" s="3"/>
      <c r="O30" s="3"/>
      <c r="P30" s="3"/>
      <c r="Q30" s="3"/>
    </row>
    <row r="31" spans="2:17" ht="14.5" outlineLevel="3" x14ac:dyDescent="0.35">
      <c r="D31" t="str">
        <f>Hist!D108</f>
        <v>Interest Expense</v>
      </c>
      <c r="E31" s="20"/>
      <c r="J31" s="4"/>
      <c r="K31" s="4"/>
      <c r="L31" s="4"/>
      <c r="M31" s="3"/>
      <c r="N31" s="3"/>
      <c r="O31" s="3"/>
      <c r="P31" s="3"/>
      <c r="Q31" s="3"/>
    </row>
    <row r="32" spans="2:17" ht="14.5" outlineLevel="3" x14ac:dyDescent="0.35">
      <c r="D32" t="str">
        <f>Hist!D109</f>
        <v>Net Foreign Exchange Loss</v>
      </c>
      <c r="E32" s="20" t="s">
        <v>298</v>
      </c>
      <c r="J32" s="4">
        <f>Hist!J109</f>
        <v>1728282</v>
      </c>
      <c r="K32" s="4">
        <f>Hist!K109</f>
        <v>4735034</v>
      </c>
      <c r="L32" s="4">
        <f>Hist!L109</f>
        <v>7851981</v>
      </c>
      <c r="M32" s="3">
        <v>7851981</v>
      </c>
      <c r="N32" s="3">
        <v>7851981</v>
      </c>
      <c r="O32" s="3">
        <v>7851981</v>
      </c>
      <c r="P32" s="3">
        <v>7851981</v>
      </c>
      <c r="Q32" s="3">
        <v>7851981</v>
      </c>
    </row>
    <row r="33" spans="1:18" ht="14.5" outlineLevel="3" x14ac:dyDescent="0.35">
      <c r="E33" s="20"/>
      <c r="J33" s="4"/>
      <c r="K33" s="4"/>
      <c r="L33" s="4"/>
    </row>
    <row r="34" spans="1:18" ht="14.5" outlineLevel="3" x14ac:dyDescent="0.35">
      <c r="D34" t="str">
        <f>Hist!D111</f>
        <v>Current Tax Expense</v>
      </c>
      <c r="E34" s="20" t="s">
        <v>301</v>
      </c>
      <c r="J34" s="44">
        <v>0.32</v>
      </c>
      <c r="K34" s="44">
        <v>0.32</v>
      </c>
      <c r="L34" s="44">
        <v>0.32</v>
      </c>
      <c r="M34" s="45">
        <v>0.32</v>
      </c>
      <c r="N34" s="45">
        <v>0.32</v>
      </c>
      <c r="O34" s="45">
        <v>0.32</v>
      </c>
      <c r="P34" s="45">
        <v>0.32</v>
      </c>
      <c r="Q34" s="45">
        <v>0.32</v>
      </c>
    </row>
    <row r="35" spans="1:18" ht="14.5" outlineLevel="3" x14ac:dyDescent="0.35">
      <c r="D35" t="s">
        <v>366</v>
      </c>
      <c r="E35" s="20" t="s">
        <v>302</v>
      </c>
      <c r="J35" s="4">
        <f>Hist!J112/Inps!J34</f>
        <v>-1476850</v>
      </c>
      <c r="K35" s="4">
        <f>Hist!K112/Inps!K34</f>
        <v>1885506.25</v>
      </c>
      <c r="L35" s="4">
        <f>Hist!L112/Inps!L34</f>
        <v>7082612.5</v>
      </c>
      <c r="M35" s="3">
        <v>3300000</v>
      </c>
      <c r="N35" s="3">
        <v>3300000</v>
      </c>
      <c r="O35" s="3">
        <v>3300000</v>
      </c>
      <c r="P35" s="3">
        <v>3300000</v>
      </c>
      <c r="Q35" s="3">
        <v>3300000</v>
      </c>
    </row>
    <row r="36" spans="1:18" ht="14.5" outlineLevel="3" x14ac:dyDescent="0.35">
      <c r="D36" t="s">
        <v>299</v>
      </c>
      <c r="E36" s="20" t="s">
        <v>300</v>
      </c>
      <c r="J36" s="44">
        <f>(Hist!J112+Hist!J111)/Hist!J110</f>
        <v>0.35334710028751892</v>
      </c>
      <c r="K36" s="44">
        <f>(Hist!K112+Hist!K111)/Hist!K110</f>
        <v>0.35293646776228782</v>
      </c>
      <c r="L36" s="44">
        <f>(Hist!L112+Hist!L111)/Hist!L110</f>
        <v>0.31140597488901989</v>
      </c>
      <c r="M36" s="3"/>
      <c r="N36" s="3"/>
      <c r="O36" s="3"/>
      <c r="P36" s="3"/>
      <c r="Q36" s="3"/>
    </row>
    <row r="37" spans="1:18" ht="14.5" outlineLevel="3" x14ac:dyDescent="0.35">
      <c r="D37" t="s">
        <v>322</v>
      </c>
      <c r="E37" s="20" t="s">
        <v>322</v>
      </c>
      <c r="M37" s="42">
        <v>0.8</v>
      </c>
      <c r="N37" s="42">
        <v>0.8</v>
      </c>
      <c r="O37" s="42">
        <v>0.8</v>
      </c>
      <c r="P37" s="42">
        <v>0.8</v>
      </c>
      <c r="Q37" s="42">
        <v>0.8</v>
      </c>
    </row>
    <row r="38" spans="1:18" outlineLevel="3" x14ac:dyDescent="0.3"/>
    <row r="39" spans="1:18" outlineLevel="3" x14ac:dyDescent="0.3"/>
    <row r="40" spans="1:18" outlineLevel="3" x14ac:dyDescent="0.3"/>
    <row r="41" spans="1:18" ht="17" thickBot="1" x14ac:dyDescent="0.4">
      <c r="B41" s="8" t="s">
        <v>303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8" ht="15" outlineLevel="1" thickTop="1" x14ac:dyDescent="0.35">
      <c r="C42" s="20" t="s">
        <v>288</v>
      </c>
    </row>
    <row r="43" spans="1:18" s="8" customFormat="1" ht="17" outlineLevel="1" thickBot="1" x14ac:dyDescent="0.4">
      <c r="A43"/>
      <c r="B43" s="8" t="str">
        <f>Hist!B118</f>
        <v>Assets</v>
      </c>
    </row>
    <row r="44" spans="1:18" s="9" customFormat="1" ht="16.5" outlineLevel="2" thickTop="1" thickBot="1" x14ac:dyDescent="0.4">
      <c r="A44"/>
      <c r="B44"/>
      <c r="C44" s="9" t="str">
        <f>Hist!C119</f>
        <v>Non - Current Assets</v>
      </c>
    </row>
    <row r="45" spans="1:18" ht="14.5" outlineLevel="3" thickBot="1" x14ac:dyDescent="0.35">
      <c r="D45" t="str">
        <f>Hist!D120</f>
        <v>PP&amp;E</v>
      </c>
      <c r="M45" s="3"/>
      <c r="N45" s="3"/>
      <c r="O45" s="3"/>
      <c r="P45" s="3"/>
      <c r="Q45" s="3"/>
    </row>
    <row r="46" spans="1:18" ht="15" outlineLevel="3" thickBot="1" x14ac:dyDescent="0.4">
      <c r="D46" t="s">
        <v>304</v>
      </c>
      <c r="E46" s="20" t="s">
        <v>307</v>
      </c>
      <c r="M46" s="54">
        <f>Scn!M41</f>
        <v>1.2</v>
      </c>
      <c r="N46" s="54">
        <f>Scn!N41</f>
        <v>1.2</v>
      </c>
      <c r="O46" s="54">
        <f>Scn!O41</f>
        <v>1.2</v>
      </c>
      <c r="P46" s="54">
        <f>Scn!P41</f>
        <v>1.2</v>
      </c>
      <c r="Q46" s="54">
        <f>Scn!Q41</f>
        <v>1.2</v>
      </c>
      <c r="R46" t="s">
        <v>305</v>
      </c>
    </row>
    <row r="47" spans="1:18" ht="14.5" outlineLevel="3" x14ac:dyDescent="0.35">
      <c r="D47" t="s">
        <v>306</v>
      </c>
      <c r="E47" s="20" t="s">
        <v>308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t="s">
        <v>309</v>
      </c>
    </row>
    <row r="48" spans="1:18" s="9" customFormat="1" ht="16" outlineLevel="2" thickBot="1" x14ac:dyDescent="0.4">
      <c r="A48"/>
      <c r="B48"/>
      <c r="C48" s="9" t="str">
        <f>Hist!C123</f>
        <v xml:space="preserve"> Current Assets</v>
      </c>
    </row>
    <row r="49" spans="1:18" ht="14.5" outlineLevel="3" x14ac:dyDescent="0.35">
      <c r="D49" t="str">
        <f>Hist!D124</f>
        <v>Trade Receivables</v>
      </c>
      <c r="E49" s="20" t="s">
        <v>315</v>
      </c>
      <c r="J49" s="2">
        <f>ABS((L49/K49)-1)</f>
        <v>2.8404045130175914E-2</v>
      </c>
      <c r="K49" s="2">
        <f>Hist!K124/Hist!K99</f>
        <v>1.195551178333539E-2</v>
      </c>
      <c r="L49" s="2">
        <f>Hist!L124/Hist!L99</f>
        <v>1.2295096679583598E-2</v>
      </c>
      <c r="M49" s="42">
        <v>6.9400000000000003E-2</v>
      </c>
      <c r="N49" s="42">
        <v>6.9400000000000003E-2</v>
      </c>
      <c r="O49" s="42">
        <v>6.9400000000000003E-2</v>
      </c>
      <c r="P49" s="42">
        <v>6.9400000000000003E-2</v>
      </c>
      <c r="Q49" s="42">
        <v>6.9400000000000003E-2</v>
      </c>
      <c r="R49" s="2">
        <f>L49/K49-1</f>
        <v>2.8404045130175914E-2</v>
      </c>
    </row>
    <row r="50" spans="1:18" ht="14.5" outlineLevel="3" x14ac:dyDescent="0.35">
      <c r="D50" t="str">
        <f>Hist!D125</f>
        <v>Staff Loans</v>
      </c>
      <c r="E50" s="20" t="s">
        <v>311</v>
      </c>
      <c r="J50" s="2">
        <f t="shared" ref="J50:J55" si="11">ABS((L50/K50)-1)</f>
        <v>4.1318138692502338E-2</v>
      </c>
      <c r="K50">
        <f>Hist!K125</f>
        <v>2870047</v>
      </c>
      <c r="L50">
        <f>Hist!L125</f>
        <v>2988632</v>
      </c>
      <c r="M50" s="3">
        <v>2866469</v>
      </c>
      <c r="N50" s="3">
        <v>2866469</v>
      </c>
      <c r="O50" s="3">
        <v>2866469</v>
      </c>
      <c r="P50" s="3">
        <v>2866469</v>
      </c>
      <c r="Q50" s="3">
        <v>2866469</v>
      </c>
      <c r="R50" t="s">
        <v>310</v>
      </c>
    </row>
    <row r="51" spans="1:18" ht="14.5" outlineLevel="3" x14ac:dyDescent="0.35">
      <c r="D51" t="str">
        <f>Hist!D126</f>
        <v>Deposit with Company registrars for dividend</v>
      </c>
      <c r="E51" s="20" t="s">
        <v>312</v>
      </c>
      <c r="J51" s="2">
        <f t="shared" si="11"/>
        <v>0.25936442801022164</v>
      </c>
      <c r="K51" s="2">
        <f>Hist!K126/Hist!K113</f>
        <v>6.9965345795985429E-2</v>
      </c>
      <c r="L51" s="2">
        <f>Hist!L126/Hist!L113</f>
        <v>5.1818823903072304E-2</v>
      </c>
      <c r="M51" s="41">
        <v>5.45E-2</v>
      </c>
      <c r="N51" s="41">
        <v>5.45E-2</v>
      </c>
      <c r="O51" s="41">
        <v>5.45E-2</v>
      </c>
      <c r="P51" s="41">
        <v>5.45E-2</v>
      </c>
      <c r="Q51" s="41">
        <v>5.45E-2</v>
      </c>
    </row>
    <row r="52" spans="1:18" ht="14.5" outlineLevel="3" x14ac:dyDescent="0.35">
      <c r="D52" t="str">
        <f>Hist!D127</f>
        <v>Advance payment to suppliers</v>
      </c>
      <c r="E52" s="20" t="s">
        <v>314</v>
      </c>
      <c r="J52" s="2">
        <f t="shared" si="11"/>
        <v>0.50433834776845576</v>
      </c>
      <c r="K52" s="2">
        <f>Hist!K127/Hist!K100</f>
        <v>0.15989016390536429</v>
      </c>
      <c r="L52" s="2">
        <f>Hist!L127/Hist!L100</f>
        <v>0.24052890499382329</v>
      </c>
      <c r="M52" s="41">
        <v>0.21</v>
      </c>
      <c r="N52" s="41">
        <v>0.21</v>
      </c>
      <c r="O52" s="41">
        <v>0.21</v>
      </c>
      <c r="P52" s="41">
        <v>0.21</v>
      </c>
      <c r="Q52" s="41">
        <v>0.21</v>
      </c>
    </row>
    <row r="53" spans="1:18" ht="14.5" outlineLevel="3" x14ac:dyDescent="0.35">
      <c r="D53" t="str">
        <f>Hist!D128</f>
        <v>Other receivables</v>
      </c>
      <c r="E53" s="20" t="s">
        <v>311</v>
      </c>
      <c r="J53" s="2">
        <f t="shared" si="11"/>
        <v>2.3149101114912569</v>
      </c>
      <c r="K53">
        <f>Hist!K128</f>
        <v>1708116</v>
      </c>
      <c r="L53">
        <f>Hist!L128</f>
        <v>5662251</v>
      </c>
      <c r="M53" s="3">
        <v>1170424</v>
      </c>
      <c r="N53" s="3">
        <v>1170424</v>
      </c>
      <c r="O53" s="3">
        <v>1170424</v>
      </c>
      <c r="P53" s="3">
        <v>1170424</v>
      </c>
      <c r="Q53" s="3">
        <v>1170424</v>
      </c>
    </row>
    <row r="54" spans="1:18" ht="14.5" outlineLevel="3" x14ac:dyDescent="0.35">
      <c r="D54" t="str">
        <f>Hist!D129</f>
        <v>Total Prepayments</v>
      </c>
      <c r="E54" s="20" t="s">
        <v>313</v>
      </c>
      <c r="J54" s="2">
        <f t="shared" si="11"/>
        <v>0.5234976285331181</v>
      </c>
      <c r="K54" s="2">
        <f>Hist!K129/Hist!K102</f>
        <v>1.9084254944015947E-2</v>
      </c>
      <c r="L54" s="2">
        <f>Hist!L129/Hist!L102</f>
        <v>2.9074817149529728E-2</v>
      </c>
      <c r="M54" s="41">
        <v>1.678700433611861E-2</v>
      </c>
      <c r="N54" s="41">
        <v>1.678700433611861E-2</v>
      </c>
      <c r="O54" s="41">
        <v>1.678700433611861E-2</v>
      </c>
      <c r="P54" s="41">
        <v>1.678700433611861E-2</v>
      </c>
      <c r="Q54" s="41">
        <v>1.678700433611861E-2</v>
      </c>
    </row>
    <row r="55" spans="1:18" ht="14.5" outlineLevel="3" x14ac:dyDescent="0.35">
      <c r="D55" t="str">
        <f>Hist!D130</f>
        <v xml:space="preserve">Inventories </v>
      </c>
      <c r="E55" s="20" t="s">
        <v>387</v>
      </c>
      <c r="J55" s="2">
        <f t="shared" si="11"/>
        <v>0.12827969904953829</v>
      </c>
      <c r="K55" s="2">
        <f>Hist!K130/Hist!K100</f>
        <v>0.27515219189190032</v>
      </c>
      <c r="L55" s="2">
        <f>Hist!L130/Hist!L100</f>
        <v>0.31044863226061409</v>
      </c>
      <c r="M55" s="41">
        <v>0.19089999999999999</v>
      </c>
      <c r="N55" s="41">
        <v>0.19089999999999999</v>
      </c>
      <c r="O55" s="41">
        <v>0.19089999999999999</v>
      </c>
      <c r="P55" s="41">
        <v>0.19089999999999999</v>
      </c>
      <c r="Q55" s="41">
        <v>0.19089999999999999</v>
      </c>
    </row>
    <row r="56" spans="1:18" outlineLevel="3" x14ac:dyDescent="0.3">
      <c r="M56" s="3"/>
      <c r="N56" s="3"/>
      <c r="O56" s="3"/>
      <c r="P56" s="3"/>
      <c r="Q56" s="3"/>
    </row>
    <row r="57" spans="1:18" outlineLevel="3" x14ac:dyDescent="0.3"/>
    <row r="58" spans="1:18" outlineLevel="3" x14ac:dyDescent="0.3"/>
    <row r="59" spans="1:18" s="8" customFormat="1" ht="17" outlineLevel="1" thickBot="1" x14ac:dyDescent="0.4">
      <c r="A59"/>
      <c r="B59" s="8" t="str">
        <f>Hist!B134</f>
        <v>Liability &amp; Equity</v>
      </c>
    </row>
    <row r="60" spans="1:18" s="9" customFormat="1" ht="16.5" outlineLevel="2" thickTop="1" thickBot="1" x14ac:dyDescent="0.4">
      <c r="A60"/>
      <c r="B60"/>
      <c r="C60" s="9" t="str">
        <f>Hist!C135</f>
        <v>Equity</v>
      </c>
    </row>
    <row r="61" spans="1:18" ht="14.5" outlineLevel="3" x14ac:dyDescent="0.35">
      <c r="D61" t="str">
        <f>Hist!D136</f>
        <v xml:space="preserve">Share capital </v>
      </c>
      <c r="E61" s="20" t="s">
        <v>321</v>
      </c>
      <c r="J61">
        <f>Hist!J136</f>
        <v>396328</v>
      </c>
      <c r="K61">
        <f>Hist!K136</f>
        <v>396328</v>
      </c>
      <c r="L61">
        <f>Hist!L136</f>
        <v>396328</v>
      </c>
      <c r="M61" s="3">
        <v>396328</v>
      </c>
      <c r="N61" s="3">
        <v>396328</v>
      </c>
      <c r="O61" s="3">
        <v>396328</v>
      </c>
      <c r="P61" s="3">
        <v>396328</v>
      </c>
      <c r="Q61" s="3">
        <v>396328</v>
      </c>
    </row>
    <row r="62" spans="1:18" ht="14.5" outlineLevel="3" x14ac:dyDescent="0.35">
      <c r="D62" t="str">
        <f>Hist!D137</f>
        <v xml:space="preserve">Share premium </v>
      </c>
      <c r="E62" s="20" t="s">
        <v>321</v>
      </c>
      <c r="J62">
        <f>Hist!J137</f>
        <v>32262</v>
      </c>
      <c r="K62">
        <f>Hist!K137</f>
        <v>32262</v>
      </c>
      <c r="L62">
        <f>Hist!L137</f>
        <v>32262</v>
      </c>
      <c r="M62" s="3">
        <v>32262</v>
      </c>
      <c r="N62" s="3">
        <v>32262</v>
      </c>
      <c r="O62" s="3">
        <v>32262</v>
      </c>
      <c r="P62" s="3">
        <v>32262</v>
      </c>
      <c r="Q62" s="3">
        <v>32262</v>
      </c>
    </row>
    <row r="63" spans="1:18" ht="14.5" outlineLevel="3" x14ac:dyDescent="0.35">
      <c r="D63" t="str">
        <f>Hist!D138</f>
        <v xml:space="preserve">Share based payment reserve </v>
      </c>
      <c r="E63" s="20" t="s">
        <v>321</v>
      </c>
      <c r="J63">
        <f>Hist!J138</f>
        <v>113811</v>
      </c>
      <c r="K63">
        <f>Hist!K138</f>
        <v>113456</v>
      </c>
      <c r="L63">
        <f>Hist!L138</f>
        <v>90127</v>
      </c>
      <c r="M63" s="3">
        <v>90127</v>
      </c>
      <c r="N63" s="3">
        <v>90127</v>
      </c>
      <c r="O63" s="3">
        <v>90127</v>
      </c>
      <c r="P63" s="3">
        <v>90127</v>
      </c>
      <c r="Q63" s="3">
        <v>90127</v>
      </c>
    </row>
    <row r="64" spans="1:18" outlineLevel="3" x14ac:dyDescent="0.3"/>
    <row r="65" spans="1:17" outlineLevel="3" x14ac:dyDescent="0.3"/>
    <row r="66" spans="1:17" s="9" customFormat="1" ht="16" outlineLevel="2" thickBot="1" x14ac:dyDescent="0.4">
      <c r="A66"/>
      <c r="B66"/>
      <c r="C66" s="9" t="str">
        <f>Hist!C141</f>
        <v>Non - Current Liabilities</v>
      </c>
    </row>
    <row r="67" spans="1:17" ht="14.5" outlineLevel="3" x14ac:dyDescent="0.35">
      <c r="D67" t="str">
        <f>Hist!D142</f>
        <v>Total Loans and Borrowings</v>
      </c>
      <c r="E67" s="20" t="s">
        <v>321</v>
      </c>
      <c r="J67">
        <f>Hist!J142</f>
        <v>40211686</v>
      </c>
      <c r="K67">
        <f>Hist!K142</f>
        <v>76864802</v>
      </c>
      <c r="L67">
        <f>Hist!L142</f>
        <v>155300068</v>
      </c>
      <c r="M67" s="3"/>
      <c r="N67" s="3"/>
      <c r="O67" s="3"/>
      <c r="P67" s="3"/>
      <c r="Q67" s="3"/>
    </row>
    <row r="68" spans="1:17" ht="14.5" outlineLevel="3" x14ac:dyDescent="0.35">
      <c r="D68" t="str">
        <f>Hist!D143</f>
        <v xml:space="preserve">Employee benefits </v>
      </c>
      <c r="E68" s="20" t="s">
        <v>321</v>
      </c>
      <c r="J68">
        <f>Hist!J143</f>
        <v>4471021</v>
      </c>
      <c r="K68">
        <f>Hist!K143</f>
        <v>4038600</v>
      </c>
      <c r="L68">
        <f>Hist!L143</f>
        <v>4359648</v>
      </c>
      <c r="M68" s="3">
        <v>4307927</v>
      </c>
      <c r="N68" s="3">
        <v>4307927</v>
      </c>
      <c r="O68" s="3">
        <v>4307927</v>
      </c>
      <c r="P68" s="3">
        <v>4307927</v>
      </c>
      <c r="Q68" s="3">
        <v>4307927</v>
      </c>
    </row>
    <row r="69" spans="1:17" ht="14.5" outlineLevel="3" x14ac:dyDescent="0.35">
      <c r="D69" t="str">
        <f>Hist!D144</f>
        <v>Lease liabilities</v>
      </c>
      <c r="E69" s="20" t="s">
        <v>321</v>
      </c>
      <c r="J69">
        <f>Hist!J144</f>
        <v>799354</v>
      </c>
      <c r="K69">
        <f>Hist!K144</f>
        <v>467956</v>
      </c>
      <c r="L69">
        <f>Hist!L144</f>
        <v>181606</v>
      </c>
      <c r="M69" s="3">
        <v>181606</v>
      </c>
      <c r="N69" s="3">
        <v>181606</v>
      </c>
      <c r="O69" s="3">
        <v>181606</v>
      </c>
      <c r="P69" s="3">
        <v>181606</v>
      </c>
      <c r="Q69" s="3">
        <v>181606</v>
      </c>
    </row>
    <row r="70" spans="1:17" outlineLevel="3" x14ac:dyDescent="0.3"/>
    <row r="71" spans="1:17" s="9" customFormat="1" ht="16" outlineLevel="2" thickBot="1" x14ac:dyDescent="0.4">
      <c r="A71"/>
      <c r="B71"/>
      <c r="C71" s="9" t="str">
        <f>Hist!C147</f>
        <v>Current Liabilities</v>
      </c>
    </row>
    <row r="72" spans="1:17" ht="14.5" outlineLevel="3" x14ac:dyDescent="0.35">
      <c r="D72" t="str">
        <f>Hist!D148</f>
        <v xml:space="preserve">Contract liabilities </v>
      </c>
      <c r="E72" s="20" t="s">
        <v>316</v>
      </c>
      <c r="J72" s="2">
        <f>ABS(L72/K72-1)</f>
        <v>0.15675552708992191</v>
      </c>
      <c r="K72" s="2">
        <f>Hist!K148/Hist!K$99</f>
        <v>4.392090474735047E-2</v>
      </c>
      <c r="L72" s="2">
        <f>Hist!L148/Hist!L$99</f>
        <v>3.7036060173413293E-2</v>
      </c>
      <c r="M72" s="41">
        <v>1.78E-2</v>
      </c>
      <c r="N72" s="41">
        <v>1.78E-2</v>
      </c>
      <c r="O72" s="41">
        <v>1.78E-2</v>
      </c>
      <c r="P72" s="41">
        <v>1.78E-2</v>
      </c>
      <c r="Q72" s="41">
        <v>1.78E-2</v>
      </c>
    </row>
    <row r="73" spans="1:17" ht="14.5" outlineLevel="3" x14ac:dyDescent="0.35">
      <c r="D73" t="str">
        <f>Hist!D149</f>
        <v xml:space="preserve">Refund liabilities </v>
      </c>
      <c r="E73" s="20" t="s">
        <v>316</v>
      </c>
      <c r="J73" s="2">
        <f t="shared" ref="J73:J78" si="12">ABS(L73/K73-1)</f>
        <v>0.12014754608501899</v>
      </c>
      <c r="K73" s="2">
        <f>Hist!K149/Hist!K$99</f>
        <v>2.2443998999278981E-4</v>
      </c>
      <c r="L73" s="2">
        <f>Hist!L149/Hist!L$99</f>
        <v>2.5140590403376973E-4</v>
      </c>
      <c r="M73" s="41">
        <v>1.2999999999999999E-3</v>
      </c>
      <c r="N73" s="41">
        <v>1.2999999999999999E-3</v>
      </c>
      <c r="O73" s="41">
        <v>1.2999999999999999E-3</v>
      </c>
      <c r="P73" s="41">
        <v>1.2999999999999999E-3</v>
      </c>
      <c r="Q73" s="41">
        <v>1.2999999999999999E-3</v>
      </c>
    </row>
    <row r="74" spans="1:17" ht="14.5" outlineLevel="3" x14ac:dyDescent="0.35">
      <c r="D74" t="str">
        <f>Hist!D150</f>
        <v xml:space="preserve">Current tax liabilities </v>
      </c>
      <c r="E74" s="20" t="s">
        <v>317</v>
      </c>
      <c r="J74" s="2">
        <f t="shared" si="12"/>
        <v>0.1936344960065054</v>
      </c>
      <c r="K74" s="2">
        <f>Hist!K150/Hist!K$110</f>
        <v>0.45707429856186815</v>
      </c>
      <c r="L74" s="2">
        <f>Hist!L150/Hist!L$110</f>
        <v>0.36856894712231386</v>
      </c>
      <c r="M74" s="41">
        <v>0.42130000000000001</v>
      </c>
      <c r="N74" s="41">
        <v>0.42130000000000001</v>
      </c>
      <c r="O74" s="41">
        <v>0.42130000000000001</v>
      </c>
      <c r="P74" s="41">
        <v>0.42130000000000001</v>
      </c>
      <c r="Q74" s="41">
        <v>0.42130000000000001</v>
      </c>
    </row>
    <row r="75" spans="1:17" ht="14.5" outlineLevel="3" x14ac:dyDescent="0.35">
      <c r="D75" t="str">
        <f>Hist!D151</f>
        <v xml:space="preserve">Provisions </v>
      </c>
      <c r="E75" s="20" t="s">
        <v>317</v>
      </c>
      <c r="J75" s="2">
        <f t="shared" si="12"/>
        <v>0.66952631811813079</v>
      </c>
      <c r="K75" s="2">
        <f>Hist!K151/Hist!K$110</f>
        <v>4.3660331709191494E-2</v>
      </c>
      <c r="L75" s="2">
        <f>Hist!L151/Hist!L$110</f>
        <v>1.4428590572120235E-2</v>
      </c>
      <c r="M75" s="41">
        <v>2.1100000000000001E-2</v>
      </c>
      <c r="N75" s="41">
        <v>2.1100000000000001E-2</v>
      </c>
      <c r="O75" s="41">
        <v>2.1100000000000001E-2</v>
      </c>
      <c r="P75" s="41">
        <v>2.1100000000000001E-2</v>
      </c>
      <c r="Q75" s="41">
        <v>2.1100000000000001E-2</v>
      </c>
    </row>
    <row r="76" spans="1:17" ht="14.5" outlineLevel="3" x14ac:dyDescent="0.35">
      <c r="D76" t="str">
        <f>Hist!D152</f>
        <v>Trade Payables</v>
      </c>
      <c r="E76" s="20" t="s">
        <v>516</v>
      </c>
      <c r="J76" s="2">
        <f t="shared" si="12"/>
        <v>0.12746848505631103</v>
      </c>
      <c r="K76" s="2">
        <f>Hist!K152/Hist!K100</f>
        <v>0.54883277252208473</v>
      </c>
      <c r="L76" s="2">
        <f>Hist!L152/Hist!L100</f>
        <v>0.47887389045943962</v>
      </c>
      <c r="M76" s="41">
        <v>0.31119999999999998</v>
      </c>
      <c r="N76" s="41">
        <v>0.31119999999999998</v>
      </c>
      <c r="O76" s="41">
        <v>0.31119999999999998</v>
      </c>
      <c r="P76" s="41">
        <v>0.31119999999999998</v>
      </c>
      <c r="Q76" s="41">
        <v>0.31119999999999998</v>
      </c>
    </row>
    <row r="77" spans="1:17" ht="14.5" outlineLevel="3" x14ac:dyDescent="0.35">
      <c r="D77" t="str">
        <f>Hist!D153</f>
        <v>Other payables and accruals</v>
      </c>
      <c r="E77" s="20" t="s">
        <v>319</v>
      </c>
      <c r="J77" s="2">
        <f t="shared" si="12"/>
        <v>0.20058826156798071</v>
      </c>
      <c r="K77" s="2">
        <f>Hist!K153/Hist!K102</f>
        <v>0.37284019754830777</v>
      </c>
      <c r="L77" s="2">
        <f>Hist!L153/Hist!L102</f>
        <v>0.29805283047943021</v>
      </c>
      <c r="M77" s="41">
        <v>0.32769999999999999</v>
      </c>
      <c r="N77" s="41">
        <v>0.32769999999999999</v>
      </c>
      <c r="O77" s="41">
        <v>0.32769999999999999</v>
      </c>
      <c r="P77" s="41">
        <v>0.32769999999999999</v>
      </c>
      <c r="Q77" s="41">
        <v>0.32769999999999999</v>
      </c>
    </row>
    <row r="78" spans="1:17" ht="14.5" outlineLevel="3" x14ac:dyDescent="0.35">
      <c r="D78" t="str">
        <f>Hist!D154</f>
        <v>Dividend payable</v>
      </c>
      <c r="E78" s="20" t="s">
        <v>320</v>
      </c>
      <c r="J78" s="2">
        <f t="shared" si="12"/>
        <v>0.11989801403698941</v>
      </c>
      <c r="K78" s="2">
        <f>Hist!K154/Hist!K113</f>
        <v>0.23482300669890696</v>
      </c>
      <c r="L78" s="2">
        <f>Hist!L154/Hist!L113</f>
        <v>0.20666819454551336</v>
      </c>
      <c r="M78" s="41">
        <v>0.14019999999999999</v>
      </c>
      <c r="N78" s="41">
        <v>0.14019999999999999</v>
      </c>
      <c r="O78" s="41">
        <v>0.14019999999999999</v>
      </c>
      <c r="P78" s="41">
        <v>0.14019999999999999</v>
      </c>
      <c r="Q78" s="41">
        <v>0.14019999999999999</v>
      </c>
    </row>
    <row r="79" spans="1:17" ht="14.5" outlineLevel="3" x14ac:dyDescent="0.35">
      <c r="E79" s="20"/>
    </row>
    <row r="80" spans="1:17" outlineLevel="3" x14ac:dyDescent="0.3"/>
    <row r="81" spans="1:10" s="8" customFormat="1" ht="17" thickBot="1" x14ac:dyDescent="0.4">
      <c r="A81"/>
      <c r="B81" s="8" t="s">
        <v>514</v>
      </c>
    </row>
    <row r="82" spans="1:10" ht="15" thickTop="1" x14ac:dyDescent="0.35">
      <c r="C82" s="20" t="s">
        <v>323</v>
      </c>
    </row>
    <row r="83" spans="1:10" s="9" customFormat="1" ht="16" outlineLevel="1" thickBot="1" x14ac:dyDescent="0.4">
      <c r="A83"/>
      <c r="B83"/>
      <c r="C83" s="9" t="s">
        <v>324</v>
      </c>
    </row>
    <row r="84" spans="1:10" outlineLevel="3" x14ac:dyDescent="0.3"/>
    <row r="85" spans="1:10" outlineLevel="3" x14ac:dyDescent="0.3">
      <c r="C85" s="10" t="s">
        <v>419</v>
      </c>
      <c r="D85" s="10" t="str">
        <f>Hist!D361</f>
        <v>Name of the Loans</v>
      </c>
      <c r="E85" s="10" t="str">
        <f>Hist!E361</f>
        <v>Issue Year</v>
      </c>
      <c r="F85" s="10" t="str">
        <f>Hist!F361</f>
        <v>Due Year</v>
      </c>
      <c r="G85" s="10" t="str">
        <f>Hist!G361</f>
        <v>Category</v>
      </c>
      <c r="H85" s="10" t="str">
        <f>Hist!H361</f>
        <v>Benchmark</v>
      </c>
      <c r="I85" s="10" t="str">
        <f>Hist!I361</f>
        <v xml:space="preserve">Rate </v>
      </c>
      <c r="J85" s="10" t="str">
        <f>Hist!J361</f>
        <v>Amount(2019)</v>
      </c>
    </row>
    <row r="86" spans="1:10" outlineLevel="3" x14ac:dyDescent="0.3">
      <c r="C86" s="1">
        <v>1</v>
      </c>
      <c r="D86" t="str">
        <f>Hist!D362</f>
        <v>Loan from related party</v>
      </c>
      <c r="E86" s="1"/>
      <c r="F86" s="1">
        <f>Hist!F362</f>
        <v>2027</v>
      </c>
      <c r="G86" t="str">
        <f>Hist!G362</f>
        <v>Floating</v>
      </c>
      <c r="H86" s="1" t="str">
        <f>Hist!H362</f>
        <v>LIBOR</v>
      </c>
      <c r="I86" s="2">
        <f>Hist!I362</f>
        <v>0.11</v>
      </c>
      <c r="J86">
        <f>Hist!J362</f>
        <v>58570728</v>
      </c>
    </row>
    <row r="87" spans="1:10" outlineLevel="3" x14ac:dyDescent="0.3">
      <c r="C87" s="1">
        <v>2</v>
      </c>
      <c r="D87" t="str">
        <f>Hist!D363</f>
        <v>Loan from related party</v>
      </c>
      <c r="E87" s="1"/>
      <c r="F87" s="1">
        <f>Hist!F363</f>
        <v>2027</v>
      </c>
      <c r="G87" t="str">
        <f>Hist!G363</f>
        <v>Floating</v>
      </c>
      <c r="H87" s="1" t="str">
        <f>Hist!H363</f>
        <v>LIBOR</v>
      </c>
      <c r="I87" s="2">
        <f>Hist!I363</f>
        <v>7.0000000000000007E-2</v>
      </c>
      <c r="J87">
        <f>Hist!J363</f>
        <v>51018981</v>
      </c>
    </row>
    <row r="88" spans="1:10" outlineLevel="3" x14ac:dyDescent="0.3">
      <c r="C88" s="1">
        <v>3</v>
      </c>
      <c r="D88" t="str">
        <f>Hist!D364</f>
        <v>Loan from related party</v>
      </c>
      <c r="E88" s="1"/>
      <c r="F88" s="1">
        <f>Hist!F364</f>
        <v>2028</v>
      </c>
      <c r="G88" t="str">
        <f>Hist!G364</f>
        <v>Floating</v>
      </c>
      <c r="H88" s="1" t="str">
        <f>Hist!H364</f>
        <v>LIBOR</v>
      </c>
      <c r="I88" s="2">
        <f>Hist!I364</f>
        <v>0.04</v>
      </c>
      <c r="J88">
        <f>Hist!J364</f>
        <v>23754913</v>
      </c>
    </row>
    <row r="89" spans="1:10" outlineLevel="3" x14ac:dyDescent="0.3">
      <c r="C89" s="1">
        <v>4</v>
      </c>
      <c r="D89" t="str">
        <f>Hist!D365</f>
        <v>Loan from related party</v>
      </c>
      <c r="E89" s="1"/>
      <c r="F89" s="1">
        <f>Hist!F365</f>
        <v>2029</v>
      </c>
      <c r="G89" t="str">
        <f>Hist!G365</f>
        <v>Floating</v>
      </c>
      <c r="H89" s="1" t="str">
        <f>Hist!H365</f>
        <v>SOFR</v>
      </c>
      <c r="I89" s="2">
        <f>Hist!I365</f>
        <v>0.1</v>
      </c>
      <c r="J89">
        <f>Hist!J365</f>
        <v>13661934</v>
      </c>
    </row>
    <row r="90" spans="1:10" outlineLevel="3" x14ac:dyDescent="0.3">
      <c r="C90" s="1">
        <v>5</v>
      </c>
      <c r="D90" t="str">
        <f>Hist!D366</f>
        <v>Import Trade Obligations</v>
      </c>
      <c r="E90" s="1"/>
      <c r="F90" s="1">
        <f>Hist!F366</f>
        <v>2023</v>
      </c>
      <c r="G90" t="str">
        <f>Hist!G366</f>
        <v>Floating</v>
      </c>
      <c r="H90" s="1" t="str">
        <f>Hist!H366</f>
        <v>SOFR</v>
      </c>
      <c r="I90" s="2">
        <f>Hist!I366</f>
        <v>0.06</v>
      </c>
      <c r="J90">
        <f>Hist!J366</f>
        <v>8293512</v>
      </c>
    </row>
    <row r="91" spans="1:10" outlineLevel="3" x14ac:dyDescent="0.3">
      <c r="C91" s="1">
        <v>6</v>
      </c>
      <c r="D91" t="s">
        <v>325</v>
      </c>
      <c r="E91" s="48">
        <v>2023</v>
      </c>
      <c r="F91" s="48">
        <v>2025</v>
      </c>
      <c r="G91" s="3" t="s">
        <v>268</v>
      </c>
      <c r="H91" s="3"/>
      <c r="I91" s="41">
        <v>0.12</v>
      </c>
      <c r="J91" s="3">
        <v>5000000</v>
      </c>
    </row>
    <row r="92" spans="1:10" outlineLevel="3" x14ac:dyDescent="0.3">
      <c r="C92" s="1">
        <v>7</v>
      </c>
      <c r="D92" t="s">
        <v>326</v>
      </c>
      <c r="E92" s="48">
        <v>2024</v>
      </c>
      <c r="F92" s="48">
        <v>2026</v>
      </c>
      <c r="G92" s="3" t="s">
        <v>267</v>
      </c>
      <c r="H92" s="3" t="s">
        <v>332</v>
      </c>
      <c r="I92" s="41">
        <v>7.0000000000000007E-2</v>
      </c>
      <c r="J92" s="3">
        <v>1000000</v>
      </c>
    </row>
    <row r="93" spans="1:10" outlineLevel="3" x14ac:dyDescent="0.3">
      <c r="C93" s="1">
        <v>8</v>
      </c>
      <c r="D93" t="s">
        <v>327</v>
      </c>
      <c r="E93" s="48">
        <v>2025</v>
      </c>
      <c r="F93" s="48">
        <v>2028</v>
      </c>
      <c r="G93" s="3" t="s">
        <v>267</v>
      </c>
      <c r="H93" s="3" t="s">
        <v>334</v>
      </c>
      <c r="I93" s="41">
        <v>0.08</v>
      </c>
      <c r="J93" s="3">
        <v>6000000</v>
      </c>
    </row>
    <row r="94" spans="1:10" outlineLevel="3" x14ac:dyDescent="0.3">
      <c r="C94" s="1">
        <v>9</v>
      </c>
      <c r="D94" t="s">
        <v>328</v>
      </c>
      <c r="E94" s="48">
        <v>2026</v>
      </c>
      <c r="F94" s="48">
        <v>2030</v>
      </c>
      <c r="G94" s="3" t="s">
        <v>267</v>
      </c>
      <c r="H94" s="3"/>
      <c r="I94" s="41">
        <v>0.09</v>
      </c>
      <c r="J94" s="3">
        <v>3000000</v>
      </c>
    </row>
    <row r="95" spans="1:10" outlineLevel="3" x14ac:dyDescent="0.3">
      <c r="C95" s="1">
        <v>10</v>
      </c>
      <c r="D95" t="s">
        <v>329</v>
      </c>
      <c r="E95" s="48">
        <v>2027</v>
      </c>
      <c r="F95" s="48">
        <v>2032</v>
      </c>
      <c r="G95" s="3" t="s">
        <v>268</v>
      </c>
      <c r="H95" s="3"/>
      <c r="I95" s="41">
        <v>0.1</v>
      </c>
      <c r="J95" s="3">
        <v>2000000</v>
      </c>
    </row>
    <row r="96" spans="1:10" outlineLevel="3" x14ac:dyDescent="0.3"/>
    <row r="97" spans="1:17" outlineLevel="3" x14ac:dyDescent="0.3"/>
    <row r="98" spans="1:17" s="9" customFormat="1" ht="16" outlineLevel="1" thickBot="1" x14ac:dyDescent="0.4">
      <c r="A98"/>
      <c r="B98"/>
      <c r="C98" s="9" t="s">
        <v>331</v>
      </c>
    </row>
    <row r="99" spans="1:17" ht="14.5" outlineLevel="3" x14ac:dyDescent="0.35">
      <c r="D99" t="s">
        <v>332</v>
      </c>
      <c r="E99" s="20" t="s">
        <v>337</v>
      </c>
      <c r="M99" s="41">
        <v>0.05</v>
      </c>
      <c r="N99" s="41">
        <v>0.06</v>
      </c>
      <c r="O99" s="41">
        <v>0.06</v>
      </c>
      <c r="P99" s="41">
        <v>0.08</v>
      </c>
      <c r="Q99" s="41">
        <v>0.09</v>
      </c>
    </row>
    <row r="100" spans="1:17" ht="14.5" outlineLevel="3" x14ac:dyDescent="0.35">
      <c r="D100" t="s">
        <v>333</v>
      </c>
      <c r="E100" s="20" t="s">
        <v>337</v>
      </c>
      <c r="M100" s="41">
        <v>0.08</v>
      </c>
      <c r="N100" s="41">
        <v>7.0000000000000007E-2</v>
      </c>
      <c r="O100" s="41">
        <v>7.0000000000000007E-2</v>
      </c>
      <c r="P100" s="41">
        <v>0.05</v>
      </c>
      <c r="Q100" s="41">
        <v>0.04</v>
      </c>
    </row>
    <row r="101" spans="1:17" ht="14.5" outlineLevel="3" x14ac:dyDescent="0.35">
      <c r="D101" t="s">
        <v>334</v>
      </c>
      <c r="E101" s="20" t="s">
        <v>337</v>
      </c>
      <c r="M101" s="41">
        <v>0.1</v>
      </c>
      <c r="N101" s="41">
        <v>9.0000000000000011E-2</v>
      </c>
      <c r="O101" s="41">
        <v>9.0000000000000011E-2</v>
      </c>
      <c r="P101" s="41">
        <v>7.0000000000000007E-2</v>
      </c>
      <c r="Q101" s="41">
        <v>0.06</v>
      </c>
    </row>
    <row r="102" spans="1:17" ht="14.5" outlineLevel="3" x14ac:dyDescent="0.35">
      <c r="D102" t="s">
        <v>335</v>
      </c>
      <c r="E102" s="20" t="s">
        <v>337</v>
      </c>
      <c r="M102" s="41">
        <v>0.04</v>
      </c>
      <c r="N102" s="41">
        <v>0.04</v>
      </c>
      <c r="O102" s="41">
        <v>0.04</v>
      </c>
      <c r="P102" s="41">
        <v>0.04</v>
      </c>
      <c r="Q102" s="41">
        <v>0.04</v>
      </c>
    </row>
    <row r="103" spans="1:17" ht="14.5" outlineLevel="3" x14ac:dyDescent="0.35">
      <c r="D103" t="s">
        <v>336</v>
      </c>
      <c r="E103" s="20" t="s">
        <v>337</v>
      </c>
      <c r="M103" s="41">
        <v>0.08</v>
      </c>
      <c r="N103" s="41">
        <v>0.08</v>
      </c>
      <c r="O103" s="41">
        <v>0.08</v>
      </c>
      <c r="P103" s="41">
        <v>0.08</v>
      </c>
      <c r="Q103" s="41">
        <v>0.08</v>
      </c>
    </row>
  </sheetData>
  <phoneticPr fontId="22" type="noConversion"/>
  <conditionalFormatting sqref="J6:Q7">
    <cfRule type="cellIs" dxfId="22" priority="1" operator="equal">
      <formula>0</formula>
    </cfRule>
  </conditionalFormatting>
  <dataValidations count="2">
    <dataValidation type="list" allowBlank="1" showInputMessage="1" showErrorMessage="1" sqref="G86:G95" xr:uid="{CA93EEA5-F6C8-48E2-89AA-31BCB98178AE}">
      <formula1>"Floating, Fixed"</formula1>
    </dataValidation>
    <dataValidation type="list" allowBlank="1" showInputMessage="1" showErrorMessage="1" sqref="H91:H95" xr:uid="{D17C2087-E4E5-4C5E-A9F7-19D32D18E191}">
      <formula1>$D$99:$D$101</formula1>
    </dataValidation>
  </dataValidations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3F12B01-EC90-4C4C-A720-7135A16E1CC4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5742-E7F1-47C7-8C10-141BEEAC020A}">
  <sheetPr>
    <tabColor theme="6" tint="0.59999389629810485"/>
    <outlinePr summaryBelow="0" summaryRight="0"/>
    <pageSetUpPr fitToPage="1"/>
  </sheetPr>
  <dimension ref="A1:R44"/>
  <sheetViews>
    <sheetView showGridLines="0" zoomScale="70" zoomScaleNormal="70" workbookViewId="0">
      <pane xSplit="4" ySplit="8" topLeftCell="E9" activePane="bottomRight" state="frozen"/>
      <selection activeCell="D5" sqref="D5"/>
      <selection pane="topRight" activeCell="D5" sqref="D5"/>
      <selection pane="bottomLeft" activeCell="D5" sqref="D5"/>
      <selection pane="bottomRight" activeCell="K25" sqref="K25"/>
    </sheetView>
  </sheetViews>
  <sheetFormatPr defaultColWidth="0" defaultRowHeight="14" outlineLevelRow="2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17" width="11.1640625" bestFit="1" customWidth="1"/>
    <col min="18" max="18" width="8.6640625" customWidth="1"/>
    <col min="19" max="16384" width="8.6640625" hidden="1"/>
  </cols>
  <sheetData>
    <row r="1" spans="2:18" ht="7" customHeight="1" x14ac:dyDescent="0.3"/>
    <row r="2" spans="2:18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8" ht="25" x14ac:dyDescent="0.5">
      <c r="C3" s="7" t="s">
        <v>120</v>
      </c>
    </row>
    <row r="4" spans="2:18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8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8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8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8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8" ht="17" thickBot="1" x14ac:dyDescent="0.4">
      <c r="B10" s="8" t="s">
        <v>343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8" ht="15" outlineLevel="1" thickTop="1" x14ac:dyDescent="0.35">
      <c r="C11" s="20" t="s">
        <v>344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2:18" outlineLevel="1" x14ac:dyDescent="0.3"/>
    <row r="13" spans="2:18" ht="16" outlineLevel="1" thickBot="1" x14ac:dyDescent="0.4">
      <c r="C13" s="9" t="s">
        <v>345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2:18" outlineLevel="2" x14ac:dyDescent="0.3"/>
    <row r="15" spans="2:18" outlineLevel="2" x14ac:dyDescent="0.3">
      <c r="D15" s="51" t="str">
        <f xml:space="preserve"> _xlfn.CONCAT("Live Scenario: ",INDEX(l_scenarios,S_Scenarios,1))</f>
        <v>Live Scenario: Base Case</v>
      </c>
      <c r="F15" s="3">
        <v>1</v>
      </c>
    </row>
    <row r="16" spans="2:18" outlineLevel="2" x14ac:dyDescent="0.3">
      <c r="D16" s="49" t="s">
        <v>346</v>
      </c>
      <c r="R16" t="s">
        <v>349</v>
      </c>
    </row>
    <row r="17" spans="3:17" outlineLevel="2" x14ac:dyDescent="0.3">
      <c r="D17" s="49" t="s">
        <v>347</v>
      </c>
    </row>
    <row r="18" spans="3:17" outlineLevel="2" x14ac:dyDescent="0.3">
      <c r="D18" s="50" t="s">
        <v>348</v>
      </c>
    </row>
    <row r="19" spans="3:17" outlineLevel="2" x14ac:dyDescent="0.3"/>
    <row r="20" spans="3:17" outlineLevel="2" x14ac:dyDescent="0.3"/>
    <row r="21" spans="3:17" outlineLevel="2" x14ac:dyDescent="0.3"/>
    <row r="22" spans="3:17" ht="16" outlineLevel="1" thickBot="1" x14ac:dyDescent="0.4">
      <c r="C22" s="9" t="s">
        <v>350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3:17" outlineLevel="2" x14ac:dyDescent="0.3">
      <c r="D23" s="29" t="str">
        <f xml:space="preserve"> _xlfn.CONCAT("Used in the model: ",INDEX(l_scenarios,S_Scenarios,1))</f>
        <v>Used in the model: Base Case</v>
      </c>
      <c r="M23" s="2" cm="1">
        <f t="array" ref="M23">INDEX(M24:M26,S_Scenarios,1)</f>
        <v>0.22</v>
      </c>
      <c r="N23" s="2" cm="1">
        <f t="array" ref="N23">INDEX(N24:N26,S_Scenarios,1)</f>
        <v>0.22</v>
      </c>
      <c r="O23" s="2" cm="1">
        <f t="array" ref="O23">INDEX(O24:O26,S_Scenarios,1)</f>
        <v>0.22</v>
      </c>
      <c r="P23" s="2" cm="1">
        <f t="array" ref="P23">INDEX(P24:P26,S_Scenarios,1)</f>
        <v>0.22</v>
      </c>
      <c r="Q23" s="2" cm="1">
        <f t="array" ref="Q23">INDEX(Q24:Q26,S_Scenarios,1)</f>
        <v>0.22</v>
      </c>
    </row>
    <row r="24" spans="3:17" outlineLevel="2" x14ac:dyDescent="0.3">
      <c r="D24" t="str">
        <f>$D$16</f>
        <v>Base Case</v>
      </c>
      <c r="E24" s="52" t="s">
        <v>337</v>
      </c>
      <c r="M24" s="41">
        <v>0.22</v>
      </c>
      <c r="N24" s="41">
        <v>0.22</v>
      </c>
      <c r="O24" s="41">
        <v>0.22</v>
      </c>
      <c r="P24" s="41">
        <v>0.22</v>
      </c>
      <c r="Q24" s="41">
        <v>0.22</v>
      </c>
    </row>
    <row r="25" spans="3:17" outlineLevel="2" x14ac:dyDescent="0.3">
      <c r="D25" t="str">
        <f>$D$17</f>
        <v>Best Case</v>
      </c>
      <c r="E25" s="52" t="s">
        <v>337</v>
      </c>
      <c r="M25" s="42">
        <v>0.27</v>
      </c>
      <c r="N25" s="42">
        <v>0.27</v>
      </c>
      <c r="O25" s="42">
        <v>0.27</v>
      </c>
      <c r="P25" s="42">
        <v>0.27</v>
      </c>
      <c r="Q25" s="42">
        <v>0.27</v>
      </c>
    </row>
    <row r="26" spans="3:17" outlineLevel="2" x14ac:dyDescent="0.3">
      <c r="D26" t="str">
        <f>$D$18</f>
        <v>Worst Case</v>
      </c>
      <c r="E26" s="52" t="s">
        <v>337</v>
      </c>
      <c r="K26" t="s">
        <v>515</v>
      </c>
      <c r="M26" s="42">
        <v>0.1</v>
      </c>
      <c r="N26" s="42">
        <v>0.1</v>
      </c>
      <c r="O26" s="42">
        <v>0.1</v>
      </c>
      <c r="P26" s="42">
        <v>0.1</v>
      </c>
      <c r="Q26" s="42">
        <v>0.1</v>
      </c>
    </row>
    <row r="27" spans="3:17" outlineLevel="2" x14ac:dyDescent="0.3"/>
    <row r="28" spans="3:17" ht="16" outlineLevel="1" thickBot="1" x14ac:dyDescent="0.4">
      <c r="C28" s="9" t="s">
        <v>352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3:17" outlineLevel="2" x14ac:dyDescent="0.3">
      <c r="D29" s="29" t="str">
        <f xml:space="preserve"> _xlfn.CONCAT("Used in the model: ",INDEX(l_scenarios,S_Scenarios,1))</f>
        <v>Used in the model: Base Case</v>
      </c>
      <c r="M29" s="2" cm="1">
        <f t="array" ref="M29">INDEX(M30:M32,S_Scenarios,1)</f>
        <v>0.65710000000000002</v>
      </c>
      <c r="N29" s="2" cm="1">
        <f t="array" ref="N29">INDEX(N30:N32,S_Scenarios,1)</f>
        <v>0.65710000000000002</v>
      </c>
      <c r="O29" s="2" cm="1">
        <f t="array" ref="O29">INDEX(O30:O32,S_Scenarios,1)</f>
        <v>0.65710000000000002</v>
      </c>
      <c r="P29" s="2" cm="1">
        <f t="array" ref="P29">INDEX(P30:P32,S_Scenarios,1)</f>
        <v>0.65710000000000002</v>
      </c>
      <c r="Q29" s="2" cm="1">
        <f t="array" ref="Q29">INDEX(Q30:Q32,S_Scenarios,1)</f>
        <v>0.65710000000000002</v>
      </c>
    </row>
    <row r="30" spans="3:17" outlineLevel="2" x14ac:dyDescent="0.3">
      <c r="D30" t="str">
        <f>$D$16</f>
        <v>Base Case</v>
      </c>
      <c r="E30" s="52" t="s">
        <v>337</v>
      </c>
      <c r="M30" s="42">
        <v>0.65710000000000002</v>
      </c>
      <c r="N30" s="42">
        <v>0.65710000000000002</v>
      </c>
      <c r="O30" s="42">
        <v>0.65710000000000002</v>
      </c>
      <c r="P30" s="42">
        <v>0.65710000000000002</v>
      </c>
      <c r="Q30" s="42">
        <v>0.65710000000000002</v>
      </c>
    </row>
    <row r="31" spans="3:17" outlineLevel="2" x14ac:dyDescent="0.3">
      <c r="D31" t="str">
        <f>$D$17</f>
        <v>Best Case</v>
      </c>
      <c r="E31" s="52" t="s">
        <v>337</v>
      </c>
      <c r="M31" s="42">
        <v>0.60440000000000005</v>
      </c>
      <c r="N31" s="42">
        <v>0.60440000000000005</v>
      </c>
      <c r="O31" s="42">
        <v>0.60440000000000005</v>
      </c>
      <c r="P31" s="42">
        <v>0.60440000000000005</v>
      </c>
      <c r="Q31" s="42">
        <v>0.60440000000000005</v>
      </c>
    </row>
    <row r="32" spans="3:17" outlineLevel="2" x14ac:dyDescent="0.3">
      <c r="D32" t="str">
        <f>$D$18</f>
        <v>Worst Case</v>
      </c>
      <c r="E32" s="52" t="s">
        <v>337</v>
      </c>
      <c r="M32" s="42">
        <v>0.69</v>
      </c>
      <c r="N32" s="42">
        <v>0.69</v>
      </c>
      <c r="O32" s="42">
        <v>0.69</v>
      </c>
      <c r="P32" s="42">
        <v>0.69</v>
      </c>
      <c r="Q32" s="42">
        <v>0.69</v>
      </c>
    </row>
    <row r="33" spans="3:17" outlineLevel="2" x14ac:dyDescent="0.3"/>
    <row r="34" spans="3:17" ht="16" outlineLevel="1" thickBot="1" x14ac:dyDescent="0.4">
      <c r="C34" s="9" t="s">
        <v>353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3:17" outlineLevel="2" x14ac:dyDescent="0.3">
      <c r="D35" s="29" t="str">
        <f xml:space="preserve"> _xlfn.CONCAT("Used in the model: ",INDEX(l_scenarios,S_Scenarios,1))</f>
        <v>Used in the model: Base Case</v>
      </c>
      <c r="M35" s="2" cm="1">
        <f t="array" ref="M35">INDEX(M36:M38,S_Scenarios,1)</f>
        <v>0.14848818737133221</v>
      </c>
      <c r="N35" s="2" cm="1">
        <f t="array" ref="N35">INDEX(N36:N38,S_Scenarios,1)</f>
        <v>0.14848818737133221</v>
      </c>
      <c r="O35" s="2" cm="1">
        <f t="array" ref="O35">INDEX(O36:O38,S_Scenarios,1)</f>
        <v>0.14848818737133221</v>
      </c>
      <c r="P35" s="2" cm="1">
        <f t="array" ref="P35">INDEX(P36:P38,S_Scenarios,1)</f>
        <v>0.14848818737133221</v>
      </c>
      <c r="Q35" s="2" cm="1">
        <f t="array" ref="Q35">INDEX(Q36:Q38,S_Scenarios,1)</f>
        <v>0.14848818737133221</v>
      </c>
    </row>
    <row r="36" spans="3:17" outlineLevel="2" x14ac:dyDescent="0.3">
      <c r="D36" t="str">
        <f>$D$16</f>
        <v>Base Case</v>
      </c>
      <c r="E36" s="52" t="s">
        <v>337</v>
      </c>
      <c r="M36" s="42">
        <v>0.14848818737133221</v>
      </c>
      <c r="N36" s="42">
        <v>0.14848818737133221</v>
      </c>
      <c r="O36" s="42">
        <v>0.14848818737133221</v>
      </c>
      <c r="P36" s="42">
        <v>0.14848818737133221</v>
      </c>
      <c r="Q36" s="42">
        <v>0.14848818737133221</v>
      </c>
    </row>
    <row r="37" spans="3:17" outlineLevel="2" x14ac:dyDescent="0.3">
      <c r="D37" t="str">
        <f>$D$17</f>
        <v>Best Case</v>
      </c>
      <c r="E37" s="52" t="s">
        <v>337</v>
      </c>
      <c r="M37" s="42">
        <f>M36-1%</f>
        <v>0.1384881873713322</v>
      </c>
      <c r="N37" s="42">
        <f t="shared" ref="N37:Q37" si="4">N36-1%</f>
        <v>0.1384881873713322</v>
      </c>
      <c r="O37" s="42">
        <f t="shared" si="4"/>
        <v>0.1384881873713322</v>
      </c>
      <c r="P37" s="42">
        <f t="shared" si="4"/>
        <v>0.1384881873713322</v>
      </c>
      <c r="Q37" s="42">
        <f t="shared" si="4"/>
        <v>0.1384881873713322</v>
      </c>
    </row>
    <row r="38" spans="3:17" outlineLevel="2" x14ac:dyDescent="0.3">
      <c r="D38" t="str">
        <f>$D$18</f>
        <v>Worst Case</v>
      </c>
      <c r="E38" s="52" t="s">
        <v>337</v>
      </c>
      <c r="M38" s="42">
        <f>M36+1%</f>
        <v>0.15848818737133222</v>
      </c>
      <c r="N38" s="42">
        <f t="shared" ref="N38:Q38" si="5">N36+1%</f>
        <v>0.15848818737133222</v>
      </c>
      <c r="O38" s="42">
        <f t="shared" si="5"/>
        <v>0.15848818737133222</v>
      </c>
      <c r="P38" s="42">
        <f t="shared" si="5"/>
        <v>0.15848818737133222</v>
      </c>
      <c r="Q38" s="42">
        <f t="shared" si="5"/>
        <v>0.15848818737133222</v>
      </c>
    </row>
    <row r="39" spans="3:17" outlineLevel="2" x14ac:dyDescent="0.3"/>
    <row r="40" spans="3:17" ht="16" outlineLevel="1" thickBot="1" x14ac:dyDescent="0.4">
      <c r="C40" s="9" t="s">
        <v>354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3:17" outlineLevel="2" x14ac:dyDescent="0.3">
      <c r="D41" s="29" t="str">
        <f xml:space="preserve"> _xlfn.CONCAT("Used in the model: ",INDEX(l_scenarios,S_Scenarios,1))</f>
        <v>Used in the model: Base Case</v>
      </c>
      <c r="M41" s="5" cm="1">
        <f t="array" ref="M41">INDEX(M42:M44,S_Scenarios,1)</f>
        <v>1.2</v>
      </c>
      <c r="N41" s="5" cm="1">
        <f t="array" ref="N41">INDEX(N42:N44,S_Scenarios,1)</f>
        <v>1.2</v>
      </c>
      <c r="O41" s="5" cm="1">
        <f t="array" ref="O41">INDEX(O42:O44,S_Scenarios,1)</f>
        <v>1.2</v>
      </c>
      <c r="P41" s="5" cm="1">
        <f t="array" ref="P41">INDEX(P42:P44,S_Scenarios,1)</f>
        <v>1.2</v>
      </c>
      <c r="Q41" s="5" cm="1">
        <f t="array" ref="Q41">INDEX(Q42:Q44,S_Scenarios,1)</f>
        <v>1.2</v>
      </c>
    </row>
    <row r="42" spans="3:17" outlineLevel="2" x14ac:dyDescent="0.3">
      <c r="D42" t="str">
        <f>$D$16</f>
        <v>Base Case</v>
      </c>
      <c r="E42" s="52" t="s">
        <v>337</v>
      </c>
      <c r="M42" s="46">
        <v>1.2</v>
      </c>
      <c r="N42" s="46">
        <v>1.2</v>
      </c>
      <c r="O42" s="46">
        <v>1.2</v>
      </c>
      <c r="P42" s="46">
        <v>1.2</v>
      </c>
      <c r="Q42" s="46">
        <v>1.2</v>
      </c>
    </row>
    <row r="43" spans="3:17" outlineLevel="2" x14ac:dyDescent="0.3">
      <c r="D43" t="str">
        <f>$D$17</f>
        <v>Best Case</v>
      </c>
      <c r="E43" s="52" t="s">
        <v>337</v>
      </c>
      <c r="M43" s="46">
        <v>1.1499999999999999</v>
      </c>
      <c r="N43" s="46">
        <v>1.1499999999999999</v>
      </c>
      <c r="O43" s="46">
        <v>1.1499999999999999</v>
      </c>
      <c r="P43" s="46">
        <v>1.1499999999999999</v>
      </c>
      <c r="Q43" s="46">
        <v>1.1499999999999999</v>
      </c>
    </row>
    <row r="44" spans="3:17" outlineLevel="2" x14ac:dyDescent="0.3">
      <c r="D44" t="str">
        <f>$D$18</f>
        <v>Worst Case</v>
      </c>
      <c r="E44" s="52" t="s">
        <v>337</v>
      </c>
      <c r="M44" s="46">
        <v>1.25</v>
      </c>
      <c r="N44" s="46">
        <v>1.25</v>
      </c>
      <c r="O44" s="46">
        <v>1.25</v>
      </c>
      <c r="P44" s="46">
        <v>1.25</v>
      </c>
      <c r="Q44" s="46">
        <v>1.25</v>
      </c>
    </row>
  </sheetData>
  <conditionalFormatting sqref="J6:Q7">
    <cfRule type="cellIs" dxfId="20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8</xdr:col>
                    <xdr:colOff>63500</xdr:colOff>
                    <xdr:row>14</xdr:row>
                    <xdr:rowOff>101600</xdr:rowOff>
                  </from>
                  <to>
                    <xdr:col>8</xdr:col>
                    <xdr:colOff>812800</xdr:colOff>
                    <xdr:row>15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6365217-B520-4EB7-970F-9E4A8E73D105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67C4-314B-4B1C-A912-9C1743BA5616}">
  <sheetPr>
    <tabColor theme="1"/>
    <outlinePr summaryBelow="0" summaryRight="0"/>
    <pageSetUpPr fitToPage="1"/>
  </sheetPr>
  <dimension ref="A1:R428"/>
  <sheetViews>
    <sheetView showGridLines="0" tabSelected="1" zoomScale="70" zoomScaleNormal="70" workbookViewId="0">
      <pane xSplit="4" ySplit="8" topLeftCell="E198" activePane="bottomRight" state="frozen"/>
      <selection activeCell="D5" sqref="D5"/>
      <selection pane="topRight" activeCell="D5" sqref="D5"/>
      <selection pane="bottomLeft" activeCell="D5" sqref="D5"/>
      <selection pane="bottomRight" activeCell="G211" sqref="G211"/>
    </sheetView>
  </sheetViews>
  <sheetFormatPr defaultColWidth="0" defaultRowHeight="14" outlineLevelRow="3" x14ac:dyDescent="0.3"/>
  <cols>
    <col min="1" max="3" width="2" customWidth="1"/>
    <col min="4" max="4" width="26.83203125" customWidth="1"/>
    <col min="5" max="5" width="10" customWidth="1"/>
    <col min="6" max="6" width="16.25" customWidth="1"/>
    <col min="7" max="7" width="17" customWidth="1"/>
    <col min="8" max="8" width="2.6640625" customWidth="1"/>
    <col min="9" max="9" width="11.75" bestFit="1" customWidth="1"/>
    <col min="10" max="12" width="14.4140625" bestFit="1" customWidth="1"/>
    <col min="13" max="17" width="14.66406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123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>(K5&lt;Date_last_historical)*1</f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7" ht="17" thickBot="1" x14ac:dyDescent="0.4">
      <c r="B10" s="8" t="s">
        <v>355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7" ht="15" thickTop="1" x14ac:dyDescent="0.35">
      <c r="C11" s="20" t="s">
        <v>357</v>
      </c>
    </row>
    <row r="12" spans="2:17" ht="16" outlineLevel="2" thickBot="1" x14ac:dyDescent="0.4">
      <c r="C12" s="9" t="s">
        <v>356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2:17" ht="15" outlineLevel="3" thickBot="1" x14ac:dyDescent="0.4">
      <c r="D13" t="str">
        <f>Inps!D22</f>
        <v>Revenue</v>
      </c>
      <c r="E13" s="20" t="str">
        <f>Inps!E22</f>
        <v>yoy % growth from scn sheet</v>
      </c>
      <c r="M13" s="56">
        <f>Inps!M22</f>
        <v>0.22</v>
      </c>
      <c r="N13" s="56">
        <f>Inps!N22</f>
        <v>0.22</v>
      </c>
      <c r="O13" s="56">
        <f>Inps!O22</f>
        <v>0.22</v>
      </c>
      <c r="P13" s="56">
        <f>Inps!P22</f>
        <v>0.22</v>
      </c>
      <c r="Q13" s="56">
        <f>Inps!Q22</f>
        <v>0.22</v>
      </c>
    </row>
    <row r="14" spans="2:17" ht="14.5" outlineLevel="3" thickBot="1" x14ac:dyDescent="0.35">
      <c r="D14" t="s">
        <v>358</v>
      </c>
      <c r="E14" s="36" t="str">
        <f>currency</f>
        <v>₦ Th's</v>
      </c>
      <c r="J14" s="55">
        <f>Hist!J99</f>
        <v>287084087</v>
      </c>
      <c r="K14" s="55">
        <f>Hist!K99</f>
        <v>351822329</v>
      </c>
      <c r="L14" s="55">
        <f>Hist!L99</f>
        <v>446819260</v>
      </c>
      <c r="M14">
        <f>L14*(1+M13)</f>
        <v>545119497.20000005</v>
      </c>
      <c r="N14">
        <f t="shared" ref="N14:Q14" si="4">M14*(1+N13)</f>
        <v>665045786.58399999</v>
      </c>
      <c r="O14">
        <f t="shared" si="4"/>
        <v>811355859.63248003</v>
      </c>
      <c r="P14">
        <f t="shared" si="4"/>
        <v>989854148.75162566</v>
      </c>
      <c r="Q14">
        <f t="shared" si="4"/>
        <v>1207622061.4769833</v>
      </c>
    </row>
    <row r="15" spans="2:17" outlineLevel="3" x14ac:dyDescent="0.3"/>
    <row r="16" spans="2:17" outlineLevel="3" x14ac:dyDescent="0.3"/>
    <row r="17" spans="3:17" ht="16" outlineLevel="2" thickBot="1" x14ac:dyDescent="0.4">
      <c r="C17" s="9" t="s">
        <v>359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3:17" ht="14.5" outlineLevel="3" thickBot="1" x14ac:dyDescent="0.35">
      <c r="D18" s="38" t="s">
        <v>360</v>
      </c>
    </row>
    <row r="19" spans="3:17" ht="15" outlineLevel="3" thickBot="1" x14ac:dyDescent="0.4">
      <c r="D19" t="str">
        <f>Inps!D23</f>
        <v>Cost of Sales</v>
      </c>
      <c r="E19" s="20" t="str">
        <f>Inps!E23</f>
        <v>% of Revenue</v>
      </c>
      <c r="M19" s="53">
        <f>Inps!M23</f>
        <v>0.65710000000000002</v>
      </c>
      <c r="N19" s="53">
        <f>Inps!N23</f>
        <v>0.65710000000000002</v>
      </c>
      <c r="O19" s="53">
        <f>Inps!O23</f>
        <v>0.65710000000000002</v>
      </c>
      <c r="P19" s="53">
        <f>Inps!P23</f>
        <v>0.65710000000000002</v>
      </c>
      <c r="Q19" s="53">
        <f>Inps!Q23</f>
        <v>0.65710000000000002</v>
      </c>
    </row>
    <row r="20" spans="3:17" ht="15" outlineLevel="3" thickBot="1" x14ac:dyDescent="0.4">
      <c r="D20" t="str">
        <f>Inps!D25</f>
        <v>SG&amp;A Expenses</v>
      </c>
      <c r="E20" s="20" t="str">
        <f>Inps!E25</f>
        <v>% of Revenue</v>
      </c>
      <c r="M20" s="53">
        <f>Inps!M25</f>
        <v>0.14848818737133221</v>
      </c>
      <c r="N20" s="53">
        <f>Inps!N25</f>
        <v>0.14848818737133221</v>
      </c>
      <c r="O20" s="53">
        <f>Inps!O25</f>
        <v>0.14848818737133221</v>
      </c>
      <c r="P20" s="53">
        <f>Inps!P25</f>
        <v>0.14848818737133221</v>
      </c>
      <c r="Q20" s="53">
        <f>Inps!Q25</f>
        <v>0.14848818737133221</v>
      </c>
    </row>
    <row r="21" spans="3:17" ht="14.5" outlineLevel="3" x14ac:dyDescent="0.35">
      <c r="E21" s="20"/>
    </row>
    <row r="22" spans="3:17" outlineLevel="3" x14ac:dyDescent="0.3">
      <c r="D22" s="57" t="s">
        <v>361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9"/>
    </row>
    <row r="23" spans="3:17" outlineLevel="3" x14ac:dyDescent="0.3">
      <c r="D23" s="60" t="str">
        <f>D19</f>
        <v>Cost of Sales</v>
      </c>
      <c r="E23" s="36" t="str">
        <f>currency</f>
        <v>₦ Th's</v>
      </c>
      <c r="F23" s="61"/>
      <c r="G23" s="61"/>
      <c r="H23" s="61"/>
      <c r="I23" s="61"/>
      <c r="J23" s="61"/>
      <c r="K23" s="61"/>
      <c r="L23" s="61"/>
      <c r="M23" s="61">
        <f>M$14*M19</f>
        <v>358198021.61012006</v>
      </c>
      <c r="N23" s="61">
        <f t="shared" ref="N23:Q23" si="5">N$14*N19</f>
        <v>437001586.36434639</v>
      </c>
      <c r="O23" s="61">
        <f t="shared" si="5"/>
        <v>533141935.36450267</v>
      </c>
      <c r="P23" s="61">
        <f t="shared" si="5"/>
        <v>650433161.14469326</v>
      </c>
      <c r="Q23" s="62">
        <f t="shared" si="5"/>
        <v>793528456.59652579</v>
      </c>
    </row>
    <row r="24" spans="3:17" outlineLevel="3" x14ac:dyDescent="0.3">
      <c r="D24" s="63" t="str">
        <f>D20</f>
        <v>SG&amp;A Expenses</v>
      </c>
      <c r="E24" s="36" t="str">
        <f>currency</f>
        <v>₦ Th's</v>
      </c>
      <c r="F24" s="64"/>
      <c r="G24" s="64"/>
      <c r="H24" s="64"/>
      <c r="I24" s="64"/>
      <c r="J24" s="64"/>
      <c r="K24" s="64"/>
      <c r="L24" s="64"/>
      <c r="M24" s="64">
        <f>M$14*M20</f>
        <v>80943806.040000007</v>
      </c>
      <c r="N24" s="64">
        <f t="shared" ref="N24:Q24" si="6">N$14*N20</f>
        <v>98751443.368799999</v>
      </c>
      <c r="O24" s="64">
        <f t="shared" si="6"/>
        <v>120476760.90993601</v>
      </c>
      <c r="P24" s="64">
        <f t="shared" si="6"/>
        <v>146981648.31012192</v>
      </c>
      <c r="Q24" s="65">
        <f t="shared" si="6"/>
        <v>179317610.93834877</v>
      </c>
    </row>
    <row r="25" spans="3:17" outlineLevel="3" x14ac:dyDescent="0.3"/>
    <row r="26" spans="3:17" outlineLevel="3" x14ac:dyDescent="0.3"/>
    <row r="27" spans="3:17" ht="16" outlineLevel="2" thickBot="1" x14ac:dyDescent="0.4">
      <c r="C27" s="9" t="s">
        <v>362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3:17" ht="14.5" outlineLevel="3" thickBot="1" x14ac:dyDescent="0.35">
      <c r="D28" s="38" t="s">
        <v>360</v>
      </c>
    </row>
    <row r="29" spans="3:17" ht="15" outlineLevel="3" thickBot="1" x14ac:dyDescent="0.4">
      <c r="D29" t="str">
        <f>Inps!D28</f>
        <v>Impairement</v>
      </c>
      <c r="E29" s="20" t="str">
        <f>Inps!E28</f>
        <v>Fixed amount</v>
      </c>
      <c r="M29" s="55">
        <f>Inps!M28</f>
        <v>29043</v>
      </c>
      <c r="N29" s="55">
        <f>Inps!N28</f>
        <v>29043</v>
      </c>
      <c r="O29" s="55">
        <f>Inps!O28</f>
        <v>29043</v>
      </c>
      <c r="P29" s="55">
        <f>Inps!P28</f>
        <v>29043</v>
      </c>
      <c r="Q29" s="55">
        <f>Inps!Q28</f>
        <v>29043</v>
      </c>
    </row>
    <row r="30" spans="3:17" ht="15" outlineLevel="3" thickBot="1" x14ac:dyDescent="0.4">
      <c r="D30" t="str">
        <f>Inps!D32</f>
        <v>Net Foreign Exchange Loss</v>
      </c>
      <c r="E30" s="20" t="str">
        <f>Inps!E32</f>
        <v>Fixed amount</v>
      </c>
      <c r="M30" s="55">
        <f>Inps!M32</f>
        <v>7851981</v>
      </c>
      <c r="N30" s="55">
        <f>Inps!N32</f>
        <v>7851981</v>
      </c>
      <c r="O30" s="55">
        <f>Inps!O32</f>
        <v>7851981</v>
      </c>
      <c r="P30" s="55">
        <f>Inps!P32</f>
        <v>7851981</v>
      </c>
      <c r="Q30" s="55">
        <f>Inps!Q32</f>
        <v>7851981</v>
      </c>
    </row>
    <row r="31" spans="3:17" outlineLevel="3" x14ac:dyDescent="0.3"/>
    <row r="32" spans="3:17" outlineLevel="3" x14ac:dyDescent="0.3">
      <c r="D32" s="57" t="s">
        <v>361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9"/>
    </row>
    <row r="33" spans="3:18" outlineLevel="3" x14ac:dyDescent="0.3">
      <c r="D33" s="60" t="str">
        <f>D29</f>
        <v>Impairement</v>
      </c>
      <c r="E33" s="66" t="str">
        <f>currency</f>
        <v>₦ Th's</v>
      </c>
      <c r="F33" s="61"/>
      <c r="G33" s="61"/>
      <c r="H33" s="61"/>
      <c r="I33" s="61"/>
      <c r="J33" s="61"/>
      <c r="K33" s="61"/>
      <c r="L33" s="61"/>
      <c r="M33" s="61">
        <f>M29</f>
        <v>29043</v>
      </c>
      <c r="N33" s="61">
        <f t="shared" ref="N33:Q34" si="7">N29</f>
        <v>29043</v>
      </c>
      <c r="O33" s="61">
        <f t="shared" si="7"/>
        <v>29043</v>
      </c>
      <c r="P33" s="61">
        <f t="shared" si="7"/>
        <v>29043</v>
      </c>
      <c r="Q33" s="62">
        <f t="shared" si="7"/>
        <v>29043</v>
      </c>
    </row>
    <row r="34" spans="3:18" outlineLevel="3" x14ac:dyDescent="0.3">
      <c r="D34" s="63" t="str">
        <f>D30</f>
        <v>Net Foreign Exchange Loss</v>
      </c>
      <c r="E34" s="67" t="str">
        <f>currency</f>
        <v>₦ Th's</v>
      </c>
      <c r="F34" s="64"/>
      <c r="G34" s="64"/>
      <c r="H34" s="64"/>
      <c r="I34" s="64"/>
      <c r="J34" s="64"/>
      <c r="K34" s="64"/>
      <c r="L34" s="64"/>
      <c r="M34" s="64">
        <f>M30</f>
        <v>7851981</v>
      </c>
      <c r="N34" s="64">
        <f t="shared" si="7"/>
        <v>7851981</v>
      </c>
      <c r="O34" s="64">
        <f t="shared" si="7"/>
        <v>7851981</v>
      </c>
      <c r="P34" s="64">
        <f t="shared" si="7"/>
        <v>7851981</v>
      </c>
      <c r="Q34" s="65">
        <f t="shared" si="7"/>
        <v>7851981</v>
      </c>
    </row>
    <row r="35" spans="3:18" outlineLevel="3" x14ac:dyDescent="0.3"/>
    <row r="36" spans="3:18" outlineLevel="3" x14ac:dyDescent="0.3"/>
    <row r="37" spans="3:18" ht="16" outlineLevel="2" thickBot="1" x14ac:dyDescent="0.4">
      <c r="C37" s="9" t="s">
        <v>363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3:18" ht="14.5" outlineLevel="3" thickBot="1" x14ac:dyDescent="0.35">
      <c r="D38" s="38" t="s">
        <v>360</v>
      </c>
    </row>
    <row r="39" spans="3:18" ht="15" outlineLevel="3" thickBot="1" x14ac:dyDescent="0.4">
      <c r="D39" t="s">
        <v>301</v>
      </c>
      <c r="E39" s="20" t="str">
        <f>Inps!E34</f>
        <v>Statutory Tax Rate</v>
      </c>
      <c r="M39" s="53">
        <f>Inps!M34</f>
        <v>0.32</v>
      </c>
      <c r="N39" s="53">
        <f>Inps!N34</f>
        <v>0.32</v>
      </c>
      <c r="O39" s="53">
        <f>Inps!O34</f>
        <v>0.32</v>
      </c>
      <c r="P39" s="53">
        <f>Inps!P34</f>
        <v>0.32</v>
      </c>
      <c r="Q39" s="53">
        <f>Inps!Q34</f>
        <v>0.32</v>
      </c>
    </row>
    <row r="40" spans="3:18" ht="15" outlineLevel="3" thickBot="1" x14ac:dyDescent="0.4">
      <c r="D40" t="str">
        <f>Inps!D35</f>
        <v>Reduction in EBT for Timing difference</v>
      </c>
      <c r="E40" s="20" t="str">
        <f>Inps!E35</f>
        <v>Implied reduction on EBT based on govt financials</v>
      </c>
      <c r="M40" s="55">
        <f>Inps!M35</f>
        <v>3300000</v>
      </c>
      <c r="N40" s="55">
        <f>Inps!N35</f>
        <v>3300000</v>
      </c>
      <c r="O40" s="55">
        <f>Inps!O35</f>
        <v>3300000</v>
      </c>
      <c r="P40" s="55">
        <f>Inps!P35</f>
        <v>3300000</v>
      </c>
      <c r="Q40" s="55">
        <f>Inps!Q35</f>
        <v>3300000</v>
      </c>
    </row>
    <row r="41" spans="3:18" ht="14.5" outlineLevel="3" thickBot="1" x14ac:dyDescent="0.35"/>
    <row r="42" spans="3:18" ht="14.5" outlineLevel="3" thickBot="1" x14ac:dyDescent="0.35">
      <c r="D42" t="s">
        <v>364</v>
      </c>
      <c r="M42" s="55">
        <f>IS!M21</f>
        <v>65837998.952579975</v>
      </c>
      <c r="N42" s="55">
        <f>IS!N21</f>
        <v>89266299.121373892</v>
      </c>
      <c r="O42" s="55">
        <f>IS!O21</f>
        <v>117847013.57708921</v>
      </c>
      <c r="P42" s="55">
        <f>IS!P21</f>
        <v>155946639.31914669</v>
      </c>
      <c r="Q42" s="55">
        <f>IS!Q21</f>
        <v>207790007.26779288</v>
      </c>
    </row>
    <row r="43" spans="3:18" ht="14.5" outlineLevel="3" thickBot="1" x14ac:dyDescent="0.35">
      <c r="D43" t="s">
        <v>365</v>
      </c>
      <c r="M43" s="55">
        <f>M40</f>
        <v>3300000</v>
      </c>
      <c r="N43" s="55">
        <f t="shared" ref="N43:Q43" si="8">N40</f>
        <v>3300000</v>
      </c>
      <c r="O43" s="55">
        <f t="shared" si="8"/>
        <v>3300000</v>
      </c>
      <c r="P43" s="55">
        <f t="shared" si="8"/>
        <v>3300000</v>
      </c>
      <c r="Q43" s="55">
        <f t="shared" si="8"/>
        <v>3300000</v>
      </c>
    </row>
    <row r="44" spans="3:18" outlineLevel="3" x14ac:dyDescent="0.3">
      <c r="D44" t="s">
        <v>368</v>
      </c>
      <c r="M44">
        <f>M42-M43</f>
        <v>62537998.952579975</v>
      </c>
      <c r="N44">
        <f t="shared" ref="N44:Q44" si="9">N42-N43</f>
        <v>85966299.121373892</v>
      </c>
      <c r="O44">
        <f t="shared" si="9"/>
        <v>114547013.57708921</v>
      </c>
      <c r="P44">
        <f t="shared" si="9"/>
        <v>152646639.31914669</v>
      </c>
      <c r="Q44">
        <f t="shared" si="9"/>
        <v>204490007.26779288</v>
      </c>
    </row>
    <row r="45" spans="3:18" outlineLevel="3" x14ac:dyDescent="0.3"/>
    <row r="46" spans="3:18" outlineLevel="3" x14ac:dyDescent="0.3">
      <c r="D46" s="57" t="s">
        <v>367</v>
      </c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9"/>
    </row>
    <row r="47" spans="3:18" outlineLevel="3" x14ac:dyDescent="0.3">
      <c r="D47" s="60" t="s">
        <v>371</v>
      </c>
      <c r="E47" s="61"/>
      <c r="F47" s="61"/>
      <c r="G47" s="61"/>
      <c r="H47" s="61"/>
      <c r="I47" s="61"/>
      <c r="J47" s="61"/>
      <c r="K47" s="61"/>
      <c r="L47" s="61"/>
      <c r="M47" s="61">
        <f>M44*M39</f>
        <v>20012159.664825592</v>
      </c>
      <c r="N47" s="61">
        <f t="shared" ref="N47:Q47" si="10">N44*N39</f>
        <v>27509215.718839645</v>
      </c>
      <c r="O47" s="61">
        <f t="shared" si="10"/>
        <v>36655044.344668545</v>
      </c>
      <c r="P47" s="61">
        <f t="shared" si="10"/>
        <v>48846924.582126945</v>
      </c>
      <c r="Q47" s="62">
        <f t="shared" si="10"/>
        <v>65436802.325693727</v>
      </c>
      <c r="R47" t="s">
        <v>372</v>
      </c>
    </row>
    <row r="48" spans="3:18" outlineLevel="3" x14ac:dyDescent="0.3">
      <c r="D48" s="60" t="s">
        <v>370</v>
      </c>
      <c r="E48" s="61"/>
      <c r="F48" s="61"/>
      <c r="G48" s="61"/>
      <c r="H48" s="61"/>
      <c r="I48" s="61"/>
      <c r="J48" s="61"/>
      <c r="K48" s="61"/>
      <c r="L48" s="61"/>
      <c r="M48" s="61">
        <f>M49-M47</f>
        <v>1056000</v>
      </c>
      <c r="N48" s="61">
        <f t="shared" ref="N48:Q48" si="11">N49-N47</f>
        <v>1056000</v>
      </c>
      <c r="O48" s="61">
        <f t="shared" si="11"/>
        <v>1056000</v>
      </c>
      <c r="P48" s="61">
        <f t="shared" si="11"/>
        <v>1056000</v>
      </c>
      <c r="Q48" s="62">
        <f t="shared" si="11"/>
        <v>1056000</v>
      </c>
    </row>
    <row r="49" spans="2:17" ht="14.5" outlineLevel="3" thickBot="1" x14ac:dyDescent="0.35">
      <c r="D49" s="68" t="s">
        <v>369</v>
      </c>
      <c r="E49" s="64"/>
      <c r="F49" s="64"/>
      <c r="G49" s="64"/>
      <c r="H49" s="64"/>
      <c r="I49" s="64"/>
      <c r="J49" s="64"/>
      <c r="K49" s="64"/>
      <c r="L49" s="64"/>
      <c r="M49" s="11">
        <f>M42*M39</f>
        <v>21068159.664825592</v>
      </c>
      <c r="N49" s="11">
        <f t="shared" ref="N49:Q49" si="12">N42*N39</f>
        <v>28565215.718839645</v>
      </c>
      <c r="O49" s="11">
        <f t="shared" si="12"/>
        <v>37711044.344668545</v>
      </c>
      <c r="P49" s="11">
        <f t="shared" si="12"/>
        <v>49902924.582126945</v>
      </c>
      <c r="Q49" s="11">
        <f t="shared" si="12"/>
        <v>66492802.325693727</v>
      </c>
    </row>
    <row r="50" spans="2:17" ht="14.5" outlineLevel="3" thickTop="1" x14ac:dyDescent="0.3"/>
    <row r="51" spans="2:17" outlineLevel="3" x14ac:dyDescent="0.3"/>
    <row r="52" spans="2:17" ht="17" thickBot="1" x14ac:dyDescent="0.4">
      <c r="B52" s="8" t="s">
        <v>375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2:17" ht="15" thickTop="1" x14ac:dyDescent="0.35">
      <c r="C53" s="20" t="s">
        <v>376</v>
      </c>
    </row>
    <row r="54" spans="2:17" ht="17" outlineLevel="1" thickBot="1" x14ac:dyDescent="0.4">
      <c r="B54" s="8" t="s">
        <v>385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2:17" ht="16.5" outlineLevel="2" thickTop="1" thickBot="1" x14ac:dyDescent="0.4">
      <c r="C55" s="9" t="s">
        <v>386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ht="14.5" outlineLevel="3" thickBot="1" x14ac:dyDescent="0.35">
      <c r="D56" s="38" t="s">
        <v>138</v>
      </c>
    </row>
    <row r="57" spans="2:17" ht="15" outlineLevel="3" thickBot="1" x14ac:dyDescent="0.4">
      <c r="D57" t="str">
        <f>Inps!D49</f>
        <v>Trade Receivables</v>
      </c>
      <c r="E57" s="20" t="str">
        <f>Inps!E49</f>
        <v>% of revenues</v>
      </c>
      <c r="M57" s="56">
        <f>Inps!M49</f>
        <v>6.9400000000000003E-2</v>
      </c>
      <c r="N57" s="56">
        <f>Inps!N49</f>
        <v>6.9400000000000003E-2</v>
      </c>
      <c r="O57" s="56">
        <f>Inps!O49</f>
        <v>6.9400000000000003E-2</v>
      </c>
      <c r="P57" s="56">
        <f>Inps!P49</f>
        <v>6.9400000000000003E-2</v>
      </c>
      <c r="Q57" s="56">
        <f>Inps!Q49</f>
        <v>6.9400000000000003E-2</v>
      </c>
    </row>
    <row r="58" spans="2:17" ht="15" outlineLevel="3" thickBot="1" x14ac:dyDescent="0.4">
      <c r="D58" t="str">
        <f>Inps!D50</f>
        <v>Staff Loans</v>
      </c>
      <c r="E58" s="20" t="str">
        <f>Inps!E50</f>
        <v>Ending Balance</v>
      </c>
      <c r="M58" s="55">
        <f>Inps!M50</f>
        <v>2866469</v>
      </c>
      <c r="N58" s="55">
        <f>Inps!N50</f>
        <v>2866469</v>
      </c>
      <c r="O58" s="55">
        <f>Inps!O50</f>
        <v>2866469</v>
      </c>
      <c r="P58" s="55">
        <f>Inps!P50</f>
        <v>2866469</v>
      </c>
      <c r="Q58" s="55">
        <f>Inps!Q50</f>
        <v>2866469</v>
      </c>
    </row>
    <row r="59" spans="2:17" ht="15" outlineLevel="3" thickBot="1" x14ac:dyDescent="0.4">
      <c r="D59" t="str">
        <f>Inps!D51</f>
        <v>Deposit with Company registrars for dividend</v>
      </c>
      <c r="E59" s="20" t="str">
        <f>Inps!E51</f>
        <v>% EAT</v>
      </c>
      <c r="M59" s="56">
        <f>Inps!M51</f>
        <v>5.45E-2</v>
      </c>
      <c r="N59" s="56">
        <f>Inps!N51</f>
        <v>5.45E-2</v>
      </c>
      <c r="O59" s="56">
        <f>Inps!O51</f>
        <v>5.45E-2</v>
      </c>
      <c r="P59" s="56">
        <f>Inps!P51</f>
        <v>5.45E-2</v>
      </c>
      <c r="Q59" s="56">
        <f>Inps!Q51</f>
        <v>5.45E-2</v>
      </c>
    </row>
    <row r="60" spans="2:17" ht="15" outlineLevel="3" thickBot="1" x14ac:dyDescent="0.4">
      <c r="D60" t="str">
        <f>Inps!D52</f>
        <v>Advance payment to suppliers</v>
      </c>
      <c r="E60" s="20" t="str">
        <f>Inps!E52</f>
        <v>&amp; COGS</v>
      </c>
      <c r="M60" s="56">
        <f>Inps!M52</f>
        <v>0.21</v>
      </c>
      <c r="N60" s="56">
        <f>Inps!N52</f>
        <v>0.21</v>
      </c>
      <c r="O60" s="56">
        <f>Inps!O52</f>
        <v>0.21</v>
      </c>
      <c r="P60" s="56">
        <f>Inps!P52</f>
        <v>0.21</v>
      </c>
      <c r="Q60" s="56">
        <f>Inps!Q52</f>
        <v>0.21</v>
      </c>
    </row>
    <row r="61" spans="2:17" ht="15" outlineLevel="3" thickBot="1" x14ac:dyDescent="0.4">
      <c r="D61" t="str">
        <f>Inps!D53</f>
        <v>Other receivables</v>
      </c>
      <c r="E61" s="20" t="str">
        <f>Inps!E53</f>
        <v>Ending Balance</v>
      </c>
      <c r="M61" s="55">
        <f>Inps!M53</f>
        <v>1170424</v>
      </c>
      <c r="N61" s="55">
        <f>Inps!N53</f>
        <v>1170424</v>
      </c>
      <c r="O61" s="55">
        <f>Inps!O53</f>
        <v>1170424</v>
      </c>
      <c r="P61" s="55">
        <f>Inps!P53</f>
        <v>1170424</v>
      </c>
      <c r="Q61" s="55">
        <f>Inps!Q53</f>
        <v>1170424</v>
      </c>
    </row>
    <row r="62" spans="2:17" ht="15" outlineLevel="3" thickBot="1" x14ac:dyDescent="0.4">
      <c r="D62" t="str">
        <f>Inps!D54</f>
        <v>Total Prepayments</v>
      </c>
      <c r="E62" s="20" t="str">
        <f>Inps!E54</f>
        <v>% SG&amp;A</v>
      </c>
      <c r="M62" s="56">
        <f>Inps!M54</f>
        <v>1.678700433611861E-2</v>
      </c>
      <c r="N62" s="56">
        <f>Inps!N54</f>
        <v>1.678700433611861E-2</v>
      </c>
      <c r="O62" s="56">
        <f>Inps!O54</f>
        <v>1.678700433611861E-2</v>
      </c>
      <c r="P62" s="56">
        <f>Inps!P54</f>
        <v>1.678700433611861E-2</v>
      </c>
      <c r="Q62" s="56">
        <f>Inps!Q54</f>
        <v>1.678700433611861E-2</v>
      </c>
    </row>
    <row r="63" spans="2:17" ht="15" outlineLevel="3" thickBot="1" x14ac:dyDescent="0.4">
      <c r="D63" t="str">
        <f>Inps!D55</f>
        <v xml:space="preserve">Inventories </v>
      </c>
      <c r="E63" s="20" t="str">
        <f>Inps!E55</f>
        <v>% COGS</v>
      </c>
      <c r="M63" s="56">
        <f>Inps!M55</f>
        <v>0.19089999999999999</v>
      </c>
      <c r="N63" s="56">
        <f>Inps!N55</f>
        <v>0.19089999999999999</v>
      </c>
      <c r="O63" s="56">
        <f>Inps!O55</f>
        <v>0.19089999999999999</v>
      </c>
      <c r="P63" s="56">
        <f>Inps!P55</f>
        <v>0.19089999999999999</v>
      </c>
      <c r="Q63" s="56">
        <f>Inps!Q55</f>
        <v>0.19089999999999999</v>
      </c>
    </row>
    <row r="64" spans="2:17" ht="14.5" outlineLevel="3" thickBot="1" x14ac:dyDescent="0.35">
      <c r="D64" s="38" t="s">
        <v>155</v>
      </c>
    </row>
    <row r="65" spans="3:17" ht="15" outlineLevel="3" thickBot="1" x14ac:dyDescent="0.4">
      <c r="D65" t="str">
        <f>Inps!D68</f>
        <v xml:space="preserve">Employee benefits </v>
      </c>
      <c r="E65" s="20" t="str">
        <f>Inps!E68</f>
        <v>Ending balance</v>
      </c>
      <c r="M65" s="55">
        <f>Inps!M68</f>
        <v>4307927</v>
      </c>
      <c r="N65" s="55">
        <f>Inps!N68</f>
        <v>4307927</v>
      </c>
      <c r="O65" s="55">
        <f>Inps!O68</f>
        <v>4307927</v>
      </c>
      <c r="P65" s="55">
        <f>Inps!P68</f>
        <v>4307927</v>
      </c>
      <c r="Q65" s="55">
        <f>Inps!Q68</f>
        <v>4307927</v>
      </c>
    </row>
    <row r="66" spans="3:17" ht="15" outlineLevel="3" thickBot="1" x14ac:dyDescent="0.4">
      <c r="D66" t="str">
        <f>Inps!D72</f>
        <v xml:space="preserve">Contract liabilities </v>
      </c>
      <c r="E66" s="20" t="str">
        <f>Inps!E72</f>
        <v>%  of Revs</v>
      </c>
      <c r="M66" s="56">
        <f>Inps!M72</f>
        <v>1.78E-2</v>
      </c>
      <c r="N66" s="56">
        <f>Inps!N72</f>
        <v>1.78E-2</v>
      </c>
      <c r="O66" s="56">
        <f>Inps!O72</f>
        <v>1.78E-2</v>
      </c>
      <c r="P66" s="56">
        <f>Inps!P72</f>
        <v>1.78E-2</v>
      </c>
      <c r="Q66" s="56">
        <f>Inps!Q72</f>
        <v>1.78E-2</v>
      </c>
    </row>
    <row r="67" spans="3:17" ht="15" outlineLevel="3" thickBot="1" x14ac:dyDescent="0.4">
      <c r="D67" t="str">
        <f>Inps!D73</f>
        <v xml:space="preserve">Refund liabilities </v>
      </c>
      <c r="E67" s="20" t="str">
        <f>Inps!E73</f>
        <v>%  of Revs</v>
      </c>
      <c r="M67" s="56">
        <f>Inps!M73</f>
        <v>1.2999999999999999E-3</v>
      </c>
      <c r="N67" s="56">
        <f>Inps!N73</f>
        <v>1.2999999999999999E-3</v>
      </c>
      <c r="O67" s="56">
        <f>Inps!O73</f>
        <v>1.2999999999999999E-3</v>
      </c>
      <c r="P67" s="56">
        <f>Inps!P73</f>
        <v>1.2999999999999999E-3</v>
      </c>
      <c r="Q67" s="56">
        <f>Inps!Q73</f>
        <v>1.2999999999999999E-3</v>
      </c>
    </row>
    <row r="68" spans="3:17" ht="15" outlineLevel="3" thickBot="1" x14ac:dyDescent="0.4">
      <c r="D68" t="str">
        <f>Inps!D74</f>
        <v xml:space="preserve">Current tax liabilities </v>
      </c>
      <c r="E68" s="20" t="str">
        <f>Inps!E74</f>
        <v>% of EBT</v>
      </c>
      <c r="M68" s="56">
        <f>Inps!M74</f>
        <v>0.42130000000000001</v>
      </c>
      <c r="N68" s="56">
        <f>Inps!N74</f>
        <v>0.42130000000000001</v>
      </c>
      <c r="O68" s="56">
        <f>Inps!O74</f>
        <v>0.42130000000000001</v>
      </c>
      <c r="P68" s="56">
        <f>Inps!P74</f>
        <v>0.42130000000000001</v>
      </c>
      <c r="Q68" s="56">
        <f>Inps!Q74</f>
        <v>0.42130000000000001</v>
      </c>
    </row>
    <row r="69" spans="3:17" ht="15" outlineLevel="3" thickBot="1" x14ac:dyDescent="0.4">
      <c r="D69" t="str">
        <f>Inps!D75</f>
        <v xml:space="preserve">Provisions </v>
      </c>
      <c r="E69" s="20" t="str">
        <f>Inps!E75</f>
        <v>% of EBT</v>
      </c>
      <c r="M69" s="56">
        <f>Inps!M75</f>
        <v>2.1100000000000001E-2</v>
      </c>
      <c r="N69" s="56">
        <f>Inps!N75</f>
        <v>2.1100000000000001E-2</v>
      </c>
      <c r="O69" s="56">
        <f>Inps!O75</f>
        <v>2.1100000000000001E-2</v>
      </c>
      <c r="P69" s="56">
        <f>Inps!P75</f>
        <v>2.1100000000000001E-2</v>
      </c>
      <c r="Q69" s="56">
        <f>Inps!Q75</f>
        <v>2.1100000000000001E-2</v>
      </c>
    </row>
    <row r="70" spans="3:17" ht="15" outlineLevel="3" thickBot="1" x14ac:dyDescent="0.4">
      <c r="D70" t="str">
        <f>Inps!D76</f>
        <v>Trade Payables</v>
      </c>
      <c r="E70" s="20" t="str">
        <f>Inps!E76</f>
        <v>% of COGS</v>
      </c>
      <c r="M70" s="56">
        <f>Inps!M76</f>
        <v>0.31119999999999998</v>
      </c>
      <c r="N70" s="56">
        <f>Inps!N76</f>
        <v>0.31119999999999998</v>
      </c>
      <c r="O70" s="56">
        <f>Inps!O76</f>
        <v>0.31119999999999998</v>
      </c>
      <c r="P70" s="56">
        <f>Inps!P76</f>
        <v>0.31119999999999998</v>
      </c>
      <c r="Q70" s="56">
        <f>Inps!Q76</f>
        <v>0.31119999999999998</v>
      </c>
    </row>
    <row r="71" spans="3:17" ht="15" outlineLevel="3" thickBot="1" x14ac:dyDescent="0.4">
      <c r="D71" t="str">
        <f>Inps!D77</f>
        <v>Other payables and accruals</v>
      </c>
      <c r="E71" s="20" t="str">
        <f>Inps!E77</f>
        <v>% of SG&amp;A</v>
      </c>
      <c r="M71" s="56">
        <f>Inps!M77</f>
        <v>0.32769999999999999</v>
      </c>
      <c r="N71" s="56">
        <f>Inps!N77</f>
        <v>0.32769999999999999</v>
      </c>
      <c r="O71" s="56">
        <f>Inps!O77</f>
        <v>0.32769999999999999</v>
      </c>
      <c r="P71" s="56">
        <f>Inps!P77</f>
        <v>0.32769999999999999</v>
      </c>
      <c r="Q71" s="56">
        <f>Inps!Q77</f>
        <v>0.32769999999999999</v>
      </c>
    </row>
    <row r="72" spans="3:17" ht="15" outlineLevel="3" thickBot="1" x14ac:dyDescent="0.4">
      <c r="D72" t="str">
        <f>Inps!D78</f>
        <v>Dividend payable</v>
      </c>
      <c r="E72" s="20" t="str">
        <f>Inps!E78</f>
        <v>% of EAT</v>
      </c>
      <c r="M72" s="56">
        <f>Inps!M78</f>
        <v>0.14019999999999999</v>
      </c>
      <c r="N72" s="56">
        <f>Inps!N78</f>
        <v>0.14019999999999999</v>
      </c>
      <c r="O72" s="56">
        <f>Inps!O78</f>
        <v>0.14019999999999999</v>
      </c>
      <c r="P72" s="56">
        <f>Inps!P78</f>
        <v>0.14019999999999999</v>
      </c>
      <c r="Q72" s="56">
        <f>Inps!Q78</f>
        <v>0.14019999999999999</v>
      </c>
    </row>
    <row r="73" spans="3:17" outlineLevel="3" x14ac:dyDescent="0.3"/>
    <row r="74" spans="3:17" outlineLevel="3" x14ac:dyDescent="0.3"/>
    <row r="75" spans="3:17" ht="16" outlineLevel="2" thickBot="1" x14ac:dyDescent="0.4">
      <c r="C75" s="9" t="s">
        <v>388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3:17" ht="15" outlineLevel="2" thickBot="1" x14ac:dyDescent="0.4">
      <c r="C76" s="20" t="s">
        <v>389</v>
      </c>
    </row>
    <row r="77" spans="3:17" ht="14.5" outlineLevel="3" thickBot="1" x14ac:dyDescent="0.35">
      <c r="D77" t="str">
        <f>IS!D10</f>
        <v>Revenue</v>
      </c>
      <c r="E77">
        <f>IS!E10</f>
        <v>0</v>
      </c>
      <c r="M77" s="55">
        <f>IS!M10</f>
        <v>545119497.20000005</v>
      </c>
      <c r="N77" s="55">
        <f>IS!N10</f>
        <v>665045786.58399999</v>
      </c>
      <c r="O77" s="55">
        <f>IS!O10</f>
        <v>811355859.63248003</v>
      </c>
      <c r="P77" s="55">
        <f>IS!P10</f>
        <v>989854148.75162566</v>
      </c>
      <c r="Q77" s="55">
        <f>IS!Q10</f>
        <v>1207622061.4769833</v>
      </c>
    </row>
    <row r="78" spans="3:17" ht="14.5" outlineLevel="3" thickBot="1" x14ac:dyDescent="0.35">
      <c r="D78" t="str">
        <f>IS!D11</f>
        <v>Cost of Sales</v>
      </c>
      <c r="E78">
        <f>IS!E11</f>
        <v>0</v>
      </c>
      <c r="M78" s="55">
        <f>IS!M11</f>
        <v>358198021.61012006</v>
      </c>
      <c r="N78" s="55">
        <f>IS!N11</f>
        <v>437001586.36434639</v>
      </c>
      <c r="O78" s="55">
        <f>IS!O11</f>
        <v>533141935.36450267</v>
      </c>
      <c r="P78" s="55">
        <f>IS!P11</f>
        <v>650433161.14469326</v>
      </c>
      <c r="Q78" s="55">
        <f>IS!Q11</f>
        <v>793528456.59652579</v>
      </c>
    </row>
    <row r="79" spans="3:17" ht="14.5" outlineLevel="3" thickBot="1" x14ac:dyDescent="0.35">
      <c r="D79" t="str">
        <f>IS!D13</f>
        <v>SG&amp;A Expenses</v>
      </c>
      <c r="E79">
        <f>IS!E13</f>
        <v>0</v>
      </c>
      <c r="M79" s="55">
        <f>IS!M13</f>
        <v>80943806.040000007</v>
      </c>
      <c r="N79" s="55">
        <f>IS!N13</f>
        <v>98751443.368799999</v>
      </c>
      <c r="O79" s="55">
        <f>IS!O13</f>
        <v>120476760.90993601</v>
      </c>
      <c r="P79" s="55">
        <f>IS!P13</f>
        <v>146981648.31012192</v>
      </c>
      <c r="Q79" s="55">
        <f>IS!Q13</f>
        <v>179317610.93834877</v>
      </c>
    </row>
    <row r="80" spans="3:17" ht="14.5" outlineLevel="3" thickBot="1" x14ac:dyDescent="0.35">
      <c r="D80" t="str">
        <f>IS!D21</f>
        <v>EBT</v>
      </c>
      <c r="E80">
        <f>IS!E21</f>
        <v>0</v>
      </c>
      <c r="M80" s="55">
        <f>IS!M21</f>
        <v>65837998.952579975</v>
      </c>
      <c r="N80" s="55">
        <f>IS!N21</f>
        <v>89266299.121373892</v>
      </c>
      <c r="O80" s="55">
        <f>IS!O21</f>
        <v>117847013.57708921</v>
      </c>
      <c r="P80" s="55">
        <f>IS!P21</f>
        <v>155946639.31914669</v>
      </c>
      <c r="Q80" s="55">
        <f>IS!Q21</f>
        <v>207790007.26779288</v>
      </c>
    </row>
    <row r="81" spans="3:17" ht="14.5" outlineLevel="3" thickBot="1" x14ac:dyDescent="0.35">
      <c r="D81" t="str">
        <f>IS!D24</f>
        <v>Net Profit</v>
      </c>
      <c r="E81">
        <f>IS!E24</f>
        <v>0</v>
      </c>
      <c r="M81" s="55">
        <f>IS!M24</f>
        <v>44769839.287754387</v>
      </c>
      <c r="N81" s="55">
        <f>IS!N24</f>
        <v>60701083.402534246</v>
      </c>
      <c r="O81" s="55">
        <f>IS!O24</f>
        <v>80135969.232420653</v>
      </c>
      <c r="P81" s="55">
        <f>IS!P24</f>
        <v>106043714.73701975</v>
      </c>
      <c r="Q81" s="55">
        <f>IS!Q24</f>
        <v>141297204.94209915</v>
      </c>
    </row>
    <row r="82" spans="3:17" outlineLevel="3" x14ac:dyDescent="0.3"/>
    <row r="83" spans="3:17" outlineLevel="3" x14ac:dyDescent="0.3"/>
    <row r="84" spans="3:17" ht="16" outlineLevel="2" thickBot="1" x14ac:dyDescent="0.4">
      <c r="C84" s="9" t="s">
        <v>384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3:17" ht="15" outlineLevel="3" thickBot="1" x14ac:dyDescent="0.4">
      <c r="D85" t="str">
        <f>BS!D16</f>
        <v>Trade Receivables</v>
      </c>
      <c r="E85" s="20" t="s">
        <v>315</v>
      </c>
      <c r="L85" s="55">
        <f>BS!L16</f>
        <v>5493686</v>
      </c>
      <c r="M85">
        <f>M57*M77</f>
        <v>37831293.105680004</v>
      </c>
      <c r="N85">
        <f>N57*N77</f>
        <v>46154177.588929601</v>
      </c>
      <c r="O85">
        <f>O57*O77</f>
        <v>56308096.658494115</v>
      </c>
      <c r="P85">
        <f>P57*P77</f>
        <v>68695877.923362821</v>
      </c>
      <c r="Q85">
        <f>Q57*Q77</f>
        <v>83808971.066502646</v>
      </c>
    </row>
    <row r="86" spans="3:17" ht="15" outlineLevel="3" thickBot="1" x14ac:dyDescent="0.4">
      <c r="D86" t="str">
        <f>BS!D17</f>
        <v>Staff Loans</v>
      </c>
      <c r="E86" s="20" t="s">
        <v>311</v>
      </c>
      <c r="L86" s="55">
        <f>BS!L17</f>
        <v>2988632</v>
      </c>
      <c r="M86">
        <f>M58</f>
        <v>2866469</v>
      </c>
      <c r="N86">
        <f>N58</f>
        <v>2866469</v>
      </c>
      <c r="O86">
        <f>O58</f>
        <v>2866469</v>
      </c>
      <c r="P86">
        <f>P58</f>
        <v>2866469</v>
      </c>
      <c r="Q86">
        <f>Q58</f>
        <v>2866469</v>
      </c>
    </row>
    <row r="87" spans="3:17" ht="15" outlineLevel="3" thickBot="1" x14ac:dyDescent="0.4">
      <c r="D87" t="str">
        <f>BS!D18</f>
        <v>Deposit with Company registrars for dividend</v>
      </c>
      <c r="E87" s="20" t="s">
        <v>312</v>
      </c>
      <c r="L87" s="55">
        <f>BS!L18</f>
        <v>2537334</v>
      </c>
      <c r="M87">
        <f>M59*M81</f>
        <v>2439956.2411826141</v>
      </c>
      <c r="N87">
        <f>N59*N81</f>
        <v>3308209.0454381164</v>
      </c>
      <c r="O87">
        <f>O59*O81</f>
        <v>4367410.3231669255</v>
      </c>
      <c r="P87">
        <f>P59*P81</f>
        <v>5779382.4531675763</v>
      </c>
      <c r="Q87">
        <f>Q59*Q81</f>
        <v>7700697.6693444038</v>
      </c>
    </row>
    <row r="88" spans="3:17" ht="15" outlineLevel="3" thickBot="1" x14ac:dyDescent="0.4">
      <c r="D88" t="str">
        <f>BS!D19</f>
        <v>Advance payment to suppliers</v>
      </c>
      <c r="E88" s="20" t="s">
        <v>314</v>
      </c>
      <c r="L88" s="55">
        <f>BS!L19</f>
        <v>68444339</v>
      </c>
      <c r="M88">
        <f>M60*M78</f>
        <v>75221584.538125202</v>
      </c>
      <c r="N88">
        <f>N60*N78</f>
        <v>91770333.136512741</v>
      </c>
      <c r="O88">
        <f>O60*O78</f>
        <v>111959806.42654556</v>
      </c>
      <c r="P88">
        <f>P60*P78</f>
        <v>136590963.84038559</v>
      </c>
      <c r="Q88">
        <f>Q60*Q78</f>
        <v>166640975.88527042</v>
      </c>
    </row>
    <row r="89" spans="3:17" ht="15" outlineLevel="3" thickBot="1" x14ac:dyDescent="0.4">
      <c r="D89" t="str">
        <f>BS!D20</f>
        <v>Other receivables</v>
      </c>
      <c r="E89" s="20" t="s">
        <v>311</v>
      </c>
      <c r="L89" s="55">
        <f>BS!L20</f>
        <v>5662251</v>
      </c>
      <c r="M89">
        <f>M61</f>
        <v>1170424</v>
      </c>
      <c r="N89">
        <f>N61</f>
        <v>1170424</v>
      </c>
      <c r="O89">
        <f>O61</f>
        <v>1170424</v>
      </c>
      <c r="P89">
        <f>P61</f>
        <v>1170424</v>
      </c>
      <c r="Q89">
        <f>Q61</f>
        <v>1170424</v>
      </c>
    </row>
    <row r="90" spans="3:17" ht="15" outlineLevel="3" thickBot="1" x14ac:dyDescent="0.4">
      <c r="D90" t="str">
        <f>BS!D21</f>
        <v>Total Prepayments</v>
      </c>
      <c r="E90" s="20" t="s">
        <v>313</v>
      </c>
      <c r="L90" s="55">
        <f>BS!L21</f>
        <v>1929038</v>
      </c>
      <c r="M90">
        <f>M62*M79</f>
        <v>1358804.0229754238</v>
      </c>
      <c r="N90">
        <f>N62*N79</f>
        <v>1657740.9080300168</v>
      </c>
      <c r="O90">
        <f>O62*O79</f>
        <v>2022443.9077966209</v>
      </c>
      <c r="P90">
        <f>P62*P79</f>
        <v>2467381.567511877</v>
      </c>
      <c r="Q90">
        <f>Q62*Q79</f>
        <v>3010205.5123644909</v>
      </c>
    </row>
    <row r="91" spans="3:17" ht="15" outlineLevel="3" thickBot="1" x14ac:dyDescent="0.4">
      <c r="D91" t="str">
        <f>BS!D22</f>
        <v xml:space="preserve">Inventories </v>
      </c>
      <c r="E91" s="20" t="s">
        <v>387</v>
      </c>
      <c r="L91" s="55">
        <f>BS!L22</f>
        <v>88340532</v>
      </c>
      <c r="M91">
        <f>M63*M78</f>
        <v>68380002.325371921</v>
      </c>
      <c r="N91">
        <f>N63*N78</f>
        <v>83423602.836953714</v>
      </c>
      <c r="O91">
        <f>O63*O78</f>
        <v>101776795.46108355</v>
      </c>
      <c r="P91">
        <f>P63*P78</f>
        <v>124167690.46252194</v>
      </c>
      <c r="Q91">
        <f>Q63*Q78</f>
        <v>151484582.36427677</v>
      </c>
    </row>
    <row r="92" spans="3:17" ht="14.5" outlineLevel="3" thickBot="1" x14ac:dyDescent="0.35">
      <c r="D92" s="29" t="s">
        <v>278</v>
      </c>
      <c r="L92" s="29">
        <f t="shared" ref="L92:Q92" si="13">SUM(L85:L91)</f>
        <v>175395812</v>
      </c>
      <c r="M92" s="12">
        <f t="shared" si="13"/>
        <v>189268533.23333517</v>
      </c>
      <c r="N92" s="12">
        <f t="shared" si="13"/>
        <v>230350956.51586419</v>
      </c>
      <c r="O92" s="12">
        <f t="shared" si="13"/>
        <v>280471445.77708673</v>
      </c>
      <c r="P92" s="12">
        <f t="shared" si="13"/>
        <v>341738189.24694979</v>
      </c>
      <c r="Q92" s="12">
        <f t="shared" si="13"/>
        <v>416682325.49775875</v>
      </c>
    </row>
    <row r="93" spans="3:17" ht="14.5" outlineLevel="3" thickBot="1" x14ac:dyDescent="0.35">
      <c r="D93" t="str">
        <f>BS!D35</f>
        <v xml:space="preserve">Employee benefits </v>
      </c>
      <c r="L93" s="55">
        <f>BS!L35</f>
        <v>4359648</v>
      </c>
      <c r="M93">
        <f>M65</f>
        <v>4307927</v>
      </c>
      <c r="N93">
        <f>N65</f>
        <v>4307927</v>
      </c>
      <c r="O93">
        <f>O65</f>
        <v>4307927</v>
      </c>
      <c r="P93">
        <f>P65</f>
        <v>4307927</v>
      </c>
      <c r="Q93">
        <f>Q65</f>
        <v>4307927</v>
      </c>
    </row>
    <row r="94" spans="3:17" ht="14.5" outlineLevel="3" thickBot="1" x14ac:dyDescent="0.35">
      <c r="D94" t="str">
        <f>BS!D36</f>
        <v>Lease liabilities</v>
      </c>
      <c r="L94" s="55">
        <f>BS!L36</f>
        <v>181606</v>
      </c>
      <c r="M94">
        <f>M141</f>
        <v>181606</v>
      </c>
      <c r="N94">
        <f t="shared" ref="N94:Q94" si="14">N141</f>
        <v>181606</v>
      </c>
      <c r="O94">
        <f t="shared" si="14"/>
        <v>181606</v>
      </c>
      <c r="P94">
        <f t="shared" si="14"/>
        <v>181606</v>
      </c>
      <c r="Q94">
        <f t="shared" si="14"/>
        <v>181606</v>
      </c>
    </row>
    <row r="95" spans="3:17" ht="14.5" outlineLevel="3" thickBot="1" x14ac:dyDescent="0.35">
      <c r="D95" t="str">
        <f>BS!D37</f>
        <v xml:space="preserve">Deferred tax liabilities </v>
      </c>
      <c r="L95" s="55">
        <f>BS!L37</f>
        <v>14854152</v>
      </c>
      <c r="M95">
        <f>L95+IS!M23</f>
        <v>15910152</v>
      </c>
      <c r="N95">
        <f>M95+IS!N23</f>
        <v>16966152</v>
      </c>
      <c r="O95">
        <f>N95+IS!O23</f>
        <v>18022152</v>
      </c>
      <c r="P95">
        <f>O95+IS!P23</f>
        <v>19078152</v>
      </c>
      <c r="Q95">
        <f>P95+IS!Q23</f>
        <v>20134152</v>
      </c>
    </row>
    <row r="96" spans="3:17" ht="15" outlineLevel="3" thickBot="1" x14ac:dyDescent="0.4">
      <c r="D96" t="str">
        <f>BS!D40</f>
        <v xml:space="preserve">Contract liabilities </v>
      </c>
      <c r="E96" s="20" t="s">
        <v>316</v>
      </c>
      <c r="L96" s="55">
        <f>BS!L40</f>
        <v>16548425</v>
      </c>
      <c r="M96">
        <f>M66*M77</f>
        <v>9703127.0501600001</v>
      </c>
      <c r="N96">
        <f>N66*N77</f>
        <v>11837815.0011952</v>
      </c>
      <c r="O96">
        <f>O66*O77</f>
        <v>14442134.301458145</v>
      </c>
      <c r="P96">
        <f>P66*P77</f>
        <v>17619403.847778935</v>
      </c>
      <c r="Q96">
        <f>Q66*Q77</f>
        <v>21495672.694290303</v>
      </c>
    </row>
    <row r="97" spans="3:18" ht="15" outlineLevel="3" thickBot="1" x14ac:dyDescent="0.4">
      <c r="D97" t="str">
        <f>BS!D41</f>
        <v xml:space="preserve">Refund liabilities </v>
      </c>
      <c r="E97" s="20" t="s">
        <v>316</v>
      </c>
      <c r="L97" s="55">
        <f>BS!L41</f>
        <v>112333</v>
      </c>
      <c r="M97">
        <f>M67*M77</f>
        <v>708655.34636000008</v>
      </c>
      <c r="N97">
        <f>N67*N77</f>
        <v>864559.52255919995</v>
      </c>
      <c r="O97">
        <f>O67*O77</f>
        <v>1054762.6175222241</v>
      </c>
      <c r="P97">
        <f>P67*P77</f>
        <v>1286810.3933771134</v>
      </c>
      <c r="Q97">
        <f>Q67*Q77</f>
        <v>1569908.6799200783</v>
      </c>
    </row>
    <row r="98" spans="3:18" ht="15" outlineLevel="3" thickBot="1" x14ac:dyDescent="0.4">
      <c r="D98" t="str">
        <f>BS!D42</f>
        <v xml:space="preserve">Current tax liabilities </v>
      </c>
      <c r="E98" s="20" t="s">
        <v>317</v>
      </c>
      <c r="L98" s="55">
        <f>BS!L42</f>
        <v>26208706</v>
      </c>
      <c r="M98">
        <f>M68*M80</f>
        <v>27737548.958721943</v>
      </c>
      <c r="N98">
        <f>N68*N80</f>
        <v>37607891.819834821</v>
      </c>
      <c r="O98">
        <f>O68*O80</f>
        <v>49648946.820027687</v>
      </c>
      <c r="P98">
        <f>P68*P80</f>
        <v>65700319.145156503</v>
      </c>
      <c r="Q98">
        <f>Q68*Q80</f>
        <v>87541930.061921149</v>
      </c>
    </row>
    <row r="99" spans="3:18" ht="15" outlineLevel="3" thickBot="1" x14ac:dyDescent="0.4">
      <c r="D99" t="str">
        <f>BS!D43</f>
        <v xml:space="preserve">Provisions </v>
      </c>
      <c r="E99" s="20" t="s">
        <v>317</v>
      </c>
      <c r="L99" s="55">
        <f>BS!L43</f>
        <v>1026008</v>
      </c>
      <c r="M99">
        <f>M69*M80</f>
        <v>1389181.7778994376</v>
      </c>
      <c r="N99">
        <f>N69*N80</f>
        <v>1883518.9114609892</v>
      </c>
      <c r="O99">
        <f>O69*O80</f>
        <v>2486571.9864765825</v>
      </c>
      <c r="P99">
        <f>P69*P80</f>
        <v>3290474.0896339952</v>
      </c>
      <c r="Q99">
        <f>Q69*Q80</f>
        <v>4384369.1533504296</v>
      </c>
    </row>
    <row r="100" spans="3:18" ht="15" outlineLevel="3" thickBot="1" x14ac:dyDescent="0.4">
      <c r="D100" t="str">
        <f>BS!D44</f>
        <v>Trade Payables</v>
      </c>
      <c r="E100" s="20" t="s">
        <v>318</v>
      </c>
      <c r="L100" s="55">
        <f>BS!L44</f>
        <v>136267227</v>
      </c>
      <c r="M100">
        <f t="shared" ref="M100:Q101" si="15">M70*M78</f>
        <v>111471224.32506935</v>
      </c>
      <c r="N100">
        <f t="shared" si="15"/>
        <v>135994893.67658457</v>
      </c>
      <c r="O100">
        <f t="shared" si="15"/>
        <v>165913770.28543323</v>
      </c>
      <c r="P100">
        <f t="shared" si="15"/>
        <v>202414799.74822852</v>
      </c>
      <c r="Q100">
        <f t="shared" si="15"/>
        <v>246946055.69283882</v>
      </c>
    </row>
    <row r="101" spans="3:18" ht="15" outlineLevel="3" thickBot="1" x14ac:dyDescent="0.4">
      <c r="D101" t="str">
        <f>BS!D45</f>
        <v>Other payables and accruals</v>
      </c>
      <c r="E101" s="20" t="s">
        <v>319</v>
      </c>
      <c r="L101" s="55">
        <f>BS!L45</f>
        <v>19775025</v>
      </c>
      <c r="M101">
        <f t="shared" si="15"/>
        <v>26525285.239308</v>
      </c>
      <c r="N101">
        <f t="shared" si="15"/>
        <v>32360847.991955757</v>
      </c>
      <c r="O101">
        <f t="shared" si="15"/>
        <v>39480234.550186031</v>
      </c>
      <c r="P101">
        <f t="shared" si="15"/>
        <v>48165886.151226953</v>
      </c>
      <c r="Q101">
        <f t="shared" si="15"/>
        <v>58762381.104496889</v>
      </c>
    </row>
    <row r="102" spans="3:18" outlineLevel="3" x14ac:dyDescent="0.3">
      <c r="D102" s="29" t="s">
        <v>379</v>
      </c>
      <c r="L102">
        <f t="shared" ref="L102:Q102" si="16">SUM(L93:L101)</f>
        <v>219333130</v>
      </c>
      <c r="M102" s="12">
        <f t="shared" si="16"/>
        <v>197934707.69751874</v>
      </c>
      <c r="N102" s="12">
        <f t="shared" si="16"/>
        <v>242005211.92359054</v>
      </c>
      <c r="O102" s="12">
        <f t="shared" si="16"/>
        <v>295538105.56110388</v>
      </c>
      <c r="P102" s="12">
        <f t="shared" si="16"/>
        <v>362045378.37540203</v>
      </c>
      <c r="Q102" s="12">
        <f t="shared" si="16"/>
        <v>445324002.38681769</v>
      </c>
    </row>
    <row r="103" spans="3:18" ht="14.5" outlineLevel="3" thickBot="1" x14ac:dyDescent="0.35">
      <c r="D103" s="29" t="s">
        <v>380</v>
      </c>
      <c r="L103" s="11">
        <f t="shared" ref="L103:Q103" si="17">L92-L102</f>
        <v>-43937318</v>
      </c>
      <c r="M103" s="11">
        <f t="shared" si="17"/>
        <v>-8666174.464183569</v>
      </c>
      <c r="N103" s="11">
        <f t="shared" si="17"/>
        <v>-11654255.407726347</v>
      </c>
      <c r="O103" s="11">
        <f t="shared" si="17"/>
        <v>-15066659.784017146</v>
      </c>
      <c r="P103" s="11">
        <f t="shared" si="17"/>
        <v>-20307189.128452241</v>
      </c>
      <c r="Q103" s="11">
        <f t="shared" si="17"/>
        <v>-28641676.889058948</v>
      </c>
    </row>
    <row r="104" spans="3:18" ht="14.5" outlineLevel="3" thickTop="1" x14ac:dyDescent="0.3">
      <c r="D104" s="29" t="s">
        <v>381</v>
      </c>
      <c r="L104">
        <f>K103-L103</f>
        <v>43937318</v>
      </c>
      <c r="M104">
        <f>L103-M103</f>
        <v>-35271143.535816431</v>
      </c>
      <c r="N104">
        <f t="shared" ref="N104:Q104" si="18">M103-N103</f>
        <v>2988080.9435427785</v>
      </c>
      <c r="O104">
        <f t="shared" si="18"/>
        <v>3412404.3762907982</v>
      </c>
      <c r="P104">
        <f t="shared" si="18"/>
        <v>5240529.3444350958</v>
      </c>
      <c r="Q104">
        <f t="shared" si="18"/>
        <v>8334487.7606067061</v>
      </c>
      <c r="R104" t="s">
        <v>390</v>
      </c>
    </row>
    <row r="105" spans="3:18" outlineLevel="3" x14ac:dyDescent="0.3">
      <c r="R105" t="s">
        <v>486</v>
      </c>
    </row>
    <row r="106" spans="3:18" outlineLevel="3" x14ac:dyDescent="0.3"/>
    <row r="107" spans="3:18" ht="16" outlineLevel="2" thickBot="1" x14ac:dyDescent="0.4">
      <c r="C107" s="9" t="str">
        <f>BS!D12</f>
        <v>PP&amp;E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3:18" outlineLevel="3" x14ac:dyDescent="0.3">
      <c r="D108" t="s">
        <v>377</v>
      </c>
      <c r="M108">
        <f>L112</f>
        <v>121715789</v>
      </c>
      <c r="N108">
        <f t="shared" ref="N108" si="19">M112</f>
        <v>124016386.20145999</v>
      </c>
      <c r="O108">
        <f t="shared" ref="O108" si="20">N112</f>
        <v>126361016.83335592</v>
      </c>
      <c r="P108">
        <f t="shared" ref="P108" si="21">O112</f>
        <v>128750523.69554636</v>
      </c>
      <c r="Q108">
        <f t="shared" ref="Q108" si="22">P112</f>
        <v>131185765.71907912</v>
      </c>
    </row>
    <row r="109" spans="3:18" outlineLevel="3" x14ac:dyDescent="0.3">
      <c r="D109" t="s">
        <v>382</v>
      </c>
      <c r="M109">
        <f>Inps!M46*Calc!M110+Inps!M47</f>
        <v>13977841.208759999</v>
      </c>
      <c r="N109">
        <f>Inps!N46*Calc!N110+Inps!N47</f>
        <v>14242041.791375665</v>
      </c>
      <c r="O109">
        <f>Inps!O46*Calc!O110+Inps!O47</f>
        <v>14511299.173142591</v>
      </c>
      <c r="P109">
        <f>Inps!P46*Calc!P110+Inps!P47</f>
        <v>14785710.141196543</v>
      </c>
      <c r="Q109">
        <f>Inps!Q46*Calc!Q110+Inps!Q47</f>
        <v>15065373.335179044</v>
      </c>
    </row>
    <row r="110" spans="3:18" outlineLevel="3" x14ac:dyDescent="0.3">
      <c r="D110" t="s">
        <v>197</v>
      </c>
      <c r="M110">
        <f>Inps!M27*L112</f>
        <v>11648201.007299999</v>
      </c>
      <c r="N110">
        <f>Inps!N27*M112</f>
        <v>11868368.159479721</v>
      </c>
      <c r="O110">
        <f>Inps!O27*N112</f>
        <v>12092749.310952161</v>
      </c>
      <c r="P110">
        <f>Inps!P27*O112</f>
        <v>12321425.117663786</v>
      </c>
      <c r="Q110">
        <f>Inps!Q27*P112</f>
        <v>12554477.77931587</v>
      </c>
    </row>
    <row r="111" spans="3:18" ht="14.5" outlineLevel="3" thickBot="1" x14ac:dyDescent="0.35">
      <c r="D111" t="str">
        <f>Inps!D28</f>
        <v>Impairement</v>
      </c>
      <c r="M111">
        <f>Inps!M28</f>
        <v>29043</v>
      </c>
      <c r="N111">
        <f>Inps!N28</f>
        <v>29043</v>
      </c>
      <c r="O111">
        <f>Inps!O28</f>
        <v>29043</v>
      </c>
      <c r="P111">
        <f>Inps!P28</f>
        <v>29043</v>
      </c>
      <c r="Q111">
        <f>Inps!Q28</f>
        <v>29043</v>
      </c>
    </row>
    <row r="112" spans="3:18" ht="14.5" outlineLevel="3" thickBot="1" x14ac:dyDescent="0.35">
      <c r="D112" t="s">
        <v>311</v>
      </c>
      <c r="L112" s="55">
        <f>BS!L12</f>
        <v>121715789</v>
      </c>
      <c r="M112" s="11">
        <f>M108+M109-M110-M111</f>
        <v>124016386.20145999</v>
      </c>
      <c r="N112" s="11">
        <f t="shared" ref="N112:Q112" si="23">N108+N109-N110-N111</f>
        <v>126361016.83335592</v>
      </c>
      <c r="O112" s="11">
        <f t="shared" si="23"/>
        <v>128750523.69554636</v>
      </c>
      <c r="P112" s="11">
        <f t="shared" si="23"/>
        <v>131185765.71907912</v>
      </c>
      <c r="Q112" s="11">
        <f t="shared" si="23"/>
        <v>133667618.27494229</v>
      </c>
    </row>
    <row r="113" spans="3:17" outlineLevel="3" x14ac:dyDescent="0.3"/>
    <row r="114" spans="3:17" ht="16" outlineLevel="2" thickBot="1" x14ac:dyDescent="0.4">
      <c r="C114" s="9" t="s">
        <v>149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3:17" ht="16" outlineLevel="2" thickBot="1" x14ac:dyDescent="0.4">
      <c r="C115" s="9" t="str">
        <f>BS!D28</f>
        <v xml:space="preserve">Share capital </v>
      </c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3:17" outlineLevel="3" x14ac:dyDescent="0.3">
      <c r="D116" t="s">
        <v>377</v>
      </c>
      <c r="M116">
        <f>L118</f>
        <v>396328</v>
      </c>
      <c r="N116">
        <f t="shared" ref="N116" si="24">M118</f>
        <v>396328</v>
      </c>
      <c r="O116">
        <f t="shared" ref="O116" si="25">N118</f>
        <v>396328</v>
      </c>
      <c r="P116">
        <f t="shared" ref="P116" si="26">O118</f>
        <v>396328</v>
      </c>
      <c r="Q116">
        <f t="shared" ref="Q116" si="27">P118</f>
        <v>396328</v>
      </c>
    </row>
    <row r="117" spans="3:17" ht="14.5" outlineLevel="3" thickBot="1" x14ac:dyDescent="0.35">
      <c r="D117" t="s">
        <v>378</v>
      </c>
      <c r="M117">
        <f>Inps!M61-Inps!L61</f>
        <v>0</v>
      </c>
      <c r="N117">
        <f>Inps!N61-Inps!M61</f>
        <v>0</v>
      </c>
      <c r="O117">
        <f>Inps!O61-Inps!N61</f>
        <v>0</v>
      </c>
      <c r="P117">
        <f>Inps!P61-Inps!O61</f>
        <v>0</v>
      </c>
      <c r="Q117">
        <f>Inps!Q61-Inps!P61</f>
        <v>0</v>
      </c>
    </row>
    <row r="118" spans="3:17" ht="14.5" outlineLevel="3" thickBot="1" x14ac:dyDescent="0.35">
      <c r="D118" t="s">
        <v>311</v>
      </c>
      <c r="L118" s="55">
        <f>BS!L28</f>
        <v>396328</v>
      </c>
      <c r="M118" s="11">
        <f>SUM(M116:M117)</f>
        <v>396328</v>
      </c>
      <c r="N118" s="11">
        <f t="shared" ref="N118:Q118" si="28">SUM(N116:N117)</f>
        <v>396328</v>
      </c>
      <c r="O118" s="11">
        <f t="shared" si="28"/>
        <v>396328</v>
      </c>
      <c r="P118" s="11">
        <f t="shared" si="28"/>
        <v>396328</v>
      </c>
      <c r="Q118" s="11">
        <f t="shared" si="28"/>
        <v>396328</v>
      </c>
    </row>
    <row r="119" spans="3:17" outlineLevel="3" x14ac:dyDescent="0.3"/>
    <row r="120" spans="3:17" ht="16" outlineLevel="2" thickBot="1" x14ac:dyDescent="0.4">
      <c r="C120" s="9" t="str">
        <f>BS!D29</f>
        <v xml:space="preserve">Share premium 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3:17" outlineLevel="3" x14ac:dyDescent="0.3">
      <c r="D121" t="s">
        <v>377</v>
      </c>
      <c r="M121">
        <f t="shared" ref="M121" si="29">L123</f>
        <v>32262</v>
      </c>
      <c r="N121">
        <f t="shared" ref="N121" si="30">M123</f>
        <v>32262</v>
      </c>
      <c r="O121">
        <f t="shared" ref="O121" si="31">N123</f>
        <v>32262</v>
      </c>
      <c r="P121">
        <f t="shared" ref="P121" si="32">O123</f>
        <v>32262</v>
      </c>
      <c r="Q121">
        <f t="shared" ref="Q121" si="33">P123</f>
        <v>32262</v>
      </c>
    </row>
    <row r="122" spans="3:17" ht="14.5" outlineLevel="3" thickBot="1" x14ac:dyDescent="0.35">
      <c r="D122" t="s">
        <v>378</v>
      </c>
      <c r="M122">
        <f>Inps!M62-Inps!L62</f>
        <v>0</v>
      </c>
      <c r="N122">
        <f>Inps!N62-Inps!M62</f>
        <v>0</v>
      </c>
      <c r="O122">
        <f>Inps!O62-Inps!N62</f>
        <v>0</v>
      </c>
      <c r="P122">
        <f>Inps!P62-Inps!O62</f>
        <v>0</v>
      </c>
      <c r="Q122">
        <f>Inps!Q62-Inps!P62</f>
        <v>0</v>
      </c>
    </row>
    <row r="123" spans="3:17" ht="14.5" outlineLevel="3" thickBot="1" x14ac:dyDescent="0.35">
      <c r="D123" t="s">
        <v>311</v>
      </c>
      <c r="L123" s="55">
        <f>BS!L29</f>
        <v>32262</v>
      </c>
      <c r="M123" s="11">
        <f t="shared" ref="M123:Q123" si="34">SUM(M121:M122)</f>
        <v>32262</v>
      </c>
      <c r="N123" s="11">
        <f t="shared" si="34"/>
        <v>32262</v>
      </c>
      <c r="O123" s="11">
        <f t="shared" si="34"/>
        <v>32262</v>
      </c>
      <c r="P123" s="11">
        <f t="shared" si="34"/>
        <v>32262</v>
      </c>
      <c r="Q123" s="11">
        <f t="shared" si="34"/>
        <v>32262</v>
      </c>
    </row>
    <row r="124" spans="3:17" outlineLevel="3" x14ac:dyDescent="0.3"/>
    <row r="125" spans="3:17" ht="16" outlineLevel="2" thickBot="1" x14ac:dyDescent="0.4">
      <c r="C125" s="9" t="str">
        <f>BS!D30</f>
        <v xml:space="preserve">Share based payment reserve 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3:17" outlineLevel="3" x14ac:dyDescent="0.3">
      <c r="D126" t="s">
        <v>377</v>
      </c>
      <c r="M126">
        <f t="shared" ref="M126" si="35">L128</f>
        <v>90127</v>
      </c>
      <c r="N126">
        <f t="shared" ref="N126" si="36">M128</f>
        <v>90127</v>
      </c>
      <c r="O126">
        <f t="shared" ref="O126" si="37">N128</f>
        <v>90127</v>
      </c>
      <c r="P126">
        <f t="shared" ref="P126" si="38">O128</f>
        <v>90127</v>
      </c>
      <c r="Q126">
        <f t="shared" ref="Q126" si="39">P128</f>
        <v>90127</v>
      </c>
    </row>
    <row r="127" spans="3:17" ht="14.5" outlineLevel="3" thickBot="1" x14ac:dyDescent="0.35">
      <c r="D127" t="s">
        <v>378</v>
      </c>
      <c r="M127">
        <f>Inps!M63-Inps!L63</f>
        <v>0</v>
      </c>
      <c r="N127">
        <f>Inps!N63-Inps!M63</f>
        <v>0</v>
      </c>
      <c r="O127">
        <f>Inps!O63-Inps!N63</f>
        <v>0</v>
      </c>
      <c r="P127">
        <f>Inps!P63-Inps!O63</f>
        <v>0</v>
      </c>
      <c r="Q127">
        <f>Inps!Q63-Inps!P63</f>
        <v>0</v>
      </c>
    </row>
    <row r="128" spans="3:17" ht="14.5" outlineLevel="3" thickBot="1" x14ac:dyDescent="0.35">
      <c r="D128" t="s">
        <v>311</v>
      </c>
      <c r="L128" s="55">
        <f>BS!L30</f>
        <v>90127</v>
      </c>
      <c r="M128" s="11">
        <f t="shared" ref="M128:Q128" si="40">SUM(M126:M127)</f>
        <v>90127</v>
      </c>
      <c r="N128" s="11">
        <f t="shared" si="40"/>
        <v>90127</v>
      </c>
      <c r="O128" s="11">
        <f t="shared" si="40"/>
        <v>90127</v>
      </c>
      <c r="P128" s="11">
        <f t="shared" si="40"/>
        <v>90127</v>
      </c>
      <c r="Q128" s="11">
        <f t="shared" si="40"/>
        <v>90127</v>
      </c>
    </row>
    <row r="129" spans="2:17" outlineLevel="3" x14ac:dyDescent="0.3"/>
    <row r="130" spans="2:17" outlineLevel="3" x14ac:dyDescent="0.3"/>
    <row r="131" spans="2:17" ht="16" outlineLevel="2" thickBot="1" x14ac:dyDescent="0.4">
      <c r="C131" s="9" t="s">
        <v>383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2:17" outlineLevel="3" x14ac:dyDescent="0.3">
      <c r="D132" t="s">
        <v>377</v>
      </c>
      <c r="M132">
        <f>L135</f>
        <v>29772507</v>
      </c>
      <c r="N132">
        <f t="shared" ref="N132" si="41">M135</f>
        <v>38726474.857550874</v>
      </c>
      <c r="O132">
        <f t="shared" ref="O132" si="42">N135</f>
        <v>50866691.538057722</v>
      </c>
      <c r="P132">
        <f t="shared" ref="P132" si="43">O135</f>
        <v>66893885.384541839</v>
      </c>
      <c r="Q132">
        <f t="shared" ref="Q132" si="44">P135</f>
        <v>88102628.331945777</v>
      </c>
    </row>
    <row r="133" spans="2:17" outlineLevel="3" x14ac:dyDescent="0.3">
      <c r="D133" t="str">
        <f>IS!D24</f>
        <v>Net Profit</v>
      </c>
      <c r="M133">
        <f>IS!M24</f>
        <v>44769839.287754387</v>
      </c>
      <c r="N133">
        <f>IS!N24</f>
        <v>60701083.402534246</v>
      </c>
      <c r="O133">
        <f>IS!O24</f>
        <v>80135969.232420653</v>
      </c>
      <c r="P133">
        <f>IS!P24</f>
        <v>106043714.73701975</v>
      </c>
      <c r="Q133">
        <f>IS!Q24</f>
        <v>141297204.94209915</v>
      </c>
    </row>
    <row r="134" spans="2:17" ht="14.5" outlineLevel="3" thickBot="1" x14ac:dyDescent="0.35">
      <c r="D134" t="str">
        <f>D161</f>
        <v>Dividend Declared</v>
      </c>
      <c r="M134">
        <f>M161</f>
        <v>35815871.430203512</v>
      </c>
      <c r="N134">
        <f t="shared" ref="N134:Q134" si="45">N161</f>
        <v>48560866.722027399</v>
      </c>
      <c r="O134">
        <f t="shared" si="45"/>
        <v>64108775.385936528</v>
      </c>
      <c r="P134">
        <f t="shared" si="45"/>
        <v>84834971.78961581</v>
      </c>
      <c r="Q134">
        <f t="shared" si="45"/>
        <v>113037763.95367932</v>
      </c>
    </row>
    <row r="135" spans="2:17" ht="14.5" outlineLevel="3" thickBot="1" x14ac:dyDescent="0.35">
      <c r="D135" t="s">
        <v>311</v>
      </c>
      <c r="L135" s="55">
        <f>BS!L31</f>
        <v>29772507</v>
      </c>
      <c r="M135" s="11">
        <f>M132+M133-M134</f>
        <v>38726474.857550874</v>
      </c>
      <c r="N135" s="11">
        <f t="shared" ref="N135:Q135" si="46">N132+N133-N134</f>
        <v>50866691.538057722</v>
      </c>
      <c r="O135" s="11">
        <f t="shared" si="46"/>
        <v>66893885.384541839</v>
      </c>
      <c r="P135" s="11">
        <f t="shared" si="46"/>
        <v>88102628.331945777</v>
      </c>
      <c r="Q135" s="11">
        <f t="shared" si="46"/>
        <v>116362069.32036561</v>
      </c>
    </row>
    <row r="136" spans="2:17" outlineLevel="3" x14ac:dyDescent="0.3"/>
    <row r="137" spans="2:17" outlineLevel="3" x14ac:dyDescent="0.3"/>
    <row r="138" spans="2:17" ht="16" outlineLevel="2" thickBot="1" x14ac:dyDescent="0.4">
      <c r="C138" s="9" t="s">
        <v>482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2:17" outlineLevel="3" x14ac:dyDescent="0.3">
      <c r="D139" t="s">
        <v>377</v>
      </c>
      <c r="M139">
        <f t="shared" ref="M139" si="47">L141</f>
        <v>181606</v>
      </c>
      <c r="N139">
        <f t="shared" ref="N139" si="48">M141</f>
        <v>181606</v>
      </c>
      <c r="O139">
        <f t="shared" ref="O139" si="49">N141</f>
        <v>181606</v>
      </c>
      <c r="P139">
        <f t="shared" ref="P139" si="50">O141</f>
        <v>181606</v>
      </c>
      <c r="Q139">
        <f t="shared" ref="Q139" si="51">P141</f>
        <v>181606</v>
      </c>
    </row>
    <row r="140" spans="2:17" ht="14.5" outlineLevel="3" thickBot="1" x14ac:dyDescent="0.35">
      <c r="D140" t="s">
        <v>378</v>
      </c>
      <c r="M140">
        <f>Inps!M69-Inps!L69</f>
        <v>0</v>
      </c>
      <c r="N140">
        <f>Inps!N69-Inps!M69</f>
        <v>0</v>
      </c>
      <c r="O140">
        <f>Inps!O69-Inps!N69</f>
        <v>0</v>
      </c>
      <c r="P140">
        <f>Inps!P69-Inps!O69</f>
        <v>0</v>
      </c>
      <c r="Q140">
        <f>Inps!Q69-Inps!P69</f>
        <v>0</v>
      </c>
    </row>
    <row r="141" spans="2:17" ht="14.5" outlineLevel="3" thickBot="1" x14ac:dyDescent="0.35">
      <c r="D141" t="s">
        <v>311</v>
      </c>
      <c r="L141" s="55">
        <f>BS!L36</f>
        <v>181606</v>
      </c>
      <c r="M141" s="11">
        <f t="shared" ref="M141:Q141" si="52">SUM(M139:M140)</f>
        <v>181606</v>
      </c>
      <c r="N141" s="11">
        <f t="shared" si="52"/>
        <v>181606</v>
      </c>
      <c r="O141" s="11">
        <f t="shared" si="52"/>
        <v>181606</v>
      </c>
      <c r="P141" s="11">
        <f t="shared" si="52"/>
        <v>181606</v>
      </c>
      <c r="Q141" s="11">
        <f t="shared" si="52"/>
        <v>181606</v>
      </c>
    </row>
    <row r="142" spans="2:17" outlineLevel="3" x14ac:dyDescent="0.3"/>
    <row r="143" spans="2:17" ht="17" outlineLevel="1" thickBot="1" x14ac:dyDescent="0.4">
      <c r="B143" s="8" t="s">
        <v>391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2:17" ht="16.5" outlineLevel="2" thickTop="1" thickBot="1" x14ac:dyDescent="0.4">
      <c r="C144" s="9" t="s">
        <v>392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3:17" ht="14.5" outlineLevel="3" thickBot="1" x14ac:dyDescent="0.35"/>
    <row r="146" spans="3:17" ht="14.5" outlineLevel="3" thickBot="1" x14ac:dyDescent="0.35">
      <c r="D146" t="str">
        <f>Inps!D99</f>
        <v>Monetary Rate</v>
      </c>
      <c r="E146" t="str">
        <f>Inps!E99</f>
        <v>%</v>
      </c>
      <c r="M146" s="53">
        <f>Inps!M99</f>
        <v>0.05</v>
      </c>
      <c r="N146" s="53">
        <f>Inps!N99</f>
        <v>0.06</v>
      </c>
      <c r="O146" s="53">
        <f>Inps!O99</f>
        <v>0.06</v>
      </c>
      <c r="P146" s="53">
        <f>Inps!P99</f>
        <v>0.08</v>
      </c>
      <c r="Q146" s="53">
        <f>Inps!Q99</f>
        <v>0.09</v>
      </c>
    </row>
    <row r="147" spans="3:17" ht="14.5" outlineLevel="3" thickBot="1" x14ac:dyDescent="0.35">
      <c r="D147" t="str">
        <f>Inps!D100</f>
        <v>LIBOR</v>
      </c>
      <c r="E147" t="str">
        <f>Inps!E100</f>
        <v>%</v>
      </c>
      <c r="M147" s="53">
        <f>Inps!M100</f>
        <v>0.08</v>
      </c>
      <c r="N147" s="53">
        <f>Inps!N100</f>
        <v>7.0000000000000007E-2</v>
      </c>
      <c r="O147" s="53">
        <f>Inps!O100</f>
        <v>7.0000000000000007E-2</v>
      </c>
      <c r="P147" s="53">
        <f>Inps!P100</f>
        <v>0.05</v>
      </c>
      <c r="Q147" s="53">
        <f>Inps!Q100</f>
        <v>0.04</v>
      </c>
    </row>
    <row r="148" spans="3:17" ht="14.5" outlineLevel="3" thickBot="1" x14ac:dyDescent="0.35">
      <c r="D148" t="str">
        <f>Inps!D101</f>
        <v>NIBOR</v>
      </c>
      <c r="E148" t="str">
        <f>Inps!E101</f>
        <v>%</v>
      </c>
      <c r="M148" s="53">
        <f>Inps!M101</f>
        <v>0.1</v>
      </c>
      <c r="N148" s="53">
        <f>Inps!N101</f>
        <v>9.0000000000000011E-2</v>
      </c>
      <c r="O148" s="53">
        <f>Inps!O101</f>
        <v>9.0000000000000011E-2</v>
      </c>
      <c r="P148" s="53">
        <f>Inps!P101</f>
        <v>7.0000000000000007E-2</v>
      </c>
      <c r="Q148" s="53">
        <f>Inps!Q101</f>
        <v>0.06</v>
      </c>
    </row>
    <row r="149" spans="3:17" ht="14.5" outlineLevel="3" thickBot="1" x14ac:dyDescent="0.35">
      <c r="D149" t="str">
        <f>Inps!D102</f>
        <v>Interest rate on Cash</v>
      </c>
      <c r="E149" t="str">
        <f>Inps!E102</f>
        <v>%</v>
      </c>
      <c r="M149" s="53">
        <f>Inps!M102</f>
        <v>0.04</v>
      </c>
      <c r="N149" s="53">
        <f>Inps!N102</f>
        <v>0.04</v>
      </c>
      <c r="O149" s="53">
        <f>Inps!O102</f>
        <v>0.04</v>
      </c>
      <c r="P149" s="53">
        <f>Inps!P102</f>
        <v>0.04</v>
      </c>
      <c r="Q149" s="53">
        <f>Inps!Q102</f>
        <v>0.04</v>
      </c>
    </row>
    <row r="150" spans="3:17" ht="14.5" outlineLevel="3" thickBot="1" x14ac:dyDescent="0.35">
      <c r="D150" t="str">
        <f>Inps!D103</f>
        <v>Interest Rate on Revolver</v>
      </c>
      <c r="E150" t="str">
        <f>Inps!E103</f>
        <v>%</v>
      </c>
      <c r="M150" s="53">
        <f>Inps!M103</f>
        <v>0.08</v>
      </c>
      <c r="N150" s="53">
        <f>Inps!N103</f>
        <v>0.08</v>
      </c>
      <c r="O150" s="53">
        <f>Inps!O103</f>
        <v>0.08</v>
      </c>
      <c r="P150" s="53">
        <f>Inps!P103</f>
        <v>0.08</v>
      </c>
      <c r="Q150" s="53">
        <f>Inps!Q103</f>
        <v>0.08</v>
      </c>
    </row>
    <row r="151" spans="3:17" ht="14.5" outlineLevel="3" thickBot="1" x14ac:dyDescent="0.35"/>
    <row r="152" spans="3:17" ht="14.5" outlineLevel="3" thickBot="1" x14ac:dyDescent="0.35">
      <c r="D152" t="str">
        <f>Inps!D14</f>
        <v>Year</v>
      </c>
      <c r="J152" s="76">
        <f>Inps!J14</f>
        <v>2020</v>
      </c>
      <c r="K152" s="76">
        <f>Inps!K14</f>
        <v>2021</v>
      </c>
      <c r="L152" s="76">
        <f>Inps!L14</f>
        <v>2022</v>
      </c>
      <c r="M152" s="76">
        <f>Inps!M14</f>
        <v>2023</v>
      </c>
      <c r="N152" s="76">
        <f>Inps!N14</f>
        <v>2024</v>
      </c>
      <c r="O152" s="76">
        <f>Inps!O14</f>
        <v>2025</v>
      </c>
      <c r="P152" s="76">
        <f>Inps!P14</f>
        <v>2026</v>
      </c>
      <c r="Q152" s="76">
        <f>Inps!Q14</f>
        <v>2027</v>
      </c>
    </row>
    <row r="153" spans="3:17" ht="14.5" outlineLevel="3" thickBot="1" x14ac:dyDescent="0.35"/>
    <row r="154" spans="3:17" ht="15" outlineLevel="3" thickBot="1" x14ac:dyDescent="0.4">
      <c r="D154" t="str">
        <f>Inps!D78</f>
        <v>Dividend payable</v>
      </c>
      <c r="E154" s="20" t="str">
        <f>Inps!E78</f>
        <v>% of EAT</v>
      </c>
      <c r="M154" s="53">
        <f>Inps!M78</f>
        <v>0.14019999999999999</v>
      </c>
      <c r="N154" s="53">
        <f>Inps!N78</f>
        <v>0.14019999999999999</v>
      </c>
      <c r="O154" s="53">
        <f>Inps!O78</f>
        <v>0.14019999999999999</v>
      </c>
      <c r="P154" s="53">
        <f>Inps!P78</f>
        <v>0.14019999999999999</v>
      </c>
      <c r="Q154" s="53">
        <f>Inps!Q78</f>
        <v>0.14019999999999999</v>
      </c>
    </row>
    <row r="155" spans="3:17" ht="15" outlineLevel="3" thickBot="1" x14ac:dyDescent="0.4">
      <c r="D155" t="str">
        <f>Inps!D37</f>
        <v>Dividend Payout Ratio</v>
      </c>
      <c r="E155" s="20" t="str">
        <f>Inps!E37</f>
        <v>Dividend Payout Ratio</v>
      </c>
      <c r="M155" s="53">
        <f>Inps!M37</f>
        <v>0.8</v>
      </c>
      <c r="N155" s="53">
        <f>Inps!N37</f>
        <v>0.8</v>
      </c>
      <c r="O155" s="53">
        <f>Inps!O37</f>
        <v>0.8</v>
      </c>
      <c r="P155" s="53">
        <f>Inps!P37</f>
        <v>0.8</v>
      </c>
      <c r="Q155" s="53">
        <f>Inps!Q37</f>
        <v>0.8</v>
      </c>
    </row>
    <row r="156" spans="3:17" ht="14.5" outlineLevel="3" thickBot="1" x14ac:dyDescent="0.35">
      <c r="D156" t="str">
        <f>IS!D24</f>
        <v>Net Profit</v>
      </c>
      <c r="M156" s="55">
        <f>IS!M24</f>
        <v>44769839.287754387</v>
      </c>
      <c r="N156" s="55">
        <f>IS!N24</f>
        <v>60701083.402534246</v>
      </c>
      <c r="O156" s="55">
        <f>IS!O24</f>
        <v>80135969.232420653</v>
      </c>
      <c r="P156" s="55">
        <f>IS!P24</f>
        <v>106043714.73701975</v>
      </c>
      <c r="Q156" s="55">
        <f>IS!Q24</f>
        <v>141297204.94209915</v>
      </c>
    </row>
    <row r="157" spans="3:17" outlineLevel="3" x14ac:dyDescent="0.3"/>
    <row r="158" spans="3:17" outlineLevel="3" x14ac:dyDescent="0.3"/>
    <row r="159" spans="3:17" ht="16" outlineLevel="2" thickBot="1" x14ac:dyDescent="0.4">
      <c r="C159" s="9" t="str">
        <f>BS!D46</f>
        <v>Dividend payable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3:17" outlineLevel="3" x14ac:dyDescent="0.3">
      <c r="D160" t="s">
        <v>377</v>
      </c>
      <c r="M160">
        <f>L163</f>
        <v>10119609</v>
      </c>
      <c r="N160">
        <f t="shared" ref="N160:Q160" si="53">M163</f>
        <v>6276731.4681431651</v>
      </c>
      <c r="O160">
        <f t="shared" si="53"/>
        <v>8510291.8930353001</v>
      </c>
      <c r="P160">
        <f t="shared" si="53"/>
        <v>11235062.886385374</v>
      </c>
      <c r="Q160">
        <f t="shared" si="53"/>
        <v>14867328.806130171</v>
      </c>
    </row>
    <row r="161" spans="2:17" outlineLevel="3" x14ac:dyDescent="0.3">
      <c r="D161" t="s">
        <v>407</v>
      </c>
      <c r="M161">
        <f>M155*M156</f>
        <v>35815871.430203512</v>
      </c>
      <c r="N161">
        <f t="shared" ref="N161:Q161" si="54">N155*N156</f>
        <v>48560866.722027399</v>
      </c>
      <c r="O161">
        <f t="shared" si="54"/>
        <v>64108775.385936528</v>
      </c>
      <c r="P161">
        <f t="shared" si="54"/>
        <v>84834971.78961581</v>
      </c>
      <c r="Q161">
        <f t="shared" si="54"/>
        <v>113037763.95367932</v>
      </c>
    </row>
    <row r="162" spans="2:17" ht="14.5" outlineLevel="3" thickBot="1" x14ac:dyDescent="0.35">
      <c r="D162" t="s">
        <v>406</v>
      </c>
      <c r="M162">
        <f>M160+M161-M166</f>
        <v>39658748.962060347</v>
      </c>
      <c r="N162">
        <f t="shared" ref="N162:Q162" si="55">N160+N161-N166</f>
        <v>46327306.297135264</v>
      </c>
      <c r="O162">
        <f t="shared" si="55"/>
        <v>61384004.392586447</v>
      </c>
      <c r="P162">
        <f t="shared" si="55"/>
        <v>81202705.86987102</v>
      </c>
      <c r="Q162">
        <f t="shared" si="55"/>
        <v>108095224.6269272</v>
      </c>
    </row>
    <row r="163" spans="2:17" ht="14.5" outlineLevel="3" thickBot="1" x14ac:dyDescent="0.35">
      <c r="D163" t="s">
        <v>311</v>
      </c>
      <c r="L163" s="55">
        <f>BS!L46</f>
        <v>10119609</v>
      </c>
      <c r="M163" s="11">
        <f>M160+M161-M162</f>
        <v>6276731.4681431651</v>
      </c>
      <c r="N163" s="11">
        <f t="shared" ref="N163:Q163" si="56">N160+N161-N162</f>
        <v>8510291.8930353001</v>
      </c>
      <c r="O163" s="11">
        <f t="shared" si="56"/>
        <v>11235062.886385374</v>
      </c>
      <c r="P163" s="11">
        <f t="shared" si="56"/>
        <v>14867328.806130171</v>
      </c>
      <c r="Q163" s="11">
        <f t="shared" si="56"/>
        <v>19809868.132882297</v>
      </c>
    </row>
    <row r="164" spans="2:17" outlineLevel="3" x14ac:dyDescent="0.3"/>
    <row r="165" spans="2:17" outlineLevel="3" x14ac:dyDescent="0.3">
      <c r="D165" t="s">
        <v>408</v>
      </c>
    </row>
    <row r="166" spans="2:17" outlineLevel="3" x14ac:dyDescent="0.3">
      <c r="M166">
        <f>M154*M156</f>
        <v>6276731.4681431642</v>
      </c>
      <c r="N166">
        <f t="shared" ref="N166:Q166" si="57">N154*N156</f>
        <v>8510291.8930353001</v>
      </c>
      <c r="O166">
        <f t="shared" si="57"/>
        <v>11235062.886385376</v>
      </c>
      <c r="P166">
        <f t="shared" si="57"/>
        <v>14867328.806130167</v>
      </c>
      <c r="Q166">
        <f t="shared" si="57"/>
        <v>19809868.132882301</v>
      </c>
    </row>
    <row r="167" spans="2:17" outlineLevel="3" x14ac:dyDescent="0.3"/>
    <row r="168" spans="2:17" ht="17" outlineLevel="1" thickBot="1" x14ac:dyDescent="0.4">
      <c r="B168" s="8" t="s">
        <v>409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2:17" ht="15" outlineLevel="2" thickTop="1" x14ac:dyDescent="0.35">
      <c r="C169" s="20" t="s">
        <v>412</v>
      </c>
    </row>
    <row r="170" spans="2:17" ht="16" outlineLevel="2" thickBot="1" x14ac:dyDescent="0.4">
      <c r="C170" s="9" t="s">
        <v>415</v>
      </c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2:17" outlineLevel="3" x14ac:dyDescent="0.3"/>
    <row r="172" spans="2:17" outlineLevel="3" x14ac:dyDescent="0.3">
      <c r="D172" t="s">
        <v>410</v>
      </c>
      <c r="M172">
        <f>L175</f>
        <v>155300068</v>
      </c>
      <c r="N172">
        <f t="shared" ref="N172:Q172" si="58">M175</f>
        <v>152006556</v>
      </c>
      <c r="O172">
        <f t="shared" si="58"/>
        <v>153006556</v>
      </c>
      <c r="P172">
        <f t="shared" si="58"/>
        <v>154006556</v>
      </c>
      <c r="Q172">
        <f t="shared" si="58"/>
        <v>156006556</v>
      </c>
    </row>
    <row r="173" spans="2:17" outlineLevel="3" x14ac:dyDescent="0.3">
      <c r="D173" t="s">
        <v>413</v>
      </c>
      <c r="M173">
        <f>M182+M202+M222+M242+M262+M282+M302+M322+M342+M360</f>
        <v>5000000</v>
      </c>
      <c r="N173">
        <f>N182+N202+N222+N242+N262+N282+N302+N322+N342+N360</f>
        <v>1000000</v>
      </c>
      <c r="O173">
        <f>O182+O202+O222+O242+O262+O282+O302+O322+O342+O360</f>
        <v>6000000</v>
      </c>
      <c r="P173">
        <f>P182+P202+P222+P242+P262+P282+P302+P322+P342+P360</f>
        <v>3000000</v>
      </c>
      <c r="Q173">
        <f>Q182+Q202+Q222+Q242+Q262+Q282+Q302+Q322+Q342+Q360</f>
        <v>2000000</v>
      </c>
    </row>
    <row r="174" spans="2:17" ht="14.5" outlineLevel="3" thickBot="1" x14ac:dyDescent="0.35">
      <c r="D174" t="s">
        <v>414</v>
      </c>
      <c r="M174">
        <f t="shared" ref="M174:Q174" si="59">M183+M203+M223+M243+M263+M283+M303+M323</f>
        <v>8293512</v>
      </c>
      <c r="N174">
        <f t="shared" si="59"/>
        <v>0</v>
      </c>
      <c r="O174">
        <f t="shared" si="59"/>
        <v>5000000</v>
      </c>
      <c r="P174">
        <f t="shared" si="59"/>
        <v>1000000</v>
      </c>
      <c r="Q174">
        <f t="shared" si="59"/>
        <v>109589709</v>
      </c>
    </row>
    <row r="175" spans="2:17" ht="14.5" outlineLevel="3" thickBot="1" x14ac:dyDescent="0.35">
      <c r="D175" t="s">
        <v>311</v>
      </c>
      <c r="L175" s="55">
        <f>L184+L204+L224+L244+L264+L284+L304+L324</f>
        <v>155300068</v>
      </c>
      <c r="M175" s="11">
        <f>M172+M173-M174</f>
        <v>152006556</v>
      </c>
      <c r="N175" s="11">
        <f t="shared" ref="N175:Q175" si="60">N172+N173-N174</f>
        <v>153006556</v>
      </c>
      <c r="O175" s="11">
        <f>O172+O173-O174</f>
        <v>154006556</v>
      </c>
      <c r="P175" s="11">
        <f t="shared" si="60"/>
        <v>156006556</v>
      </c>
      <c r="Q175" s="11">
        <f t="shared" si="60"/>
        <v>48416847</v>
      </c>
    </row>
    <row r="176" spans="2:17" outlineLevel="3" x14ac:dyDescent="0.3"/>
    <row r="177" spans="3:17" ht="14.5" outlineLevel="3" thickBot="1" x14ac:dyDescent="0.35">
      <c r="D177" t="s">
        <v>443</v>
      </c>
      <c r="M177" s="11">
        <f>M196+M216+M236+M256+M276+M296+M316+M336+M356+M374</f>
        <v>25327742.790000003</v>
      </c>
      <c r="N177" s="11">
        <f>N196+N216+N236+N256+N276+N296+N316+N336+N356+N374</f>
        <v>23564196.27</v>
      </c>
      <c r="O177" s="11">
        <f>O196+O216+O236+O256+O276+O296+O316+O336+O356+O374</f>
        <v>23844196.27</v>
      </c>
      <c r="P177" s="11">
        <f>P196+P216+P236+P256+P276+P296+P316+P336+P356+P374</f>
        <v>21049065.150000002</v>
      </c>
      <c r="Q177" s="11">
        <f>Q196+Q216+Q236+Q256+Q276+Q296+Q316+Q336+Q356+Q374</f>
        <v>12495151.034999998</v>
      </c>
    </row>
    <row r="178" spans="3:17" ht="14.5" outlineLevel="3" thickTop="1" x14ac:dyDescent="0.3">
      <c r="D178" s="29" t="s">
        <v>433</v>
      </c>
      <c r="J178">
        <f>IF(L175=BS!L34,0,1)</f>
        <v>0</v>
      </c>
    </row>
    <row r="179" spans="3:17" outlineLevel="3" x14ac:dyDescent="0.3"/>
    <row r="180" spans="3:17" ht="16" outlineLevel="2" thickBot="1" x14ac:dyDescent="0.4">
      <c r="C180" s="9" t="s">
        <v>416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3:17" outlineLevel="3" x14ac:dyDescent="0.3">
      <c r="D181" t="s">
        <v>410</v>
      </c>
      <c r="M181">
        <f>L184</f>
        <v>58570728</v>
      </c>
      <c r="N181">
        <f t="shared" ref="N181:Q181" si="61">M184</f>
        <v>58570728</v>
      </c>
      <c r="O181">
        <f t="shared" si="61"/>
        <v>58570728</v>
      </c>
      <c r="P181">
        <f t="shared" si="61"/>
        <v>58570728</v>
      </c>
      <c r="Q181">
        <f t="shared" si="61"/>
        <v>58570728</v>
      </c>
    </row>
    <row r="182" spans="3:17" outlineLevel="3" x14ac:dyDescent="0.3">
      <c r="D182" t="s">
        <v>417</v>
      </c>
      <c r="M182">
        <f>M187*$G192</f>
        <v>0</v>
      </c>
      <c r="N182">
        <f t="shared" ref="N182:Q182" si="62">N187*$G192</f>
        <v>0</v>
      </c>
      <c r="O182">
        <f t="shared" si="62"/>
        <v>0</v>
      </c>
      <c r="P182">
        <f t="shared" si="62"/>
        <v>0</v>
      </c>
      <c r="Q182">
        <f t="shared" si="62"/>
        <v>0</v>
      </c>
    </row>
    <row r="183" spans="3:17" ht="14.5" outlineLevel="3" thickBot="1" x14ac:dyDescent="0.35">
      <c r="D183" t="s">
        <v>418</v>
      </c>
      <c r="M183">
        <f>$G192*M188</f>
        <v>0</v>
      </c>
      <c r="N183">
        <f t="shared" ref="N183:Q183" si="63">$G192*N188</f>
        <v>0</v>
      </c>
      <c r="O183">
        <f t="shared" si="63"/>
        <v>0</v>
      </c>
      <c r="P183">
        <f t="shared" si="63"/>
        <v>0</v>
      </c>
      <c r="Q183">
        <f t="shared" si="63"/>
        <v>58570728</v>
      </c>
    </row>
    <row r="184" spans="3:17" ht="14.5" outlineLevel="3" thickBot="1" x14ac:dyDescent="0.35">
      <c r="D184" t="s">
        <v>311</v>
      </c>
      <c r="L184" s="55">
        <f>(G187&lt;=L$152)*G192</f>
        <v>58570728</v>
      </c>
      <c r="M184" s="11">
        <f>M181+M182-M183</f>
        <v>58570728</v>
      </c>
      <c r="N184" s="11">
        <f t="shared" ref="N184:Q184" si="64">N181+N182-N183</f>
        <v>58570728</v>
      </c>
      <c r="O184" s="11">
        <f t="shared" si="64"/>
        <v>58570728</v>
      </c>
      <c r="P184" s="11">
        <f t="shared" si="64"/>
        <v>58570728</v>
      </c>
      <c r="Q184" s="11">
        <f t="shared" si="64"/>
        <v>0</v>
      </c>
    </row>
    <row r="185" spans="3:17" outlineLevel="3" x14ac:dyDescent="0.3">
      <c r="F185" s="71" t="str" cm="1">
        <f t="array" ref="F185:F192">TRANSPOSE(Inps!$C$85:$J$85)</f>
        <v>S/N</v>
      </c>
      <c r="G185" s="72">
        <v>1</v>
      </c>
    </row>
    <row r="186" spans="3:17" outlineLevel="3" x14ac:dyDescent="0.3">
      <c r="F186" s="60" t="str">
        <v>Name of the Loans</v>
      </c>
      <c r="G186" s="73" t="str">
        <f>VLOOKUP(Calc!G185,Inps!$C$85:$J$95,MATCH(Calc!F186,Inps!$C$85:$J$85,0))</f>
        <v>Loan from related party</v>
      </c>
    </row>
    <row r="187" spans="3:17" outlineLevel="3" x14ac:dyDescent="0.3">
      <c r="F187" s="60" t="str">
        <v>Issue Year</v>
      </c>
      <c r="G187" s="74">
        <f>VLOOKUP(Calc!G185,Inps!$C$85:$J$95,MATCH(Calc!F187,Inps!$C$85:$J$85,0))</f>
        <v>0</v>
      </c>
      <c r="K187" s="24"/>
      <c r="L187" s="24" t="s">
        <v>420</v>
      </c>
      <c r="M187" s="28">
        <f>($G187=M$152)*1</f>
        <v>0</v>
      </c>
      <c r="N187" s="28">
        <f t="shared" ref="N187:Q188" si="65">($G187=N$152)*1</f>
        <v>0</v>
      </c>
      <c r="O187" s="28">
        <f t="shared" si="65"/>
        <v>0</v>
      </c>
      <c r="P187" s="28">
        <f t="shared" si="65"/>
        <v>0</v>
      </c>
      <c r="Q187" s="28">
        <f t="shared" si="65"/>
        <v>0</v>
      </c>
    </row>
    <row r="188" spans="3:17" outlineLevel="3" x14ac:dyDescent="0.3">
      <c r="F188" s="60" t="str">
        <v>Due Year</v>
      </c>
      <c r="G188" s="74">
        <f>VLOOKUP(Calc!G185,Inps!$C$85:$J$95,MATCH(Calc!F188,Inps!$C$85:$J$85,0))</f>
        <v>2027</v>
      </c>
      <c r="K188" s="24"/>
      <c r="L188" s="24" t="s">
        <v>421</v>
      </c>
      <c r="M188" s="28">
        <f>($G188=M$152)*1</f>
        <v>0</v>
      </c>
      <c r="N188" s="28">
        <f t="shared" si="65"/>
        <v>0</v>
      </c>
      <c r="O188" s="28">
        <f t="shared" si="65"/>
        <v>0</v>
      </c>
      <c r="P188" s="28">
        <f t="shared" si="65"/>
        <v>0</v>
      </c>
      <c r="Q188" s="28">
        <f t="shared" si="65"/>
        <v>1</v>
      </c>
    </row>
    <row r="189" spans="3:17" outlineLevel="3" x14ac:dyDescent="0.3">
      <c r="F189" s="60" t="str">
        <v>Category</v>
      </c>
      <c r="G189" s="73" t="str">
        <f>VLOOKUP(Calc!G185,Inps!$C$85:$J$95,MATCH(Calc!F189,Inps!$C$85:$J$85,0))</f>
        <v>Floating</v>
      </c>
      <c r="K189" s="24"/>
      <c r="L189" s="24"/>
    </row>
    <row r="190" spans="3:17" outlineLevel="3" x14ac:dyDescent="0.3">
      <c r="F190" s="60" t="str">
        <v>Benchmark</v>
      </c>
      <c r="G190" s="73" t="str">
        <f>VLOOKUP(Calc!G185,Inps!$C$85:$J$95,MATCH(Calc!F190,Inps!$C$85:$J$85,0))</f>
        <v>LIBOR</v>
      </c>
      <c r="K190" s="24"/>
      <c r="L190" s="24"/>
    </row>
    <row r="191" spans="3:17" outlineLevel="3" x14ac:dyDescent="0.3">
      <c r="F191" s="60" t="str">
        <v xml:space="preserve">Rate </v>
      </c>
      <c r="G191" s="77">
        <f>VLOOKUP(Calc!G185,Inps!$C$85:$J$95,MATCH(Calc!F191,Inps!$C$85:$J$85,0))</f>
        <v>0.11</v>
      </c>
      <c r="K191" s="24" t="s">
        <v>422</v>
      </c>
      <c r="L191" s="24" t="str">
        <f>G189</f>
        <v>Floating</v>
      </c>
      <c r="M191" t="b">
        <f>$G189=Floating</f>
        <v>1</v>
      </c>
      <c r="N191" t="b">
        <f t="shared" ref="N191:Q191" si="66">$G189=Floating</f>
        <v>1</v>
      </c>
      <c r="O191" t="b">
        <f t="shared" si="66"/>
        <v>1</v>
      </c>
      <c r="P191" t="b">
        <f t="shared" si="66"/>
        <v>1</v>
      </c>
      <c r="Q191" t="b">
        <f t="shared" si="66"/>
        <v>1</v>
      </c>
    </row>
    <row r="192" spans="3:17" outlineLevel="3" x14ac:dyDescent="0.3">
      <c r="F192" s="63" t="str">
        <v>Amount(2019)</v>
      </c>
      <c r="G192" s="75">
        <f>VLOOKUP(Calc!G185,Inps!$C$85:$J$95,MATCH(Calc!F192,Inps!$C$85:$J$85,0))</f>
        <v>58570728</v>
      </c>
      <c r="K192" s="24" t="s">
        <v>423</v>
      </c>
      <c r="L192" s="24" t="str">
        <f>G190</f>
        <v>LIBOR</v>
      </c>
      <c r="M192" s="2">
        <f>IFERROR(INDEX(M$146:M$148,MATCH($L192,$D$146:$D$148)),0)</f>
        <v>0.08</v>
      </c>
      <c r="N192" s="2">
        <f t="shared" ref="N192:Q192" si="67">IFERROR(INDEX(N$146:N$148,MATCH($L192,$D$146:$D$148)),0)</f>
        <v>7.0000000000000007E-2</v>
      </c>
      <c r="O192" s="2">
        <f t="shared" si="67"/>
        <v>7.0000000000000007E-2</v>
      </c>
      <c r="P192" s="2">
        <f t="shared" si="67"/>
        <v>0.05</v>
      </c>
      <c r="Q192" s="2">
        <f t="shared" si="67"/>
        <v>0.04</v>
      </c>
    </row>
    <row r="193" spans="3:18" outlineLevel="3" x14ac:dyDescent="0.3">
      <c r="K193" s="24"/>
      <c r="L193" s="24" t="s">
        <v>424</v>
      </c>
      <c r="M193" s="2">
        <f>$G191</f>
        <v>0.11</v>
      </c>
      <c r="N193" s="2">
        <f t="shared" ref="N193:Q193" si="68">$G191</f>
        <v>0.11</v>
      </c>
      <c r="O193" s="2">
        <f t="shared" si="68"/>
        <v>0.11</v>
      </c>
      <c r="P193" s="2">
        <f t="shared" si="68"/>
        <v>0.11</v>
      </c>
      <c r="Q193" s="2">
        <f t="shared" si="68"/>
        <v>0.11</v>
      </c>
    </row>
    <row r="194" spans="3:18" outlineLevel="3" x14ac:dyDescent="0.3"/>
    <row r="195" spans="3:18" outlineLevel="3" x14ac:dyDescent="0.3"/>
    <row r="196" spans="3:18" outlineLevel="3" x14ac:dyDescent="0.3">
      <c r="D196" t="s">
        <v>411</v>
      </c>
      <c r="L196" s="24" t="str">
        <f>D196</f>
        <v>Total Interest Expense</v>
      </c>
      <c r="M196">
        <f>AVERAGE(L184:M184)*M197</f>
        <v>11128438.32</v>
      </c>
      <c r="N196">
        <f t="shared" ref="N196:Q196" si="69">AVERAGE(M184:N184)*N197</f>
        <v>10542731.039999999</v>
      </c>
      <c r="O196">
        <f t="shared" si="69"/>
        <v>10542731.039999999</v>
      </c>
      <c r="P196">
        <f t="shared" si="69"/>
        <v>9371316.4800000004</v>
      </c>
      <c r="Q196">
        <f t="shared" si="69"/>
        <v>4392804.5999999996</v>
      </c>
      <c r="R196" t="s">
        <v>425</v>
      </c>
    </row>
    <row r="197" spans="3:18" outlineLevel="3" x14ac:dyDescent="0.3">
      <c r="D197" t="s">
        <v>393</v>
      </c>
      <c r="L197" s="24" t="str">
        <f>D197</f>
        <v>Interest Rate</v>
      </c>
      <c r="M197" s="2">
        <f>M193+M192*M191</f>
        <v>0.19</v>
      </c>
      <c r="N197" s="2">
        <f t="shared" ref="N197:Q197" si="70">N193+N192*N191</f>
        <v>0.18</v>
      </c>
      <c r="O197" s="2">
        <f t="shared" si="70"/>
        <v>0.18</v>
      </c>
      <c r="P197" s="2">
        <f t="shared" si="70"/>
        <v>0.16</v>
      </c>
      <c r="Q197" s="2">
        <f t="shared" si="70"/>
        <v>0.15</v>
      </c>
    </row>
    <row r="198" spans="3:18" outlineLevel="3" x14ac:dyDescent="0.3"/>
    <row r="199" spans="3:18" outlineLevel="3" x14ac:dyDescent="0.3"/>
    <row r="200" spans="3:18" ht="16" outlineLevel="2" thickBot="1" x14ac:dyDescent="0.4">
      <c r="C200" s="9" t="s">
        <v>426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3:18" outlineLevel="3" x14ac:dyDescent="0.3">
      <c r="D201" t="s">
        <v>410</v>
      </c>
      <c r="M201">
        <f>L204</f>
        <v>51018981</v>
      </c>
      <c r="N201">
        <f t="shared" ref="N201" si="71">M204</f>
        <v>51018981</v>
      </c>
      <c r="O201">
        <f t="shared" ref="O201" si="72">N204</f>
        <v>51018981</v>
      </c>
      <c r="P201">
        <f t="shared" ref="P201" si="73">O204</f>
        <v>51018981</v>
      </c>
      <c r="Q201">
        <f t="shared" ref="Q201" si="74">P204</f>
        <v>51018981</v>
      </c>
    </row>
    <row r="202" spans="3:18" outlineLevel="3" x14ac:dyDescent="0.3">
      <c r="D202" t="s">
        <v>417</v>
      </c>
      <c r="M202">
        <f>M207*$G212</f>
        <v>0</v>
      </c>
      <c r="N202">
        <f t="shared" ref="N202:Q202" si="75">N207*$G212</f>
        <v>0</v>
      </c>
      <c r="O202">
        <f t="shared" si="75"/>
        <v>0</v>
      </c>
      <c r="P202">
        <f t="shared" si="75"/>
        <v>0</v>
      </c>
      <c r="Q202">
        <f t="shared" si="75"/>
        <v>0</v>
      </c>
    </row>
    <row r="203" spans="3:18" ht="14.5" outlineLevel="3" thickBot="1" x14ac:dyDescent="0.35">
      <c r="D203" t="s">
        <v>418</v>
      </c>
      <c r="M203">
        <f>$G212*M208</f>
        <v>0</v>
      </c>
      <c r="N203">
        <f t="shared" ref="N203:Q203" si="76">$G212*N208</f>
        <v>0</v>
      </c>
      <c r="O203">
        <f t="shared" si="76"/>
        <v>0</v>
      </c>
      <c r="P203">
        <f t="shared" si="76"/>
        <v>0</v>
      </c>
      <c r="Q203">
        <f t="shared" si="76"/>
        <v>51018981</v>
      </c>
    </row>
    <row r="204" spans="3:18" ht="14.5" outlineLevel="3" thickBot="1" x14ac:dyDescent="0.35">
      <c r="D204" t="s">
        <v>311</v>
      </c>
      <c r="L204" s="55">
        <f>(G207&lt;=L$152)*G212</f>
        <v>51018981</v>
      </c>
      <c r="M204" s="11">
        <f>M201+M202-M203</f>
        <v>51018981</v>
      </c>
      <c r="N204" s="11">
        <f t="shared" ref="N204:Q204" si="77">N201+N202-N203</f>
        <v>51018981</v>
      </c>
      <c r="O204" s="11">
        <f t="shared" si="77"/>
        <v>51018981</v>
      </c>
      <c r="P204" s="11">
        <f t="shared" si="77"/>
        <v>51018981</v>
      </c>
      <c r="Q204" s="11">
        <f t="shared" si="77"/>
        <v>0</v>
      </c>
    </row>
    <row r="205" spans="3:18" outlineLevel="3" x14ac:dyDescent="0.3">
      <c r="F205" s="71" t="str" cm="1">
        <f t="array" ref="F205:F212">TRANSPOSE(Inps!$C$85:$J$85)</f>
        <v>S/N</v>
      </c>
      <c r="G205" s="72">
        <v>2</v>
      </c>
    </row>
    <row r="206" spans="3:18" outlineLevel="3" x14ac:dyDescent="0.3">
      <c r="F206" s="60" t="str">
        <v>Name of the Loans</v>
      </c>
      <c r="G206" s="73" t="str">
        <f>VLOOKUP(Calc!G205,Inps!$C$85:$J$95,MATCH(Calc!F206,Inps!$C$85:$J$85,0))</f>
        <v>Loan from related party</v>
      </c>
    </row>
    <row r="207" spans="3:18" outlineLevel="3" x14ac:dyDescent="0.3">
      <c r="F207" s="60" t="str">
        <v>Issue Year</v>
      </c>
      <c r="G207" s="74">
        <f>VLOOKUP(Calc!G205,Inps!$C$85:$J$95,MATCH(Calc!F207,Inps!$C$85:$J$85,0))</f>
        <v>0</v>
      </c>
      <c r="K207" s="24"/>
      <c r="L207" s="24" t="s">
        <v>420</v>
      </c>
      <c r="M207" s="28">
        <f>($G207=M$152)*1</f>
        <v>0</v>
      </c>
      <c r="N207" s="28">
        <f t="shared" ref="N207:Q208" si="78">($G207=N$152)*1</f>
        <v>0</v>
      </c>
      <c r="O207" s="28">
        <f t="shared" si="78"/>
        <v>0</v>
      </c>
      <c r="P207" s="28">
        <f t="shared" si="78"/>
        <v>0</v>
      </c>
      <c r="Q207" s="28">
        <f t="shared" si="78"/>
        <v>0</v>
      </c>
    </row>
    <row r="208" spans="3:18" outlineLevel="3" x14ac:dyDescent="0.3">
      <c r="F208" s="60" t="str">
        <v>Due Year</v>
      </c>
      <c r="G208" s="74">
        <f>VLOOKUP(Calc!G205,Inps!$C$85:$J$95,MATCH(Calc!F208,Inps!$C$85:$J$85,0))</f>
        <v>2027</v>
      </c>
      <c r="K208" s="24"/>
      <c r="L208" s="24" t="s">
        <v>421</v>
      </c>
      <c r="M208" s="28">
        <f>($G208=M$152)*1</f>
        <v>0</v>
      </c>
      <c r="N208" s="28">
        <f t="shared" si="78"/>
        <v>0</v>
      </c>
      <c r="O208" s="28">
        <f t="shared" si="78"/>
        <v>0</v>
      </c>
      <c r="P208" s="28">
        <f t="shared" si="78"/>
        <v>0</v>
      </c>
      <c r="Q208" s="28">
        <f t="shared" si="78"/>
        <v>1</v>
      </c>
    </row>
    <row r="209" spans="3:18" outlineLevel="3" x14ac:dyDescent="0.3">
      <c r="F209" s="60" t="str">
        <v>Category</v>
      </c>
      <c r="G209" s="73" t="str">
        <f>VLOOKUP(Calc!G205,Inps!$C$85:$J$95,MATCH(Calc!F209,Inps!$C$85:$J$85,0))</f>
        <v>Floating</v>
      </c>
      <c r="K209" s="24"/>
      <c r="L209" s="24"/>
    </row>
    <row r="210" spans="3:18" outlineLevel="3" x14ac:dyDescent="0.3">
      <c r="F210" s="60" t="str">
        <v>Benchmark</v>
      </c>
      <c r="G210" s="73" t="str">
        <f>VLOOKUP(Calc!G205,Inps!$C$85:$J$95,MATCH(Calc!F210,Inps!$C$85:$J$85,0))</f>
        <v>LIBOR</v>
      </c>
      <c r="K210" s="24"/>
      <c r="L210" s="24"/>
    </row>
    <row r="211" spans="3:18" outlineLevel="3" x14ac:dyDescent="0.3">
      <c r="F211" s="60" t="str">
        <v xml:space="preserve">Rate </v>
      </c>
      <c r="G211" s="77">
        <f>VLOOKUP(Calc!G205,Inps!$C$85:$J$95,MATCH(Calc!F211,Inps!$C$85:$J$85,0))</f>
        <v>7.0000000000000007E-2</v>
      </c>
      <c r="K211" s="24" t="s">
        <v>422</v>
      </c>
      <c r="L211" s="24" t="str">
        <f>G209</f>
        <v>Floating</v>
      </c>
      <c r="M211" t="b">
        <f>$G209=Floating</f>
        <v>1</v>
      </c>
      <c r="N211" t="b">
        <f t="shared" ref="N211:Q211" si="79">$G209=Floating</f>
        <v>1</v>
      </c>
      <c r="O211" t="b">
        <f t="shared" si="79"/>
        <v>1</v>
      </c>
      <c r="P211" t="b">
        <f t="shared" si="79"/>
        <v>1</v>
      </c>
      <c r="Q211" t="b">
        <f t="shared" si="79"/>
        <v>1</v>
      </c>
    </row>
    <row r="212" spans="3:18" outlineLevel="3" x14ac:dyDescent="0.3">
      <c r="F212" s="63" t="str">
        <v>Amount(2019)</v>
      </c>
      <c r="G212" s="75">
        <f>VLOOKUP(Calc!G205,Inps!$C$85:$J$95,MATCH(Calc!F212,Inps!$C$85:$J$85,0))</f>
        <v>51018981</v>
      </c>
      <c r="K212" s="24" t="s">
        <v>423</v>
      </c>
      <c r="L212" s="24" t="str">
        <f>G210</f>
        <v>LIBOR</v>
      </c>
      <c r="M212" s="2">
        <f>IFERROR(INDEX(M$146:M$148,MATCH($L212,$D$146:$D$148)),0)</f>
        <v>0.08</v>
      </c>
      <c r="N212" s="2">
        <f t="shared" ref="N212:Q212" si="80">IFERROR(INDEX(N$146:N$148,MATCH($L212,$D$146:$D$148)),0)</f>
        <v>7.0000000000000007E-2</v>
      </c>
      <c r="O212" s="2">
        <f t="shared" si="80"/>
        <v>7.0000000000000007E-2</v>
      </c>
      <c r="P212" s="2">
        <f t="shared" si="80"/>
        <v>0.05</v>
      </c>
      <c r="Q212" s="2">
        <f t="shared" si="80"/>
        <v>0.04</v>
      </c>
    </row>
    <row r="213" spans="3:18" outlineLevel="3" x14ac:dyDescent="0.3">
      <c r="K213" s="24"/>
      <c r="L213" s="24" t="s">
        <v>424</v>
      </c>
      <c r="M213" s="2">
        <f>$G211</f>
        <v>7.0000000000000007E-2</v>
      </c>
      <c r="N213" s="2">
        <f t="shared" ref="N213:Q213" si="81">$G211</f>
        <v>7.0000000000000007E-2</v>
      </c>
      <c r="O213" s="2">
        <f t="shared" si="81"/>
        <v>7.0000000000000007E-2</v>
      </c>
      <c r="P213" s="2">
        <f t="shared" si="81"/>
        <v>7.0000000000000007E-2</v>
      </c>
      <c r="Q213" s="2">
        <f t="shared" si="81"/>
        <v>7.0000000000000007E-2</v>
      </c>
    </row>
    <row r="214" spans="3:18" outlineLevel="3" x14ac:dyDescent="0.3"/>
    <row r="215" spans="3:18" outlineLevel="3" x14ac:dyDescent="0.3"/>
    <row r="216" spans="3:18" outlineLevel="3" x14ac:dyDescent="0.3">
      <c r="D216" t="s">
        <v>411</v>
      </c>
      <c r="L216" s="24" t="str">
        <f>D216</f>
        <v>Total Interest Expense</v>
      </c>
      <c r="M216">
        <f>AVERAGE(L204:M204)*M217</f>
        <v>7652847.1500000013</v>
      </c>
      <c r="N216">
        <f t="shared" ref="N216" si="82">AVERAGE(M204:N204)*N217</f>
        <v>7142657.3400000008</v>
      </c>
      <c r="O216">
        <f t="shared" ref="O216" si="83">AVERAGE(N204:O204)*O217</f>
        <v>7142657.3400000008</v>
      </c>
      <c r="P216">
        <f t="shared" ref="P216" si="84">AVERAGE(O204:P204)*P217</f>
        <v>6122277.7200000007</v>
      </c>
      <c r="Q216">
        <f t="shared" ref="Q216" si="85">AVERAGE(P204:Q204)*Q217</f>
        <v>2806043.9550000005</v>
      </c>
      <c r="R216" t="s">
        <v>425</v>
      </c>
    </row>
    <row r="217" spans="3:18" outlineLevel="3" x14ac:dyDescent="0.3">
      <c r="D217" t="s">
        <v>393</v>
      </c>
      <c r="L217" s="24" t="str">
        <f>D217</f>
        <v>Interest Rate</v>
      </c>
      <c r="M217" s="2">
        <f>M213+M212*M211</f>
        <v>0.15000000000000002</v>
      </c>
      <c r="N217" s="2">
        <f t="shared" ref="N217:Q217" si="86">N213+N212*N211</f>
        <v>0.14000000000000001</v>
      </c>
      <c r="O217" s="2">
        <f t="shared" si="86"/>
        <v>0.14000000000000001</v>
      </c>
      <c r="P217" s="2">
        <f t="shared" si="86"/>
        <v>0.12000000000000001</v>
      </c>
      <c r="Q217" s="2">
        <f t="shared" si="86"/>
        <v>0.11000000000000001</v>
      </c>
    </row>
    <row r="218" spans="3:18" outlineLevel="3" x14ac:dyDescent="0.3"/>
    <row r="219" spans="3:18" outlineLevel="3" x14ac:dyDescent="0.3"/>
    <row r="220" spans="3:18" ht="16" outlineLevel="2" thickBot="1" x14ac:dyDescent="0.4">
      <c r="C220" s="9" t="s">
        <v>427</v>
      </c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3:18" outlineLevel="3" x14ac:dyDescent="0.3">
      <c r="D221" t="s">
        <v>410</v>
      </c>
      <c r="M221">
        <f>L224</f>
        <v>23754913</v>
      </c>
      <c r="N221">
        <f t="shared" ref="N221" si="87">M224</f>
        <v>23754913</v>
      </c>
      <c r="O221">
        <f t="shared" ref="O221" si="88">N224</f>
        <v>23754913</v>
      </c>
      <c r="P221">
        <f t="shared" ref="P221" si="89">O224</f>
        <v>23754913</v>
      </c>
      <c r="Q221">
        <f t="shared" ref="Q221" si="90">P224</f>
        <v>23754913</v>
      </c>
    </row>
    <row r="222" spans="3:18" outlineLevel="3" x14ac:dyDescent="0.3">
      <c r="D222" t="s">
        <v>417</v>
      </c>
      <c r="M222">
        <f>M227*$G232</f>
        <v>0</v>
      </c>
      <c r="N222">
        <f t="shared" ref="N222:Q222" si="91">N227*$G232</f>
        <v>0</v>
      </c>
      <c r="O222">
        <f t="shared" si="91"/>
        <v>0</v>
      </c>
      <c r="P222">
        <f t="shared" si="91"/>
        <v>0</v>
      </c>
      <c r="Q222">
        <f t="shared" si="91"/>
        <v>0</v>
      </c>
    </row>
    <row r="223" spans="3:18" ht="14.5" outlineLevel="3" thickBot="1" x14ac:dyDescent="0.35">
      <c r="D223" t="s">
        <v>418</v>
      </c>
      <c r="M223">
        <f>$G232*M228</f>
        <v>0</v>
      </c>
      <c r="N223">
        <f t="shared" ref="N223:Q223" si="92">$G232*N228</f>
        <v>0</v>
      </c>
      <c r="O223">
        <f t="shared" si="92"/>
        <v>0</v>
      </c>
      <c r="P223">
        <f t="shared" si="92"/>
        <v>0</v>
      </c>
      <c r="Q223">
        <f t="shared" si="92"/>
        <v>0</v>
      </c>
    </row>
    <row r="224" spans="3:18" ht="14.5" outlineLevel="3" thickBot="1" x14ac:dyDescent="0.35">
      <c r="D224" t="s">
        <v>311</v>
      </c>
      <c r="L224" s="55">
        <f>(G227&lt;=L$152)*G232</f>
        <v>23754913</v>
      </c>
      <c r="M224" s="11">
        <f>M221+M222-M223</f>
        <v>23754913</v>
      </c>
      <c r="N224" s="11">
        <f t="shared" ref="N224:Q224" si="93">N221+N222-N223</f>
        <v>23754913</v>
      </c>
      <c r="O224" s="11">
        <f t="shared" si="93"/>
        <v>23754913</v>
      </c>
      <c r="P224" s="11">
        <f t="shared" si="93"/>
        <v>23754913</v>
      </c>
      <c r="Q224" s="11">
        <f t="shared" si="93"/>
        <v>23754913</v>
      </c>
    </row>
    <row r="225" spans="3:18" outlineLevel="3" x14ac:dyDescent="0.3">
      <c r="F225" s="71" t="str" cm="1">
        <f t="array" ref="F225:F232">TRANSPOSE(Inps!$C$85:$J$85)</f>
        <v>S/N</v>
      </c>
      <c r="G225" s="72">
        <v>3</v>
      </c>
    </row>
    <row r="226" spans="3:18" outlineLevel="3" x14ac:dyDescent="0.3">
      <c r="F226" s="60" t="str">
        <v>Name of the Loans</v>
      </c>
      <c r="G226" s="73" t="str">
        <f>VLOOKUP(Calc!G225,Inps!$C$85:$J$95,MATCH(Calc!F226,Inps!$C$85:$J$85,0))</f>
        <v>Loan from related party</v>
      </c>
    </row>
    <row r="227" spans="3:18" outlineLevel="3" x14ac:dyDescent="0.3">
      <c r="F227" s="60" t="str">
        <v>Issue Year</v>
      </c>
      <c r="G227" s="74">
        <f>VLOOKUP(Calc!G225,Inps!$C$85:$J$95,MATCH(Calc!F227,Inps!$C$85:$J$85,0))</f>
        <v>0</v>
      </c>
      <c r="K227" s="24"/>
      <c r="L227" s="24" t="s">
        <v>420</v>
      </c>
      <c r="M227" s="28">
        <f>($G227=M$152)*1</f>
        <v>0</v>
      </c>
      <c r="N227" s="28">
        <f t="shared" ref="N227:Q228" si="94">($G227=N$152)*1</f>
        <v>0</v>
      </c>
      <c r="O227" s="28">
        <f t="shared" si="94"/>
        <v>0</v>
      </c>
      <c r="P227" s="28">
        <f t="shared" si="94"/>
        <v>0</v>
      </c>
      <c r="Q227" s="28">
        <f t="shared" si="94"/>
        <v>0</v>
      </c>
    </row>
    <row r="228" spans="3:18" outlineLevel="3" x14ac:dyDescent="0.3">
      <c r="F228" s="60" t="str">
        <v>Due Year</v>
      </c>
      <c r="G228" s="74">
        <f>VLOOKUP(Calc!G225,Inps!$C$85:$J$95,MATCH(Calc!F228,Inps!$C$85:$J$85,0))</f>
        <v>2028</v>
      </c>
      <c r="K228" s="24"/>
      <c r="L228" s="24" t="s">
        <v>421</v>
      </c>
      <c r="M228" s="28">
        <f>($G228=M$152)*1</f>
        <v>0</v>
      </c>
      <c r="N228" s="28">
        <f t="shared" si="94"/>
        <v>0</v>
      </c>
      <c r="O228" s="28">
        <f t="shared" si="94"/>
        <v>0</v>
      </c>
      <c r="P228" s="28">
        <f t="shared" si="94"/>
        <v>0</v>
      </c>
      <c r="Q228" s="28">
        <f t="shared" si="94"/>
        <v>0</v>
      </c>
    </row>
    <row r="229" spans="3:18" outlineLevel="3" x14ac:dyDescent="0.3">
      <c r="F229" s="60" t="str">
        <v>Category</v>
      </c>
      <c r="G229" s="73" t="str">
        <f>VLOOKUP(Calc!G225,Inps!$C$85:$J$95,MATCH(Calc!F229,Inps!$C$85:$J$85,0))</f>
        <v>Floating</v>
      </c>
      <c r="K229" s="24"/>
      <c r="L229" s="24"/>
    </row>
    <row r="230" spans="3:18" outlineLevel="3" x14ac:dyDescent="0.3">
      <c r="F230" s="60" t="str">
        <v>Benchmark</v>
      </c>
      <c r="G230" s="73" t="str">
        <f>VLOOKUP(Calc!G225,Inps!$C$85:$J$95,MATCH(Calc!F230,Inps!$C$85:$J$85,0))</f>
        <v>LIBOR</v>
      </c>
      <c r="K230" s="24"/>
      <c r="L230" s="24"/>
    </row>
    <row r="231" spans="3:18" outlineLevel="3" x14ac:dyDescent="0.3">
      <c r="F231" s="60" t="str">
        <v xml:space="preserve">Rate </v>
      </c>
      <c r="G231" s="77">
        <f>VLOOKUP(Calc!G225,Inps!$C$85:$J$95,MATCH(Calc!F231,Inps!$C$85:$J$85,0))</f>
        <v>0.04</v>
      </c>
      <c r="K231" s="24" t="s">
        <v>422</v>
      </c>
      <c r="L231" s="24" t="str">
        <f>G229</f>
        <v>Floating</v>
      </c>
      <c r="M231" t="b">
        <f>$G229=Floating</f>
        <v>1</v>
      </c>
      <c r="N231" t="b">
        <f t="shared" ref="N231:Q231" si="95">$G229=Floating</f>
        <v>1</v>
      </c>
      <c r="O231" t="b">
        <f t="shared" si="95"/>
        <v>1</v>
      </c>
      <c r="P231" t="b">
        <f t="shared" si="95"/>
        <v>1</v>
      </c>
      <c r="Q231" t="b">
        <f t="shared" si="95"/>
        <v>1</v>
      </c>
    </row>
    <row r="232" spans="3:18" outlineLevel="3" x14ac:dyDescent="0.3">
      <c r="F232" s="63" t="str">
        <v>Amount(2019)</v>
      </c>
      <c r="G232" s="75">
        <f>VLOOKUP(Calc!G225,Inps!$C$85:$J$95,MATCH(Calc!F232,Inps!$C$85:$J$85,0))</f>
        <v>23754913</v>
      </c>
      <c r="K232" s="24" t="s">
        <v>423</v>
      </c>
      <c r="L232" s="24" t="str">
        <f>G230</f>
        <v>LIBOR</v>
      </c>
      <c r="M232" s="2">
        <f>IFERROR(INDEX(M$146:M$148,MATCH($L232,$D$146:$D$148)),0)</f>
        <v>0.08</v>
      </c>
      <c r="N232" s="2">
        <f t="shared" ref="N232:Q232" si="96">IFERROR(INDEX(N$146:N$148,MATCH($L232,$D$146:$D$148)),0)</f>
        <v>7.0000000000000007E-2</v>
      </c>
      <c r="O232" s="2">
        <f t="shared" si="96"/>
        <v>7.0000000000000007E-2</v>
      </c>
      <c r="P232" s="2">
        <f t="shared" si="96"/>
        <v>0.05</v>
      </c>
      <c r="Q232" s="2">
        <f t="shared" si="96"/>
        <v>0.04</v>
      </c>
    </row>
    <row r="233" spans="3:18" outlineLevel="3" x14ac:dyDescent="0.3">
      <c r="K233" s="24"/>
      <c r="L233" s="24" t="s">
        <v>424</v>
      </c>
      <c r="M233" s="2">
        <f>$G231</f>
        <v>0.04</v>
      </c>
      <c r="N233" s="2">
        <f t="shared" ref="N233:Q233" si="97">$G231</f>
        <v>0.04</v>
      </c>
      <c r="O233" s="2">
        <f t="shared" si="97"/>
        <v>0.04</v>
      </c>
      <c r="P233" s="2">
        <f t="shared" si="97"/>
        <v>0.04</v>
      </c>
      <c r="Q233" s="2">
        <f t="shared" si="97"/>
        <v>0.04</v>
      </c>
    </row>
    <row r="234" spans="3:18" outlineLevel="3" x14ac:dyDescent="0.3"/>
    <row r="235" spans="3:18" outlineLevel="3" x14ac:dyDescent="0.3"/>
    <row r="236" spans="3:18" outlineLevel="3" x14ac:dyDescent="0.3">
      <c r="D236" t="s">
        <v>411</v>
      </c>
      <c r="L236" s="24" t="str">
        <f>D236</f>
        <v>Total Interest Expense</v>
      </c>
      <c r="M236">
        <f>AVERAGE(L224:M224)*M237</f>
        <v>2850589.56</v>
      </c>
      <c r="N236">
        <f t="shared" ref="N236" si="98">AVERAGE(M224:N224)*N237</f>
        <v>2613040.4300000002</v>
      </c>
      <c r="O236">
        <f t="shared" ref="O236" si="99">AVERAGE(N224:O224)*O237</f>
        <v>2613040.4300000002</v>
      </c>
      <c r="P236">
        <f t="shared" ref="P236" si="100">AVERAGE(O224:P224)*P237</f>
        <v>2137942.17</v>
      </c>
      <c r="Q236">
        <f t="shared" ref="Q236" si="101">AVERAGE(P224:Q224)*Q237</f>
        <v>1900393.04</v>
      </c>
      <c r="R236" t="s">
        <v>425</v>
      </c>
    </row>
    <row r="237" spans="3:18" outlineLevel="3" x14ac:dyDescent="0.3">
      <c r="D237" t="s">
        <v>393</v>
      </c>
      <c r="L237" s="24" t="str">
        <f>D237</f>
        <v>Interest Rate</v>
      </c>
      <c r="M237" s="2">
        <f>M233+M232*M231</f>
        <v>0.12</v>
      </c>
      <c r="N237" s="2">
        <f t="shared" ref="N237:Q237" si="102">N233+N232*N231</f>
        <v>0.11000000000000001</v>
      </c>
      <c r="O237" s="2">
        <f t="shared" si="102"/>
        <v>0.11000000000000001</v>
      </c>
      <c r="P237" s="2">
        <f t="shared" si="102"/>
        <v>0.09</v>
      </c>
      <c r="Q237" s="2">
        <f t="shared" si="102"/>
        <v>0.08</v>
      </c>
    </row>
    <row r="238" spans="3:18" outlineLevel="3" x14ac:dyDescent="0.3"/>
    <row r="239" spans="3:18" outlineLevel="3" x14ac:dyDescent="0.3"/>
    <row r="240" spans="3:18" ht="16" outlineLevel="2" thickBot="1" x14ac:dyDescent="0.4">
      <c r="C240" s="9" t="s">
        <v>428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4:18" outlineLevel="3" x14ac:dyDescent="0.3">
      <c r="D241" t="s">
        <v>410</v>
      </c>
      <c r="M241">
        <f>L244</f>
        <v>13661934</v>
      </c>
      <c r="N241">
        <f t="shared" ref="N241" si="103">M244</f>
        <v>13661934</v>
      </c>
      <c r="O241">
        <f t="shared" ref="O241" si="104">N244</f>
        <v>13661934</v>
      </c>
      <c r="P241">
        <f t="shared" ref="P241" si="105">O244</f>
        <v>13661934</v>
      </c>
      <c r="Q241">
        <f t="shared" ref="Q241" si="106">P244</f>
        <v>13661934</v>
      </c>
    </row>
    <row r="242" spans="4:18" outlineLevel="3" x14ac:dyDescent="0.3">
      <c r="D242" t="s">
        <v>417</v>
      </c>
      <c r="M242">
        <f>M247*$G252</f>
        <v>0</v>
      </c>
      <c r="N242">
        <f t="shared" ref="N242:Q242" si="107">N247*$G252</f>
        <v>0</v>
      </c>
      <c r="O242">
        <f t="shared" si="107"/>
        <v>0</v>
      </c>
      <c r="P242">
        <f t="shared" si="107"/>
        <v>0</v>
      </c>
      <c r="Q242">
        <f t="shared" si="107"/>
        <v>0</v>
      </c>
    </row>
    <row r="243" spans="4:18" ht="14.5" outlineLevel="3" thickBot="1" x14ac:dyDescent="0.35">
      <c r="D243" t="s">
        <v>418</v>
      </c>
      <c r="M243">
        <f>$G252*M248</f>
        <v>0</v>
      </c>
      <c r="N243">
        <f t="shared" ref="N243:Q243" si="108">$G252*N248</f>
        <v>0</v>
      </c>
      <c r="O243">
        <f t="shared" si="108"/>
        <v>0</v>
      </c>
      <c r="P243">
        <f t="shared" si="108"/>
        <v>0</v>
      </c>
      <c r="Q243">
        <f t="shared" si="108"/>
        <v>0</v>
      </c>
    </row>
    <row r="244" spans="4:18" ht="14.5" outlineLevel="3" thickBot="1" x14ac:dyDescent="0.35">
      <c r="D244" t="s">
        <v>311</v>
      </c>
      <c r="L244" s="55">
        <f>(G247&lt;=L$152)*G252</f>
        <v>13661934</v>
      </c>
      <c r="M244" s="11">
        <f>M241+M242-M243</f>
        <v>13661934</v>
      </c>
      <c r="N244" s="11">
        <f t="shared" ref="N244:Q244" si="109">N241+N242-N243</f>
        <v>13661934</v>
      </c>
      <c r="O244" s="11">
        <f t="shared" si="109"/>
        <v>13661934</v>
      </c>
      <c r="P244" s="11">
        <f t="shared" si="109"/>
        <v>13661934</v>
      </c>
      <c r="Q244" s="11">
        <f t="shared" si="109"/>
        <v>13661934</v>
      </c>
    </row>
    <row r="245" spans="4:18" outlineLevel="3" x14ac:dyDescent="0.3">
      <c r="F245" s="71" t="str" cm="1">
        <f t="array" ref="F245:F252">TRANSPOSE(Inps!$C$85:$J$85)</f>
        <v>S/N</v>
      </c>
      <c r="G245" s="72">
        <v>4</v>
      </c>
    </row>
    <row r="246" spans="4:18" outlineLevel="3" x14ac:dyDescent="0.3">
      <c r="F246" s="60" t="str">
        <v>Name of the Loans</v>
      </c>
      <c r="G246" s="73" t="str">
        <f>VLOOKUP(Calc!G245,Inps!$C$85:$J$95,MATCH(Calc!F246,Inps!$C$85:$J$85,0))</f>
        <v>Loan from related party</v>
      </c>
    </row>
    <row r="247" spans="4:18" outlineLevel="3" x14ac:dyDescent="0.3">
      <c r="F247" s="60" t="str">
        <v>Issue Year</v>
      </c>
      <c r="G247" s="74">
        <f>VLOOKUP(Calc!G245,Inps!$C$85:$J$95,MATCH(Calc!F247,Inps!$C$85:$J$85,0))</f>
        <v>0</v>
      </c>
      <c r="K247" s="24"/>
      <c r="L247" s="24" t="s">
        <v>420</v>
      </c>
      <c r="M247" s="28">
        <f>($G247=M$152)*1</f>
        <v>0</v>
      </c>
      <c r="N247" s="28">
        <f t="shared" ref="N247:Q248" si="110">($G247=N$152)*1</f>
        <v>0</v>
      </c>
      <c r="O247" s="28">
        <f t="shared" si="110"/>
        <v>0</v>
      </c>
      <c r="P247" s="28">
        <f t="shared" si="110"/>
        <v>0</v>
      </c>
      <c r="Q247" s="28">
        <f t="shared" si="110"/>
        <v>0</v>
      </c>
    </row>
    <row r="248" spans="4:18" outlineLevel="3" x14ac:dyDescent="0.3">
      <c r="F248" s="60" t="str">
        <v>Due Year</v>
      </c>
      <c r="G248" s="74">
        <f>VLOOKUP(Calc!G245,Inps!$C$85:$J$95,MATCH(Calc!F248,Inps!$C$85:$J$85,0))</f>
        <v>2029</v>
      </c>
      <c r="K248" s="24"/>
      <c r="L248" s="24" t="s">
        <v>421</v>
      </c>
      <c r="M248" s="28">
        <f>($G248=M$152)*1</f>
        <v>0</v>
      </c>
      <c r="N248" s="28">
        <f t="shared" si="110"/>
        <v>0</v>
      </c>
      <c r="O248" s="28">
        <f t="shared" si="110"/>
        <v>0</v>
      </c>
      <c r="P248" s="28">
        <f t="shared" si="110"/>
        <v>0</v>
      </c>
      <c r="Q248" s="28">
        <f t="shared" si="110"/>
        <v>0</v>
      </c>
    </row>
    <row r="249" spans="4:18" outlineLevel="3" x14ac:dyDescent="0.3">
      <c r="F249" s="60" t="str">
        <v>Category</v>
      </c>
      <c r="G249" s="73" t="str">
        <f>VLOOKUP(Calc!G245,Inps!$C$85:$J$95,MATCH(Calc!F249,Inps!$C$85:$J$85,0))</f>
        <v>Floating</v>
      </c>
      <c r="K249" s="24"/>
      <c r="L249" s="24"/>
    </row>
    <row r="250" spans="4:18" outlineLevel="3" x14ac:dyDescent="0.3">
      <c r="F250" s="60" t="str">
        <v>Benchmark</v>
      </c>
      <c r="G250" s="73" t="str">
        <f>VLOOKUP(Calc!G245,Inps!$C$85:$J$95,MATCH(Calc!F250,Inps!$C$85:$J$85,0))</f>
        <v>SOFR</v>
      </c>
      <c r="K250" s="24"/>
      <c r="L250" s="24"/>
    </row>
    <row r="251" spans="4:18" outlineLevel="3" x14ac:dyDescent="0.3">
      <c r="F251" s="60" t="str">
        <v xml:space="preserve">Rate </v>
      </c>
      <c r="G251" s="77">
        <f>VLOOKUP(Calc!G245,Inps!$C$85:$J$95,MATCH(Calc!F251,Inps!$C$85:$J$85,0))</f>
        <v>0.1</v>
      </c>
      <c r="K251" s="24" t="s">
        <v>422</v>
      </c>
      <c r="L251" s="24" t="str">
        <f>G249</f>
        <v>Floating</v>
      </c>
      <c r="M251" t="b">
        <f>$G249=Floating</f>
        <v>1</v>
      </c>
      <c r="N251" t="b">
        <f t="shared" ref="N251:Q251" si="111">$G249=Floating</f>
        <v>1</v>
      </c>
      <c r="O251" t="b">
        <f t="shared" si="111"/>
        <v>1</v>
      </c>
      <c r="P251" t="b">
        <f t="shared" si="111"/>
        <v>1</v>
      </c>
      <c r="Q251" t="b">
        <f t="shared" si="111"/>
        <v>1</v>
      </c>
    </row>
    <row r="252" spans="4:18" outlineLevel="3" x14ac:dyDescent="0.3">
      <c r="F252" s="63" t="str">
        <v>Amount(2019)</v>
      </c>
      <c r="G252" s="75">
        <f>VLOOKUP(Calc!G245,Inps!$C$85:$J$95,MATCH(Calc!F252,Inps!$C$85:$J$85,0))</f>
        <v>13661934</v>
      </c>
      <c r="K252" s="24" t="s">
        <v>423</v>
      </c>
      <c r="L252" s="24" t="str">
        <f>G250</f>
        <v>SOFR</v>
      </c>
      <c r="M252" s="2">
        <f>IFERROR(INDEX(M$146:M$148,MATCH($L252,$D$146:$D$148)),0)</f>
        <v>0.1</v>
      </c>
      <c r="N252" s="2">
        <f t="shared" ref="N252:Q252" si="112">IFERROR(INDEX(N$146:N$148,MATCH($L252,$D$146:$D$148)),0)</f>
        <v>9.0000000000000011E-2</v>
      </c>
      <c r="O252" s="2">
        <f t="shared" si="112"/>
        <v>9.0000000000000011E-2</v>
      </c>
      <c r="P252" s="2">
        <f t="shared" si="112"/>
        <v>7.0000000000000007E-2</v>
      </c>
      <c r="Q252" s="2">
        <f t="shared" si="112"/>
        <v>0.06</v>
      </c>
    </row>
    <row r="253" spans="4:18" outlineLevel="3" x14ac:dyDescent="0.3">
      <c r="K253" s="24"/>
      <c r="L253" s="24" t="s">
        <v>424</v>
      </c>
      <c r="M253" s="2">
        <f>$G251</f>
        <v>0.1</v>
      </c>
      <c r="N253" s="2">
        <f t="shared" ref="N253:Q253" si="113">$G251</f>
        <v>0.1</v>
      </c>
      <c r="O253" s="2">
        <f t="shared" si="113"/>
        <v>0.1</v>
      </c>
      <c r="P253" s="2">
        <f t="shared" si="113"/>
        <v>0.1</v>
      </c>
      <c r="Q253" s="2">
        <f t="shared" si="113"/>
        <v>0.1</v>
      </c>
    </row>
    <row r="254" spans="4:18" outlineLevel="3" x14ac:dyDescent="0.3"/>
    <row r="255" spans="4:18" outlineLevel="3" x14ac:dyDescent="0.3"/>
    <row r="256" spans="4:18" outlineLevel="3" x14ac:dyDescent="0.3">
      <c r="D256" t="s">
        <v>411</v>
      </c>
      <c r="L256" s="24" t="str">
        <f>D256</f>
        <v>Total Interest Expense</v>
      </c>
      <c r="M256">
        <f>AVERAGE(L244:M244)*M257</f>
        <v>2732386.8000000003</v>
      </c>
      <c r="N256">
        <f t="shared" ref="N256" si="114">AVERAGE(M244:N244)*N257</f>
        <v>2595767.46</v>
      </c>
      <c r="O256">
        <f t="shared" ref="O256" si="115">AVERAGE(N244:O244)*O257</f>
        <v>2595767.46</v>
      </c>
      <c r="P256">
        <f t="shared" ref="P256" si="116">AVERAGE(O244:P244)*P257</f>
        <v>2322528.7800000003</v>
      </c>
      <c r="Q256">
        <f t="shared" ref="Q256" si="117">AVERAGE(P244:Q244)*Q257</f>
        <v>2185909.44</v>
      </c>
      <c r="R256" t="s">
        <v>425</v>
      </c>
    </row>
    <row r="257" spans="3:17" outlineLevel="3" x14ac:dyDescent="0.3">
      <c r="D257" t="s">
        <v>393</v>
      </c>
      <c r="L257" s="24" t="str">
        <f>D257</f>
        <v>Interest Rate</v>
      </c>
      <c r="M257" s="2">
        <f>M253+M252*M251</f>
        <v>0.2</v>
      </c>
      <c r="N257" s="2">
        <f t="shared" ref="N257:Q257" si="118">N253+N252*N251</f>
        <v>0.19</v>
      </c>
      <c r="O257" s="2">
        <f t="shared" si="118"/>
        <v>0.19</v>
      </c>
      <c r="P257" s="2">
        <f t="shared" si="118"/>
        <v>0.17</v>
      </c>
      <c r="Q257" s="2">
        <f t="shared" si="118"/>
        <v>0.16</v>
      </c>
    </row>
    <row r="258" spans="3:17" outlineLevel="3" x14ac:dyDescent="0.3"/>
    <row r="259" spans="3:17" outlineLevel="3" x14ac:dyDescent="0.3"/>
    <row r="260" spans="3:17" ht="16" outlineLevel="2" thickBot="1" x14ac:dyDescent="0.4">
      <c r="C260" s="9" t="s">
        <v>429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3:17" outlineLevel="3" x14ac:dyDescent="0.3">
      <c r="D261" t="s">
        <v>410</v>
      </c>
      <c r="M261">
        <f>L264</f>
        <v>8293512</v>
      </c>
      <c r="N261">
        <f t="shared" ref="N261" si="119">M264</f>
        <v>0</v>
      </c>
      <c r="O261">
        <f t="shared" ref="O261" si="120">N264</f>
        <v>0</v>
      </c>
      <c r="P261">
        <f t="shared" ref="P261" si="121">O264</f>
        <v>0</v>
      </c>
      <c r="Q261">
        <f t="shared" ref="Q261" si="122">P264</f>
        <v>0</v>
      </c>
    </row>
    <row r="262" spans="3:17" outlineLevel="3" x14ac:dyDescent="0.3">
      <c r="D262" t="s">
        <v>417</v>
      </c>
      <c r="M262">
        <f>M267*$G272</f>
        <v>0</v>
      </c>
      <c r="N262">
        <f t="shared" ref="N262:Q262" si="123">N267*$G272</f>
        <v>0</v>
      </c>
      <c r="O262">
        <f t="shared" si="123"/>
        <v>0</v>
      </c>
      <c r="P262">
        <f t="shared" si="123"/>
        <v>0</v>
      </c>
      <c r="Q262">
        <f t="shared" si="123"/>
        <v>0</v>
      </c>
    </row>
    <row r="263" spans="3:17" ht="14.5" outlineLevel="3" thickBot="1" x14ac:dyDescent="0.35">
      <c r="D263" t="s">
        <v>418</v>
      </c>
      <c r="M263">
        <f>$G272*M268</f>
        <v>8293512</v>
      </c>
      <c r="N263">
        <f t="shared" ref="N263:Q263" si="124">$G272*N268</f>
        <v>0</v>
      </c>
      <c r="O263">
        <f t="shared" si="124"/>
        <v>0</v>
      </c>
      <c r="P263">
        <f t="shared" si="124"/>
        <v>0</v>
      </c>
      <c r="Q263">
        <f t="shared" si="124"/>
        <v>0</v>
      </c>
    </row>
    <row r="264" spans="3:17" ht="14.5" outlineLevel="3" thickBot="1" x14ac:dyDescent="0.35">
      <c r="D264" t="s">
        <v>311</v>
      </c>
      <c r="L264" s="55">
        <f>(G267&lt;=L$152)*G272</f>
        <v>8293512</v>
      </c>
      <c r="M264" s="11">
        <f>M261+M262-M263</f>
        <v>0</v>
      </c>
      <c r="N264" s="11">
        <f t="shared" ref="N264:Q264" si="125">N261+N262-N263</f>
        <v>0</v>
      </c>
      <c r="O264" s="11">
        <f t="shared" si="125"/>
        <v>0</v>
      </c>
      <c r="P264" s="11">
        <f t="shared" si="125"/>
        <v>0</v>
      </c>
      <c r="Q264" s="11">
        <f t="shared" si="125"/>
        <v>0</v>
      </c>
    </row>
    <row r="265" spans="3:17" outlineLevel="3" x14ac:dyDescent="0.3">
      <c r="F265" s="71" t="str" cm="1">
        <f t="array" ref="F265:F272">TRANSPOSE(Inps!$C$85:$J$85)</f>
        <v>S/N</v>
      </c>
      <c r="G265" s="72">
        <v>5</v>
      </c>
    </row>
    <row r="266" spans="3:17" outlineLevel="3" x14ac:dyDescent="0.3">
      <c r="F266" s="60" t="str">
        <v>Name of the Loans</v>
      </c>
      <c r="G266" s="73" t="str">
        <f>VLOOKUP(Calc!G265,Inps!$C$85:$J$95,MATCH(Calc!F266,Inps!$C$85:$J$85,0))</f>
        <v>Import Trade Obligations</v>
      </c>
    </row>
    <row r="267" spans="3:17" outlineLevel="3" x14ac:dyDescent="0.3">
      <c r="F267" s="60" t="str">
        <v>Issue Year</v>
      </c>
      <c r="G267" s="74">
        <f>VLOOKUP(Calc!G265,Inps!$C$85:$J$95,MATCH(Calc!F267,Inps!$C$85:$J$85,0))</f>
        <v>0</v>
      </c>
      <c r="K267" s="24"/>
      <c r="L267" s="24" t="s">
        <v>420</v>
      </c>
      <c r="M267" s="28">
        <f>($G267=M$152)*1</f>
        <v>0</v>
      </c>
      <c r="N267" s="28">
        <f t="shared" ref="N267:Q268" si="126">($G267=N$152)*1</f>
        <v>0</v>
      </c>
      <c r="O267" s="28">
        <f t="shared" si="126"/>
        <v>0</v>
      </c>
      <c r="P267" s="28">
        <f t="shared" si="126"/>
        <v>0</v>
      </c>
      <c r="Q267" s="28">
        <f t="shared" si="126"/>
        <v>0</v>
      </c>
    </row>
    <row r="268" spans="3:17" outlineLevel="3" x14ac:dyDescent="0.3">
      <c r="F268" s="60" t="str">
        <v>Due Year</v>
      </c>
      <c r="G268" s="74">
        <f>VLOOKUP(Calc!G265,Inps!$C$85:$J$95,MATCH(Calc!F268,Inps!$C$85:$J$85,0))</f>
        <v>2023</v>
      </c>
      <c r="K268" s="24"/>
      <c r="L268" s="24" t="s">
        <v>421</v>
      </c>
      <c r="M268" s="28">
        <f>($G268=M$152)*1</f>
        <v>1</v>
      </c>
      <c r="N268" s="28">
        <f t="shared" si="126"/>
        <v>0</v>
      </c>
      <c r="O268" s="28">
        <f t="shared" si="126"/>
        <v>0</v>
      </c>
      <c r="P268" s="28">
        <f t="shared" si="126"/>
        <v>0</v>
      </c>
      <c r="Q268" s="28">
        <f t="shared" si="126"/>
        <v>0</v>
      </c>
    </row>
    <row r="269" spans="3:17" outlineLevel="3" x14ac:dyDescent="0.3">
      <c r="F269" s="60" t="str">
        <v>Category</v>
      </c>
      <c r="G269" s="73" t="str">
        <f>VLOOKUP(Calc!G265,Inps!$C$85:$J$95,MATCH(Calc!F269,Inps!$C$85:$J$85,0))</f>
        <v>Floating</v>
      </c>
      <c r="K269" s="24"/>
      <c r="L269" s="24"/>
    </row>
    <row r="270" spans="3:17" outlineLevel="3" x14ac:dyDescent="0.3">
      <c r="F270" s="60" t="str">
        <v>Benchmark</v>
      </c>
      <c r="G270" s="73" t="str">
        <f>VLOOKUP(Calc!G265,Inps!$C$85:$J$95,MATCH(Calc!F270,Inps!$C$85:$J$85,0))</f>
        <v>SOFR</v>
      </c>
      <c r="K270" s="24"/>
      <c r="L270" s="24"/>
    </row>
    <row r="271" spans="3:17" outlineLevel="3" x14ac:dyDescent="0.3">
      <c r="F271" s="60" t="str">
        <v xml:space="preserve">Rate </v>
      </c>
      <c r="G271" s="77">
        <f>VLOOKUP(Calc!G265,Inps!$C$85:$J$95,MATCH(Calc!F271,Inps!$C$85:$J$85,0))</f>
        <v>0.06</v>
      </c>
      <c r="K271" s="24" t="s">
        <v>422</v>
      </c>
      <c r="L271" s="24" t="str">
        <f>G269</f>
        <v>Floating</v>
      </c>
      <c r="M271" t="b">
        <f>$G269=Floating</f>
        <v>1</v>
      </c>
      <c r="N271" t="b">
        <f t="shared" ref="N271:Q271" si="127">$G269=Floating</f>
        <v>1</v>
      </c>
      <c r="O271" t="b">
        <f t="shared" si="127"/>
        <v>1</v>
      </c>
      <c r="P271" t="b">
        <f t="shared" si="127"/>
        <v>1</v>
      </c>
      <c r="Q271" t="b">
        <f t="shared" si="127"/>
        <v>1</v>
      </c>
    </row>
    <row r="272" spans="3:17" outlineLevel="3" x14ac:dyDescent="0.3">
      <c r="F272" s="63" t="str">
        <v>Amount(2019)</v>
      </c>
      <c r="G272" s="75">
        <f>VLOOKUP(Calc!G265,Inps!$C$85:$J$95,MATCH(Calc!F272,Inps!$C$85:$J$85,0))</f>
        <v>8293512</v>
      </c>
      <c r="K272" s="24" t="s">
        <v>423</v>
      </c>
      <c r="L272" s="24" t="str">
        <f>G270</f>
        <v>SOFR</v>
      </c>
      <c r="M272" s="2">
        <f>IFERROR(INDEX(M$146:M$148,MATCH($L272,$D$146:$D$148)),0)</f>
        <v>0.1</v>
      </c>
      <c r="N272" s="2">
        <f t="shared" ref="N272:Q272" si="128">IFERROR(INDEX(N$146:N$148,MATCH($L272,$D$146:$D$148)),0)</f>
        <v>9.0000000000000011E-2</v>
      </c>
      <c r="O272" s="2">
        <f t="shared" si="128"/>
        <v>9.0000000000000011E-2</v>
      </c>
      <c r="P272" s="2">
        <f t="shared" si="128"/>
        <v>7.0000000000000007E-2</v>
      </c>
      <c r="Q272" s="2">
        <f t="shared" si="128"/>
        <v>0.06</v>
      </c>
    </row>
    <row r="273" spans="3:18" outlineLevel="3" x14ac:dyDescent="0.3">
      <c r="K273" s="24"/>
      <c r="L273" s="24" t="s">
        <v>424</v>
      </c>
      <c r="M273" s="2">
        <f>$G271</f>
        <v>0.06</v>
      </c>
      <c r="N273" s="2">
        <f t="shared" ref="N273:Q273" si="129">$G271</f>
        <v>0.06</v>
      </c>
      <c r="O273" s="2">
        <f t="shared" si="129"/>
        <v>0.06</v>
      </c>
      <c r="P273" s="2">
        <f t="shared" si="129"/>
        <v>0.06</v>
      </c>
      <c r="Q273" s="2">
        <f t="shared" si="129"/>
        <v>0.06</v>
      </c>
    </row>
    <row r="274" spans="3:18" outlineLevel="3" x14ac:dyDescent="0.3"/>
    <row r="275" spans="3:18" outlineLevel="3" x14ac:dyDescent="0.3"/>
    <row r="276" spans="3:18" outlineLevel="3" x14ac:dyDescent="0.3">
      <c r="D276" t="s">
        <v>411</v>
      </c>
      <c r="L276" s="24" t="str">
        <f>D276</f>
        <v>Total Interest Expense</v>
      </c>
      <c r="M276">
        <f>AVERAGE(L264:M264)*M277</f>
        <v>663480.96</v>
      </c>
      <c r="N276">
        <f t="shared" ref="N276" si="130">AVERAGE(M264:N264)*N277</f>
        <v>0</v>
      </c>
      <c r="O276">
        <f t="shared" ref="O276" si="131">AVERAGE(N264:O264)*O277</f>
        <v>0</v>
      </c>
      <c r="P276">
        <f t="shared" ref="P276" si="132">AVERAGE(O264:P264)*P277</f>
        <v>0</v>
      </c>
      <c r="Q276">
        <f t="shared" ref="Q276" si="133">AVERAGE(P264:Q264)*Q277</f>
        <v>0</v>
      </c>
      <c r="R276" t="s">
        <v>425</v>
      </c>
    </row>
    <row r="277" spans="3:18" outlineLevel="3" x14ac:dyDescent="0.3">
      <c r="D277" t="s">
        <v>393</v>
      </c>
      <c r="L277" s="24" t="str">
        <f>D277</f>
        <v>Interest Rate</v>
      </c>
      <c r="M277" s="2">
        <f>M273+M272*M271</f>
        <v>0.16</v>
      </c>
      <c r="N277" s="2">
        <f t="shared" ref="N277:Q277" si="134">N273+N272*N271</f>
        <v>0.15000000000000002</v>
      </c>
      <c r="O277" s="2">
        <f t="shared" si="134"/>
        <v>0.15000000000000002</v>
      </c>
      <c r="P277" s="2">
        <f t="shared" si="134"/>
        <v>0.13</v>
      </c>
      <c r="Q277" s="2">
        <f t="shared" si="134"/>
        <v>0.12</v>
      </c>
    </row>
    <row r="278" spans="3:18" outlineLevel="3" x14ac:dyDescent="0.3"/>
    <row r="279" spans="3:18" outlineLevel="3" x14ac:dyDescent="0.3"/>
    <row r="280" spans="3:18" ht="16" outlineLevel="2" thickBot="1" x14ac:dyDescent="0.4">
      <c r="C280" s="9" t="s">
        <v>430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3:18" outlineLevel="3" x14ac:dyDescent="0.3">
      <c r="D281" t="s">
        <v>410</v>
      </c>
      <c r="M281">
        <f>L284</f>
        <v>0</v>
      </c>
      <c r="N281">
        <f t="shared" ref="N281" si="135">M284</f>
        <v>5000000</v>
      </c>
      <c r="O281">
        <f t="shared" ref="O281" si="136">N284</f>
        <v>5000000</v>
      </c>
      <c r="P281">
        <f t="shared" ref="P281" si="137">O284</f>
        <v>0</v>
      </c>
      <c r="Q281">
        <f t="shared" ref="Q281" si="138">P284</f>
        <v>0</v>
      </c>
    </row>
    <row r="282" spans="3:18" outlineLevel="3" x14ac:dyDescent="0.3">
      <c r="D282" t="s">
        <v>417</v>
      </c>
      <c r="M282">
        <f>M287*$G292</f>
        <v>5000000</v>
      </c>
      <c r="N282">
        <f t="shared" ref="N282:Q282" si="139">N287*$G292</f>
        <v>0</v>
      </c>
      <c r="O282">
        <f t="shared" si="139"/>
        <v>0</v>
      </c>
      <c r="P282">
        <f t="shared" si="139"/>
        <v>0</v>
      </c>
      <c r="Q282">
        <f t="shared" si="139"/>
        <v>0</v>
      </c>
    </row>
    <row r="283" spans="3:18" ht="14.5" outlineLevel="3" thickBot="1" x14ac:dyDescent="0.35">
      <c r="D283" t="s">
        <v>418</v>
      </c>
      <c r="M283">
        <f>$G292*M288</f>
        <v>0</v>
      </c>
      <c r="N283">
        <f t="shared" ref="N283:Q283" si="140">$G292*N288</f>
        <v>0</v>
      </c>
      <c r="O283">
        <f t="shared" si="140"/>
        <v>5000000</v>
      </c>
      <c r="P283">
        <f t="shared" si="140"/>
        <v>0</v>
      </c>
      <c r="Q283">
        <f t="shared" si="140"/>
        <v>0</v>
      </c>
    </row>
    <row r="284" spans="3:18" ht="14.5" outlineLevel="3" thickBot="1" x14ac:dyDescent="0.35">
      <c r="D284" t="s">
        <v>311</v>
      </c>
      <c r="L284" s="55">
        <f>(G287&lt;=L$152)*G292</f>
        <v>0</v>
      </c>
      <c r="M284" s="11">
        <f>M281+M282-M283</f>
        <v>5000000</v>
      </c>
      <c r="N284" s="11">
        <f t="shared" ref="N284:Q284" si="141">N281+N282-N283</f>
        <v>5000000</v>
      </c>
      <c r="O284" s="11">
        <f t="shared" si="141"/>
        <v>0</v>
      </c>
      <c r="P284" s="11">
        <f t="shared" si="141"/>
        <v>0</v>
      </c>
      <c r="Q284" s="11">
        <f t="shared" si="141"/>
        <v>0</v>
      </c>
    </row>
    <row r="285" spans="3:18" outlineLevel="3" x14ac:dyDescent="0.3">
      <c r="F285" s="71" t="str" cm="1">
        <f t="array" ref="F285:F292">TRANSPOSE(Inps!$C$85:$J$85)</f>
        <v>S/N</v>
      </c>
      <c r="G285" s="72">
        <v>6</v>
      </c>
    </row>
    <row r="286" spans="3:18" outlineLevel="3" x14ac:dyDescent="0.3">
      <c r="F286" s="60" t="str">
        <v>Name of the Loans</v>
      </c>
      <c r="G286" s="73" t="str">
        <f>VLOOKUP(Calc!G285,Inps!$C$85:$J$95,MATCH(Calc!F286,Inps!$C$85:$J$85,0))</f>
        <v>New Debt 1</v>
      </c>
    </row>
    <row r="287" spans="3:18" outlineLevel="3" x14ac:dyDescent="0.3">
      <c r="F287" s="60" t="str">
        <v>Issue Year</v>
      </c>
      <c r="G287" s="74">
        <f>VLOOKUP(Calc!G285,Inps!$C$85:$J$95,MATCH(Calc!F287,Inps!$C$85:$J$85,0))</f>
        <v>2023</v>
      </c>
      <c r="K287" s="24"/>
      <c r="L287" s="24" t="s">
        <v>420</v>
      </c>
      <c r="M287" s="28">
        <f>($G287=M$152)*1</f>
        <v>1</v>
      </c>
      <c r="N287" s="28">
        <f t="shared" ref="N287:Q288" si="142">($G287=N$152)*1</f>
        <v>0</v>
      </c>
      <c r="O287" s="28">
        <f t="shared" si="142"/>
        <v>0</v>
      </c>
      <c r="P287" s="28">
        <f t="shared" si="142"/>
        <v>0</v>
      </c>
      <c r="Q287" s="28">
        <f t="shared" si="142"/>
        <v>0</v>
      </c>
    </row>
    <row r="288" spans="3:18" outlineLevel="3" x14ac:dyDescent="0.3">
      <c r="F288" s="60" t="str">
        <v>Due Year</v>
      </c>
      <c r="G288" s="74">
        <f>VLOOKUP(Calc!G285,Inps!$C$85:$J$95,MATCH(Calc!F288,Inps!$C$85:$J$85,0))</f>
        <v>2025</v>
      </c>
      <c r="K288" s="24"/>
      <c r="L288" s="24" t="s">
        <v>421</v>
      </c>
      <c r="M288" s="28">
        <f>($G288=M$152)*1</f>
        <v>0</v>
      </c>
      <c r="N288" s="28">
        <f t="shared" si="142"/>
        <v>0</v>
      </c>
      <c r="O288" s="28">
        <f t="shared" si="142"/>
        <v>1</v>
      </c>
      <c r="P288" s="28">
        <f t="shared" si="142"/>
        <v>0</v>
      </c>
      <c r="Q288" s="28">
        <f t="shared" si="142"/>
        <v>0</v>
      </c>
    </row>
    <row r="289" spans="3:18" outlineLevel="3" x14ac:dyDescent="0.3">
      <c r="F289" s="60" t="str">
        <v>Category</v>
      </c>
      <c r="G289" s="73" t="str">
        <f>VLOOKUP(Calc!G285,Inps!$C$85:$J$95,MATCH(Calc!F289,Inps!$C$85:$J$85,0))</f>
        <v>Fixed</v>
      </c>
      <c r="K289" s="24"/>
      <c r="L289" s="24"/>
    </row>
    <row r="290" spans="3:18" outlineLevel="3" x14ac:dyDescent="0.3">
      <c r="F290" s="60" t="str">
        <v>Benchmark</v>
      </c>
      <c r="G290" s="73">
        <f>VLOOKUP(Calc!G285,Inps!$C$85:$J$95,MATCH(Calc!F290,Inps!$C$85:$J$85,0))</f>
        <v>0</v>
      </c>
      <c r="K290" s="24"/>
      <c r="L290" s="24"/>
    </row>
    <row r="291" spans="3:18" outlineLevel="3" x14ac:dyDescent="0.3">
      <c r="F291" s="60" t="str">
        <v xml:space="preserve">Rate </v>
      </c>
      <c r="G291" s="77">
        <f>VLOOKUP(Calc!G285,Inps!$C$85:$J$95,MATCH(Calc!F291,Inps!$C$85:$J$85,0))</f>
        <v>0.12</v>
      </c>
      <c r="K291" s="24" t="s">
        <v>422</v>
      </c>
      <c r="L291" s="24" t="str">
        <f>G289</f>
        <v>Fixed</v>
      </c>
      <c r="M291" t="b">
        <f>$G289=Floating</f>
        <v>0</v>
      </c>
      <c r="N291" t="b">
        <f t="shared" ref="N291:Q291" si="143">$G289=Floating</f>
        <v>0</v>
      </c>
      <c r="O291" t="b">
        <f t="shared" si="143"/>
        <v>0</v>
      </c>
      <c r="P291" t="b">
        <f t="shared" si="143"/>
        <v>0</v>
      </c>
      <c r="Q291" t="b">
        <f t="shared" si="143"/>
        <v>0</v>
      </c>
    </row>
    <row r="292" spans="3:18" outlineLevel="3" x14ac:dyDescent="0.3">
      <c r="F292" s="63" t="str">
        <v>Amount(2019)</v>
      </c>
      <c r="G292" s="75">
        <f>VLOOKUP(Calc!G285,Inps!$C$85:$J$95,MATCH(Calc!F292,Inps!$C$85:$J$85,0))</f>
        <v>5000000</v>
      </c>
      <c r="K292" s="24" t="s">
        <v>423</v>
      </c>
      <c r="L292" s="24">
        <f>G290</f>
        <v>0</v>
      </c>
      <c r="M292" s="2">
        <f>IFERROR(INDEX(M$146:M$148,MATCH($L292,$D$146:$D$148)),0)</f>
        <v>0</v>
      </c>
      <c r="N292" s="2">
        <f t="shared" ref="N292:Q292" si="144">IFERROR(INDEX(N$146:N$148,MATCH($L292,$D$146:$D$148)),0)</f>
        <v>0</v>
      </c>
      <c r="O292" s="2">
        <f t="shared" si="144"/>
        <v>0</v>
      </c>
      <c r="P292" s="2">
        <f t="shared" si="144"/>
        <v>0</v>
      </c>
      <c r="Q292" s="2">
        <f t="shared" si="144"/>
        <v>0</v>
      </c>
    </row>
    <row r="293" spans="3:18" outlineLevel="3" x14ac:dyDescent="0.3">
      <c r="K293" s="24"/>
      <c r="L293" s="24" t="s">
        <v>424</v>
      </c>
      <c r="M293" s="2">
        <f>$G291</f>
        <v>0.12</v>
      </c>
      <c r="N293" s="2">
        <f t="shared" ref="N293:Q293" si="145">$G291</f>
        <v>0.12</v>
      </c>
      <c r="O293" s="2">
        <f t="shared" si="145"/>
        <v>0.12</v>
      </c>
      <c r="P293" s="2">
        <f t="shared" si="145"/>
        <v>0.12</v>
      </c>
      <c r="Q293" s="2">
        <f t="shared" si="145"/>
        <v>0.12</v>
      </c>
    </row>
    <row r="294" spans="3:18" outlineLevel="3" x14ac:dyDescent="0.3"/>
    <row r="295" spans="3:18" outlineLevel="3" x14ac:dyDescent="0.3"/>
    <row r="296" spans="3:18" outlineLevel="3" x14ac:dyDescent="0.3">
      <c r="D296" t="s">
        <v>411</v>
      </c>
      <c r="L296" s="24" t="str">
        <f>D296</f>
        <v>Total Interest Expense</v>
      </c>
      <c r="M296">
        <f>AVERAGE(L284:M284)*M297</f>
        <v>300000</v>
      </c>
      <c r="N296">
        <f t="shared" ref="N296" si="146">AVERAGE(M284:N284)*N297</f>
        <v>600000</v>
      </c>
      <c r="O296">
        <f t="shared" ref="O296" si="147">AVERAGE(N284:O284)*O297</f>
        <v>300000</v>
      </c>
      <c r="P296">
        <f t="shared" ref="P296" si="148">AVERAGE(O284:P284)*P297</f>
        <v>0</v>
      </c>
      <c r="Q296">
        <f t="shared" ref="Q296" si="149">AVERAGE(P284:Q284)*Q297</f>
        <v>0</v>
      </c>
      <c r="R296" t="s">
        <v>425</v>
      </c>
    </row>
    <row r="297" spans="3:18" outlineLevel="3" x14ac:dyDescent="0.3">
      <c r="D297" t="s">
        <v>393</v>
      </c>
      <c r="L297" s="24" t="str">
        <f>D297</f>
        <v>Interest Rate</v>
      </c>
      <c r="M297" s="2">
        <f>M293+M292*M291</f>
        <v>0.12</v>
      </c>
      <c r="N297" s="2">
        <f t="shared" ref="N297:Q297" si="150">N293+N292*N291</f>
        <v>0.12</v>
      </c>
      <c r="O297" s="2">
        <f t="shared" si="150"/>
        <v>0.12</v>
      </c>
      <c r="P297" s="2">
        <f t="shared" si="150"/>
        <v>0.12</v>
      </c>
      <c r="Q297" s="2">
        <f t="shared" si="150"/>
        <v>0.12</v>
      </c>
    </row>
    <row r="298" spans="3:18" outlineLevel="3" x14ac:dyDescent="0.3"/>
    <row r="299" spans="3:18" outlineLevel="3" x14ac:dyDescent="0.3"/>
    <row r="300" spans="3:18" ht="16" outlineLevel="2" thickBot="1" x14ac:dyDescent="0.4">
      <c r="C300" s="9" t="s">
        <v>431</v>
      </c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3:18" outlineLevel="3" x14ac:dyDescent="0.3">
      <c r="D301" t="s">
        <v>410</v>
      </c>
      <c r="M301">
        <f>L304</f>
        <v>0</v>
      </c>
      <c r="N301">
        <f t="shared" ref="N301" si="151">M304</f>
        <v>0</v>
      </c>
      <c r="O301">
        <f t="shared" ref="O301" si="152">N304</f>
        <v>1000000</v>
      </c>
      <c r="P301">
        <f t="shared" ref="P301" si="153">O304</f>
        <v>1000000</v>
      </c>
      <c r="Q301">
        <f t="shared" ref="Q301" si="154">P304</f>
        <v>0</v>
      </c>
    </row>
    <row r="302" spans="3:18" outlineLevel="3" x14ac:dyDescent="0.3">
      <c r="D302" t="s">
        <v>417</v>
      </c>
      <c r="M302">
        <f>M307*$G312</f>
        <v>0</v>
      </c>
      <c r="N302">
        <f t="shared" ref="N302:Q302" si="155">N307*$G312</f>
        <v>1000000</v>
      </c>
      <c r="O302">
        <f t="shared" si="155"/>
        <v>0</v>
      </c>
      <c r="P302">
        <f t="shared" si="155"/>
        <v>0</v>
      </c>
      <c r="Q302">
        <f t="shared" si="155"/>
        <v>0</v>
      </c>
    </row>
    <row r="303" spans="3:18" ht="14.5" outlineLevel="3" thickBot="1" x14ac:dyDescent="0.35">
      <c r="D303" t="s">
        <v>418</v>
      </c>
      <c r="M303">
        <f>$G312*M308</f>
        <v>0</v>
      </c>
      <c r="N303">
        <f t="shared" ref="N303:Q303" si="156">$G312*N308</f>
        <v>0</v>
      </c>
      <c r="O303">
        <f t="shared" si="156"/>
        <v>0</v>
      </c>
      <c r="P303">
        <f t="shared" si="156"/>
        <v>1000000</v>
      </c>
      <c r="Q303">
        <f t="shared" si="156"/>
        <v>0</v>
      </c>
    </row>
    <row r="304" spans="3:18" ht="14.5" outlineLevel="3" thickBot="1" x14ac:dyDescent="0.35">
      <c r="D304" t="s">
        <v>311</v>
      </c>
      <c r="L304" s="55">
        <f>(G307&lt;=L$152)*G312</f>
        <v>0</v>
      </c>
      <c r="M304" s="11">
        <f>M301+M302-M303</f>
        <v>0</v>
      </c>
      <c r="N304" s="11">
        <f t="shared" ref="N304:Q304" si="157">N301+N302-N303</f>
        <v>1000000</v>
      </c>
      <c r="O304" s="11">
        <f t="shared" si="157"/>
        <v>1000000</v>
      </c>
      <c r="P304" s="11">
        <f t="shared" si="157"/>
        <v>0</v>
      </c>
      <c r="Q304" s="11">
        <f t="shared" si="157"/>
        <v>0</v>
      </c>
    </row>
    <row r="305" spans="3:18" outlineLevel="3" x14ac:dyDescent="0.3">
      <c r="F305" s="71" t="str" cm="1">
        <f t="array" ref="F305:F312">TRANSPOSE(Inps!$C$85:$J$85)</f>
        <v>S/N</v>
      </c>
      <c r="G305" s="72">
        <v>7</v>
      </c>
    </row>
    <row r="306" spans="3:18" outlineLevel="3" x14ac:dyDescent="0.3">
      <c r="F306" s="60" t="str">
        <v>Name of the Loans</v>
      </c>
      <c r="G306" s="73" t="str">
        <f>VLOOKUP(Calc!G305,Inps!$C$85:$J$95,MATCH(Calc!F306,Inps!$C$85:$J$85,0))</f>
        <v>New Debt 2</v>
      </c>
    </row>
    <row r="307" spans="3:18" outlineLevel="3" x14ac:dyDescent="0.3">
      <c r="F307" s="60" t="str">
        <v>Issue Year</v>
      </c>
      <c r="G307" s="74">
        <f>VLOOKUP(Calc!G305,Inps!$C$85:$J$95,MATCH(Calc!F307,Inps!$C$85:$J$85,0))</f>
        <v>2024</v>
      </c>
      <c r="K307" s="24"/>
      <c r="L307" s="24" t="s">
        <v>420</v>
      </c>
      <c r="M307" s="28">
        <f>($G307=M$152)*1</f>
        <v>0</v>
      </c>
      <c r="N307" s="28">
        <f t="shared" ref="N307:Q308" si="158">($G307=N$152)*1</f>
        <v>1</v>
      </c>
      <c r="O307" s="28">
        <f t="shared" si="158"/>
        <v>0</v>
      </c>
      <c r="P307" s="28">
        <f t="shared" si="158"/>
        <v>0</v>
      </c>
      <c r="Q307" s="28">
        <f t="shared" si="158"/>
        <v>0</v>
      </c>
    </row>
    <row r="308" spans="3:18" outlineLevel="3" x14ac:dyDescent="0.3">
      <c r="F308" s="60" t="str">
        <v>Due Year</v>
      </c>
      <c r="G308" s="74">
        <f>VLOOKUP(Calc!G305,Inps!$C$85:$J$95,MATCH(Calc!F308,Inps!$C$85:$J$85,0))</f>
        <v>2026</v>
      </c>
      <c r="K308" s="24"/>
      <c r="L308" s="24" t="s">
        <v>421</v>
      </c>
      <c r="M308" s="28">
        <f>($G308=M$152)*1</f>
        <v>0</v>
      </c>
      <c r="N308" s="28">
        <f t="shared" si="158"/>
        <v>0</v>
      </c>
      <c r="O308" s="28">
        <f t="shared" si="158"/>
        <v>0</v>
      </c>
      <c r="P308" s="28">
        <f t="shared" si="158"/>
        <v>1</v>
      </c>
      <c r="Q308" s="28">
        <f t="shared" si="158"/>
        <v>0</v>
      </c>
    </row>
    <row r="309" spans="3:18" outlineLevel="3" x14ac:dyDescent="0.3">
      <c r="F309" s="60" t="str">
        <v>Category</v>
      </c>
      <c r="G309" s="73" t="str">
        <f>VLOOKUP(Calc!G305,Inps!$C$85:$J$95,MATCH(Calc!F309,Inps!$C$85:$J$85,0))</f>
        <v>Floating</v>
      </c>
      <c r="K309" s="24"/>
      <c r="L309" s="24"/>
    </row>
    <row r="310" spans="3:18" outlineLevel="3" x14ac:dyDescent="0.3">
      <c r="F310" s="60" t="str">
        <v>Benchmark</v>
      </c>
      <c r="G310" s="73" t="str">
        <f>VLOOKUP(Calc!G305,Inps!$C$85:$J$95,MATCH(Calc!F310,Inps!$C$85:$J$85,0))</f>
        <v>Monetary Rate</v>
      </c>
      <c r="K310" s="24"/>
      <c r="L310" s="24"/>
    </row>
    <row r="311" spans="3:18" outlineLevel="3" x14ac:dyDescent="0.3">
      <c r="F311" s="60" t="str">
        <v xml:space="preserve">Rate </v>
      </c>
      <c r="G311" s="77">
        <f>VLOOKUP(Calc!G305,Inps!$C$85:$J$95,MATCH(Calc!F311,Inps!$C$85:$J$85,0))</f>
        <v>7.0000000000000007E-2</v>
      </c>
      <c r="K311" s="24" t="s">
        <v>422</v>
      </c>
      <c r="L311" s="24" t="str">
        <f>G309</f>
        <v>Floating</v>
      </c>
      <c r="M311" t="b">
        <f>$G309=Floating</f>
        <v>1</v>
      </c>
      <c r="N311" t="b">
        <f t="shared" ref="N311:Q311" si="159">$G309=Floating</f>
        <v>1</v>
      </c>
      <c r="O311" t="b">
        <f t="shared" si="159"/>
        <v>1</v>
      </c>
      <c r="P311" t="b">
        <f t="shared" si="159"/>
        <v>1</v>
      </c>
      <c r="Q311" t="b">
        <f t="shared" si="159"/>
        <v>1</v>
      </c>
    </row>
    <row r="312" spans="3:18" outlineLevel="3" x14ac:dyDescent="0.3">
      <c r="F312" s="63" t="str">
        <v>Amount(2019)</v>
      </c>
      <c r="G312" s="75">
        <f>VLOOKUP(Calc!G305,Inps!$C$85:$J$95,MATCH(Calc!F312,Inps!$C$85:$J$85,0))</f>
        <v>1000000</v>
      </c>
      <c r="K312" s="24" t="s">
        <v>423</v>
      </c>
      <c r="L312" s="24" t="str">
        <f>G310</f>
        <v>Monetary Rate</v>
      </c>
      <c r="M312" s="2">
        <f>IFERROR(INDEX(M$146:M$148,MATCH($L312,$D$146:$D$148)),0)</f>
        <v>0.08</v>
      </c>
      <c r="N312" s="2">
        <f t="shared" ref="N312:Q312" si="160">IFERROR(INDEX(N$146:N$148,MATCH($L312,$D$146:$D$148)),0)</f>
        <v>7.0000000000000007E-2</v>
      </c>
      <c r="O312" s="2">
        <f t="shared" si="160"/>
        <v>7.0000000000000007E-2</v>
      </c>
      <c r="P312" s="2">
        <f t="shared" si="160"/>
        <v>0.05</v>
      </c>
      <c r="Q312" s="2">
        <f t="shared" si="160"/>
        <v>0.04</v>
      </c>
    </row>
    <row r="313" spans="3:18" outlineLevel="3" x14ac:dyDescent="0.3">
      <c r="K313" s="24"/>
      <c r="L313" s="24" t="s">
        <v>424</v>
      </c>
      <c r="M313" s="2">
        <f>$G311</f>
        <v>7.0000000000000007E-2</v>
      </c>
      <c r="N313" s="2">
        <f t="shared" ref="N313:Q313" si="161">$G311</f>
        <v>7.0000000000000007E-2</v>
      </c>
      <c r="O313" s="2">
        <f t="shared" si="161"/>
        <v>7.0000000000000007E-2</v>
      </c>
      <c r="P313" s="2">
        <f t="shared" si="161"/>
        <v>7.0000000000000007E-2</v>
      </c>
      <c r="Q313" s="2">
        <f t="shared" si="161"/>
        <v>7.0000000000000007E-2</v>
      </c>
    </row>
    <row r="314" spans="3:18" outlineLevel="3" x14ac:dyDescent="0.3"/>
    <row r="315" spans="3:18" outlineLevel="3" x14ac:dyDescent="0.3"/>
    <row r="316" spans="3:18" outlineLevel="3" x14ac:dyDescent="0.3">
      <c r="D316" t="s">
        <v>411</v>
      </c>
      <c r="L316" s="24" t="str">
        <f>D316</f>
        <v>Total Interest Expense</v>
      </c>
      <c r="M316">
        <f>AVERAGE(L304:M304)*M317</f>
        <v>0</v>
      </c>
      <c r="N316">
        <f t="shared" ref="N316" si="162">AVERAGE(M304:N304)*N317</f>
        <v>70000</v>
      </c>
      <c r="O316">
        <f t="shared" ref="O316" si="163">AVERAGE(N304:O304)*O317</f>
        <v>140000</v>
      </c>
      <c r="P316">
        <f t="shared" ref="P316" si="164">AVERAGE(O304:P304)*P317</f>
        <v>60000.000000000007</v>
      </c>
      <c r="Q316">
        <f t="shared" ref="Q316" si="165">AVERAGE(P304:Q304)*Q317</f>
        <v>0</v>
      </c>
      <c r="R316" t="s">
        <v>425</v>
      </c>
    </row>
    <row r="317" spans="3:18" outlineLevel="3" x14ac:dyDescent="0.3">
      <c r="D317" t="s">
        <v>393</v>
      </c>
      <c r="L317" s="24" t="str">
        <f>D317</f>
        <v>Interest Rate</v>
      </c>
      <c r="M317" s="2">
        <f>M313+M312*M311</f>
        <v>0.15000000000000002</v>
      </c>
      <c r="N317" s="2">
        <f t="shared" ref="N317:Q317" si="166">N313+N312*N311</f>
        <v>0.14000000000000001</v>
      </c>
      <c r="O317" s="2">
        <f t="shared" si="166"/>
        <v>0.14000000000000001</v>
      </c>
      <c r="P317" s="2">
        <f t="shared" si="166"/>
        <v>0.12000000000000001</v>
      </c>
      <c r="Q317" s="2">
        <f t="shared" si="166"/>
        <v>0.11000000000000001</v>
      </c>
    </row>
    <row r="318" spans="3:18" outlineLevel="3" x14ac:dyDescent="0.3"/>
    <row r="319" spans="3:18" outlineLevel="3" x14ac:dyDescent="0.3"/>
    <row r="320" spans="3:18" ht="16" outlineLevel="2" thickBot="1" x14ac:dyDescent="0.4">
      <c r="C320" s="9" t="s">
        <v>432</v>
      </c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4:18" outlineLevel="3" x14ac:dyDescent="0.3">
      <c r="D321" t="s">
        <v>410</v>
      </c>
      <c r="M321">
        <f>L324</f>
        <v>0</v>
      </c>
      <c r="N321">
        <f t="shared" ref="N321" si="167">M324</f>
        <v>0</v>
      </c>
      <c r="O321">
        <f t="shared" ref="O321" si="168">N324</f>
        <v>0</v>
      </c>
      <c r="P321">
        <f t="shared" ref="P321" si="169">O324</f>
        <v>6000000</v>
      </c>
      <c r="Q321">
        <f t="shared" ref="Q321" si="170">P324</f>
        <v>6000000</v>
      </c>
    </row>
    <row r="322" spans="4:18" outlineLevel="3" x14ac:dyDescent="0.3">
      <c r="D322" t="s">
        <v>417</v>
      </c>
      <c r="M322">
        <f>M327*$G332</f>
        <v>0</v>
      </c>
      <c r="N322">
        <f t="shared" ref="N322:Q322" si="171">N327*$G332</f>
        <v>0</v>
      </c>
      <c r="O322">
        <f t="shared" si="171"/>
        <v>6000000</v>
      </c>
      <c r="P322">
        <f t="shared" si="171"/>
        <v>0</v>
      </c>
      <c r="Q322">
        <f t="shared" si="171"/>
        <v>0</v>
      </c>
    </row>
    <row r="323" spans="4:18" ht="14.5" outlineLevel="3" thickBot="1" x14ac:dyDescent="0.35">
      <c r="D323" t="s">
        <v>418</v>
      </c>
      <c r="M323">
        <f>$G332*M328</f>
        <v>0</v>
      </c>
      <c r="N323">
        <f t="shared" ref="N323:Q323" si="172">$G332*N328</f>
        <v>0</v>
      </c>
      <c r="O323">
        <f t="shared" si="172"/>
        <v>0</v>
      </c>
      <c r="P323">
        <f t="shared" si="172"/>
        <v>0</v>
      </c>
      <c r="Q323">
        <f t="shared" si="172"/>
        <v>0</v>
      </c>
    </row>
    <row r="324" spans="4:18" ht="14.5" outlineLevel="3" thickBot="1" x14ac:dyDescent="0.35">
      <c r="D324" t="s">
        <v>311</v>
      </c>
      <c r="L324" s="55">
        <f>(G327&lt;=L$152)*G332</f>
        <v>0</v>
      </c>
      <c r="M324" s="11">
        <f>M321+M322-M323</f>
        <v>0</v>
      </c>
      <c r="N324" s="11">
        <f t="shared" ref="N324:Q324" si="173">N321+N322-N323</f>
        <v>0</v>
      </c>
      <c r="O324" s="11">
        <f t="shared" si="173"/>
        <v>6000000</v>
      </c>
      <c r="P324" s="11">
        <f t="shared" si="173"/>
        <v>6000000</v>
      </c>
      <c r="Q324" s="11">
        <f t="shared" si="173"/>
        <v>6000000</v>
      </c>
    </row>
    <row r="325" spans="4:18" outlineLevel="3" x14ac:dyDescent="0.3">
      <c r="F325" s="71" t="str" cm="1">
        <f t="array" ref="F325:F332">TRANSPOSE(Inps!$C$85:$J$85)</f>
        <v>S/N</v>
      </c>
      <c r="G325" s="72">
        <v>8</v>
      </c>
    </row>
    <row r="326" spans="4:18" outlineLevel="3" x14ac:dyDescent="0.3">
      <c r="F326" s="60" t="str">
        <v>Name of the Loans</v>
      </c>
      <c r="G326" s="73" t="str">
        <f>VLOOKUP(Calc!G325,Inps!$C$85:$J$95,MATCH(Calc!F326,Inps!$C$85:$J$85,0))</f>
        <v>New Debt 3</v>
      </c>
    </row>
    <row r="327" spans="4:18" outlineLevel="3" x14ac:dyDescent="0.3">
      <c r="F327" s="60" t="str">
        <v>Issue Year</v>
      </c>
      <c r="G327" s="74">
        <f>VLOOKUP(Calc!G325,Inps!$C$85:$J$95,MATCH(Calc!F327,Inps!$C$85:$J$85,0))</f>
        <v>2025</v>
      </c>
      <c r="K327" s="24"/>
      <c r="L327" s="24" t="s">
        <v>420</v>
      </c>
      <c r="M327" s="28">
        <f>($G327=M$152)*1</f>
        <v>0</v>
      </c>
      <c r="N327" s="28">
        <f t="shared" ref="N327:Q328" si="174">($G327=N$152)*1</f>
        <v>0</v>
      </c>
      <c r="O327" s="28">
        <f t="shared" si="174"/>
        <v>1</v>
      </c>
      <c r="P327" s="28">
        <f t="shared" si="174"/>
        <v>0</v>
      </c>
      <c r="Q327" s="28">
        <f t="shared" si="174"/>
        <v>0</v>
      </c>
    </row>
    <row r="328" spans="4:18" outlineLevel="3" x14ac:dyDescent="0.3">
      <c r="F328" s="60" t="str">
        <v>Due Year</v>
      </c>
      <c r="G328" s="74">
        <f>VLOOKUP(Calc!G325,Inps!$C$85:$J$95,MATCH(Calc!F328,Inps!$C$85:$J$85,0))</f>
        <v>2028</v>
      </c>
      <c r="K328" s="24"/>
      <c r="L328" s="24" t="s">
        <v>421</v>
      </c>
      <c r="M328" s="28">
        <f>($G328=M$152)*1</f>
        <v>0</v>
      </c>
      <c r="N328" s="28">
        <f t="shared" si="174"/>
        <v>0</v>
      </c>
      <c r="O328" s="28">
        <f t="shared" si="174"/>
        <v>0</v>
      </c>
      <c r="P328" s="28">
        <f t="shared" si="174"/>
        <v>0</v>
      </c>
      <c r="Q328" s="28">
        <f t="shared" si="174"/>
        <v>0</v>
      </c>
    </row>
    <row r="329" spans="4:18" outlineLevel="3" x14ac:dyDescent="0.3">
      <c r="F329" s="60" t="str">
        <v>Category</v>
      </c>
      <c r="G329" s="73" t="str">
        <f>VLOOKUP(Calc!G325,Inps!$C$85:$J$95,MATCH(Calc!F329,Inps!$C$85:$J$85,0))</f>
        <v>Floating</v>
      </c>
      <c r="K329" s="24"/>
      <c r="L329" s="24"/>
    </row>
    <row r="330" spans="4:18" outlineLevel="3" x14ac:dyDescent="0.3">
      <c r="F330" s="60" t="str">
        <v>Benchmark</v>
      </c>
      <c r="G330" s="73" t="str">
        <f>VLOOKUP(Calc!G325,Inps!$C$85:$J$95,MATCH(Calc!F330,Inps!$C$85:$J$85,0))</f>
        <v>NIBOR</v>
      </c>
      <c r="K330" s="24"/>
      <c r="L330" s="24"/>
    </row>
    <row r="331" spans="4:18" outlineLevel="3" x14ac:dyDescent="0.3">
      <c r="F331" s="60" t="str">
        <v xml:space="preserve">Rate </v>
      </c>
      <c r="G331" s="77">
        <f>VLOOKUP(Calc!G325,Inps!$C$85:$J$95,MATCH(Calc!F331,Inps!$C$85:$J$85,0))</f>
        <v>0.08</v>
      </c>
      <c r="K331" s="24" t="s">
        <v>422</v>
      </c>
      <c r="L331" s="24" t="str">
        <f>G329</f>
        <v>Floating</v>
      </c>
      <c r="M331" t="b">
        <f>$G329=Floating</f>
        <v>1</v>
      </c>
      <c r="N331" t="b">
        <f t="shared" ref="N331:Q331" si="175">$G329=Floating</f>
        <v>1</v>
      </c>
      <c r="O331" t="b">
        <f t="shared" si="175"/>
        <v>1</v>
      </c>
      <c r="P331" t="b">
        <f t="shared" si="175"/>
        <v>1</v>
      </c>
      <c r="Q331" t="b">
        <f t="shared" si="175"/>
        <v>1</v>
      </c>
    </row>
    <row r="332" spans="4:18" outlineLevel="3" x14ac:dyDescent="0.3">
      <c r="F332" s="63" t="str">
        <v>Amount(2019)</v>
      </c>
      <c r="G332" s="75">
        <f>VLOOKUP(Calc!G325,Inps!$C$85:$J$95,MATCH(Calc!F332,Inps!$C$85:$J$85,0))</f>
        <v>6000000</v>
      </c>
      <c r="K332" s="24" t="s">
        <v>423</v>
      </c>
      <c r="L332" s="24" t="str">
        <f>G330</f>
        <v>NIBOR</v>
      </c>
      <c r="M332" s="2">
        <f>IFERROR(INDEX(M$146:M$148,MATCH($L332,$D$146:$D$148)),0)</f>
        <v>0.1</v>
      </c>
      <c r="N332" s="2">
        <f t="shared" ref="N332:Q332" si="176">IFERROR(INDEX(N$146:N$148,MATCH($L332,$D$146:$D$148)),0)</f>
        <v>9.0000000000000011E-2</v>
      </c>
      <c r="O332" s="2">
        <f t="shared" si="176"/>
        <v>9.0000000000000011E-2</v>
      </c>
      <c r="P332" s="2">
        <f t="shared" si="176"/>
        <v>7.0000000000000007E-2</v>
      </c>
      <c r="Q332" s="2">
        <f t="shared" si="176"/>
        <v>0.06</v>
      </c>
    </row>
    <row r="333" spans="4:18" outlineLevel="3" x14ac:dyDescent="0.3">
      <c r="K333" s="24"/>
      <c r="L333" s="24" t="s">
        <v>424</v>
      </c>
      <c r="M333" s="2">
        <f>$G331</f>
        <v>0.08</v>
      </c>
      <c r="N333" s="2">
        <f t="shared" ref="N333:Q333" si="177">$G331</f>
        <v>0.08</v>
      </c>
      <c r="O333" s="2">
        <f t="shared" si="177"/>
        <v>0.08</v>
      </c>
      <c r="P333" s="2">
        <f t="shared" si="177"/>
        <v>0.08</v>
      </c>
      <c r="Q333" s="2">
        <f t="shared" si="177"/>
        <v>0.08</v>
      </c>
    </row>
    <row r="334" spans="4:18" outlineLevel="3" x14ac:dyDescent="0.3"/>
    <row r="335" spans="4:18" outlineLevel="3" x14ac:dyDescent="0.3"/>
    <row r="336" spans="4:18" outlineLevel="3" x14ac:dyDescent="0.3">
      <c r="D336" t="s">
        <v>411</v>
      </c>
      <c r="L336" s="24" t="str">
        <f>D336</f>
        <v>Total Interest Expense</v>
      </c>
      <c r="M336">
        <f>AVERAGE(L324:M324)*M337</f>
        <v>0</v>
      </c>
      <c r="N336">
        <f t="shared" ref="N336" si="178">AVERAGE(M324:N324)*N337</f>
        <v>0</v>
      </c>
      <c r="O336">
        <f t="shared" ref="O336" si="179">AVERAGE(N324:O324)*O337</f>
        <v>510000.00000000006</v>
      </c>
      <c r="P336">
        <f t="shared" ref="P336" si="180">AVERAGE(O324:P324)*P337</f>
        <v>900000.00000000012</v>
      </c>
      <c r="Q336">
        <f t="shared" ref="Q336" si="181">AVERAGE(P324:Q324)*Q337</f>
        <v>840000.00000000012</v>
      </c>
      <c r="R336" t="s">
        <v>425</v>
      </c>
    </row>
    <row r="337" spans="3:17" outlineLevel="3" x14ac:dyDescent="0.3">
      <c r="D337" t="s">
        <v>393</v>
      </c>
      <c r="L337" s="24" t="str">
        <f>D337</f>
        <v>Interest Rate</v>
      </c>
      <c r="M337" s="2">
        <f>M333+M332*M331</f>
        <v>0.18</v>
      </c>
      <c r="N337" s="2">
        <f t="shared" ref="N337:Q337" si="182">N333+N332*N331</f>
        <v>0.17</v>
      </c>
      <c r="O337" s="2">
        <f t="shared" si="182"/>
        <v>0.17</v>
      </c>
      <c r="P337" s="2">
        <f t="shared" si="182"/>
        <v>0.15000000000000002</v>
      </c>
      <c r="Q337" s="2">
        <f t="shared" si="182"/>
        <v>0.14000000000000001</v>
      </c>
    </row>
    <row r="338" spans="3:17" outlineLevel="3" x14ac:dyDescent="0.3">
      <c r="L338" s="24"/>
      <c r="M338" s="2"/>
      <c r="N338" s="2"/>
      <c r="O338" s="2"/>
      <c r="P338" s="2"/>
      <c r="Q338" s="2"/>
    </row>
    <row r="339" spans="3:17" outlineLevel="3" x14ac:dyDescent="0.3"/>
    <row r="340" spans="3:17" ht="16" outlineLevel="2" thickBot="1" x14ac:dyDescent="0.4">
      <c r="C340" s="9" t="s">
        <v>494</v>
      </c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3:17" outlineLevel="3" x14ac:dyDescent="0.3">
      <c r="D341" t="s">
        <v>410</v>
      </c>
      <c r="M341">
        <f t="shared" ref="M341" si="183">L344</f>
        <v>0</v>
      </c>
      <c r="N341">
        <f t="shared" ref="N341" si="184">M344</f>
        <v>0</v>
      </c>
      <c r="O341">
        <f t="shared" ref="O341" si="185">N344</f>
        <v>0</v>
      </c>
      <c r="P341">
        <f t="shared" ref="P341" si="186">O344</f>
        <v>0</v>
      </c>
      <c r="Q341">
        <f t="shared" ref="Q341" si="187">P344</f>
        <v>3000000</v>
      </c>
    </row>
    <row r="342" spans="3:17" outlineLevel="3" x14ac:dyDescent="0.3">
      <c r="D342" t="s">
        <v>417</v>
      </c>
      <c r="M342">
        <f t="shared" ref="M342:Q342" si="188">M347*$G352</f>
        <v>0</v>
      </c>
      <c r="N342">
        <f t="shared" si="188"/>
        <v>0</v>
      </c>
      <c r="O342">
        <f t="shared" si="188"/>
        <v>0</v>
      </c>
      <c r="P342">
        <f t="shared" si="188"/>
        <v>3000000</v>
      </c>
      <c r="Q342">
        <f t="shared" si="188"/>
        <v>0</v>
      </c>
    </row>
    <row r="343" spans="3:17" ht="14.5" outlineLevel="3" thickBot="1" x14ac:dyDescent="0.35">
      <c r="D343" t="s">
        <v>418</v>
      </c>
      <c r="M343">
        <f t="shared" ref="M343:Q343" si="189">$G352*M348</f>
        <v>0</v>
      </c>
      <c r="N343">
        <f t="shared" si="189"/>
        <v>0</v>
      </c>
      <c r="O343">
        <f t="shared" si="189"/>
        <v>0</v>
      </c>
      <c r="P343">
        <f t="shared" si="189"/>
        <v>0</v>
      </c>
      <c r="Q343">
        <f t="shared" si="189"/>
        <v>0</v>
      </c>
    </row>
    <row r="344" spans="3:17" ht="14.5" outlineLevel="3" thickBot="1" x14ac:dyDescent="0.35">
      <c r="D344" t="s">
        <v>311</v>
      </c>
      <c r="L344" s="55">
        <f t="shared" ref="L344" si="190">(G347&lt;=L$152)*G352</f>
        <v>0</v>
      </c>
      <c r="M344" s="11">
        <f t="shared" ref="M344:Q344" si="191">M341+M342-M343</f>
        <v>0</v>
      </c>
      <c r="N344" s="11">
        <f t="shared" si="191"/>
        <v>0</v>
      </c>
      <c r="O344" s="11">
        <f t="shared" si="191"/>
        <v>0</v>
      </c>
      <c r="P344" s="11">
        <f t="shared" si="191"/>
        <v>3000000</v>
      </c>
      <c r="Q344" s="11">
        <f t="shared" si="191"/>
        <v>3000000</v>
      </c>
    </row>
    <row r="345" spans="3:17" outlineLevel="3" x14ac:dyDescent="0.3">
      <c r="F345" s="71" t="str" cm="1">
        <f t="array" ref="F345:F352">TRANSPOSE(Inps!$C$85:$J$85)</f>
        <v>S/N</v>
      </c>
      <c r="G345" s="72">
        <v>9</v>
      </c>
    </row>
    <row r="346" spans="3:17" outlineLevel="3" x14ac:dyDescent="0.3">
      <c r="F346" s="60" t="str">
        <v>Name of the Loans</v>
      </c>
      <c r="G346" s="73" t="str">
        <f>VLOOKUP(Calc!G345,Inps!$C$85:$J$95,MATCH(Calc!F346,Inps!$C$85:$J$85,0))</f>
        <v>New Debt 4</v>
      </c>
    </row>
    <row r="347" spans="3:17" outlineLevel="3" x14ac:dyDescent="0.3">
      <c r="F347" s="60" t="str">
        <v>Issue Year</v>
      </c>
      <c r="G347" s="74">
        <f>VLOOKUP(Calc!G345,Inps!$C$85:$J$95,MATCH(Calc!F347,Inps!$C$85:$J$85,0))</f>
        <v>2026</v>
      </c>
      <c r="K347" s="24"/>
      <c r="L347" s="24" t="s">
        <v>420</v>
      </c>
      <c r="M347" s="28">
        <f t="shared" ref="M347:Q348" si="192">($G347=M$152)*1</f>
        <v>0</v>
      </c>
      <c r="N347" s="28">
        <f t="shared" si="192"/>
        <v>0</v>
      </c>
      <c r="O347" s="28">
        <f t="shared" si="192"/>
        <v>0</v>
      </c>
      <c r="P347" s="28">
        <f t="shared" si="192"/>
        <v>1</v>
      </c>
      <c r="Q347" s="28">
        <f t="shared" si="192"/>
        <v>0</v>
      </c>
    </row>
    <row r="348" spans="3:17" outlineLevel="3" x14ac:dyDescent="0.3">
      <c r="F348" s="60" t="str">
        <v>Due Year</v>
      </c>
      <c r="G348" s="74">
        <f>VLOOKUP(Calc!G345,Inps!$C$85:$J$95,MATCH(Calc!F348,Inps!$C$85:$J$85,0))</f>
        <v>2030</v>
      </c>
      <c r="K348" s="24"/>
      <c r="L348" s="24" t="s">
        <v>421</v>
      </c>
      <c r="M348" s="28">
        <f t="shared" si="192"/>
        <v>0</v>
      </c>
      <c r="N348" s="28">
        <f t="shared" si="192"/>
        <v>0</v>
      </c>
      <c r="O348" s="28">
        <f t="shared" si="192"/>
        <v>0</v>
      </c>
      <c r="P348" s="28">
        <f t="shared" si="192"/>
        <v>0</v>
      </c>
      <c r="Q348" s="28">
        <f t="shared" si="192"/>
        <v>0</v>
      </c>
    </row>
    <row r="349" spans="3:17" outlineLevel="3" x14ac:dyDescent="0.3">
      <c r="F349" s="60" t="str">
        <v>Category</v>
      </c>
      <c r="G349" s="73" t="str">
        <f>VLOOKUP(Calc!G345,Inps!$C$85:$J$95,MATCH(Calc!F349,Inps!$C$85:$J$85,0))</f>
        <v>Floating</v>
      </c>
      <c r="K349" s="24"/>
      <c r="L349" s="24"/>
    </row>
    <row r="350" spans="3:17" outlineLevel="3" x14ac:dyDescent="0.3">
      <c r="F350" s="60" t="str">
        <v>Benchmark</v>
      </c>
      <c r="G350" s="73">
        <f>VLOOKUP(Calc!G345,Inps!$C$85:$J$95,MATCH(Calc!F350,Inps!$C$85:$J$85,0))</f>
        <v>0</v>
      </c>
      <c r="K350" s="24"/>
      <c r="L350" s="24"/>
    </row>
    <row r="351" spans="3:17" outlineLevel="3" x14ac:dyDescent="0.3">
      <c r="F351" s="60" t="str">
        <v xml:space="preserve">Rate </v>
      </c>
      <c r="G351" s="77">
        <f>VLOOKUP(Calc!G345,Inps!$C$85:$J$95,MATCH(Calc!F351,Inps!$C$85:$J$85,0))</f>
        <v>0.09</v>
      </c>
      <c r="K351" s="24" t="s">
        <v>422</v>
      </c>
      <c r="L351" s="24" t="str">
        <f t="shared" ref="L351:L352" si="193">G349</f>
        <v>Floating</v>
      </c>
      <c r="M351" t="b">
        <f t="shared" ref="M351:Q351" si="194">$G349=Floating</f>
        <v>1</v>
      </c>
      <c r="N351" t="b">
        <f t="shared" si="194"/>
        <v>1</v>
      </c>
      <c r="O351" t="b">
        <f t="shared" si="194"/>
        <v>1</v>
      </c>
      <c r="P351" t="b">
        <f t="shared" si="194"/>
        <v>1</v>
      </c>
      <c r="Q351" t="b">
        <f t="shared" si="194"/>
        <v>1</v>
      </c>
    </row>
    <row r="352" spans="3:17" outlineLevel="3" x14ac:dyDescent="0.3">
      <c r="F352" s="63" t="str">
        <v>Amount(2019)</v>
      </c>
      <c r="G352" s="75">
        <f>VLOOKUP(Calc!G345,Inps!$C$85:$J$95,MATCH(Calc!F352,Inps!$C$85:$J$85,0))</f>
        <v>3000000</v>
      </c>
      <c r="K352" s="24" t="s">
        <v>423</v>
      </c>
      <c r="L352" s="24">
        <f t="shared" si="193"/>
        <v>0</v>
      </c>
      <c r="M352" s="2">
        <f t="shared" ref="M352:Q352" si="195">IFERROR(INDEX(M$146:M$148,MATCH($L352,$D$146:$D$148)),0)</f>
        <v>0</v>
      </c>
      <c r="N352" s="2">
        <f t="shared" si="195"/>
        <v>0</v>
      </c>
      <c r="O352" s="2">
        <f t="shared" si="195"/>
        <v>0</v>
      </c>
      <c r="P352" s="2">
        <f t="shared" si="195"/>
        <v>0</v>
      </c>
      <c r="Q352" s="2">
        <f t="shared" si="195"/>
        <v>0</v>
      </c>
    </row>
    <row r="353" spans="3:17" outlineLevel="3" x14ac:dyDescent="0.3">
      <c r="K353" s="24"/>
      <c r="L353" s="24" t="s">
        <v>424</v>
      </c>
      <c r="M353" s="2">
        <f t="shared" ref="M353:Q353" si="196">$G351</f>
        <v>0.09</v>
      </c>
      <c r="N353" s="2">
        <f t="shared" si="196"/>
        <v>0.09</v>
      </c>
      <c r="O353" s="2">
        <f t="shared" si="196"/>
        <v>0.09</v>
      </c>
      <c r="P353" s="2">
        <f t="shared" si="196"/>
        <v>0.09</v>
      </c>
      <c r="Q353" s="2">
        <f t="shared" si="196"/>
        <v>0.09</v>
      </c>
    </row>
    <row r="354" spans="3:17" outlineLevel="3" x14ac:dyDescent="0.3"/>
    <row r="355" spans="3:17" outlineLevel="3" x14ac:dyDescent="0.3"/>
    <row r="356" spans="3:17" outlineLevel="3" x14ac:dyDescent="0.3">
      <c r="D356" t="s">
        <v>411</v>
      </c>
      <c r="L356" s="24" t="str">
        <f t="shared" ref="L356:L357" si="197">D356</f>
        <v>Total Interest Expense</v>
      </c>
      <c r="M356">
        <f t="shared" ref="M356" si="198">AVERAGE(L344:M344)*M357</f>
        <v>0</v>
      </c>
      <c r="N356">
        <f t="shared" ref="N356" si="199">AVERAGE(M344:N344)*N357</f>
        <v>0</v>
      </c>
      <c r="O356">
        <f t="shared" ref="O356" si="200">AVERAGE(N344:O344)*O357</f>
        <v>0</v>
      </c>
      <c r="P356">
        <f t="shared" ref="P356" si="201">AVERAGE(O344:P344)*P357</f>
        <v>135000</v>
      </c>
      <c r="Q356">
        <f t="shared" ref="Q356" si="202">AVERAGE(P344:Q344)*Q357</f>
        <v>270000</v>
      </c>
    </row>
    <row r="357" spans="3:17" outlineLevel="3" x14ac:dyDescent="0.3">
      <c r="D357" t="s">
        <v>393</v>
      </c>
      <c r="L357" s="24" t="str">
        <f t="shared" si="197"/>
        <v>Interest Rate</v>
      </c>
      <c r="M357" s="2">
        <f t="shared" ref="M357:Q357" si="203">M353+M352*M351</f>
        <v>0.09</v>
      </c>
      <c r="N357" s="2">
        <f t="shared" si="203"/>
        <v>0.09</v>
      </c>
      <c r="O357" s="2">
        <f t="shared" si="203"/>
        <v>0.09</v>
      </c>
      <c r="P357" s="2">
        <f t="shared" si="203"/>
        <v>0.09</v>
      </c>
      <c r="Q357" s="2">
        <f t="shared" si="203"/>
        <v>0.09</v>
      </c>
    </row>
    <row r="358" spans="3:17" ht="16" outlineLevel="2" thickBot="1" x14ac:dyDescent="0.4">
      <c r="C358" s="9" t="s">
        <v>495</v>
      </c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3:17" outlineLevel="3" x14ac:dyDescent="0.3">
      <c r="D359" t="s">
        <v>410</v>
      </c>
      <c r="M359">
        <f t="shared" ref="M359" si="204">L362</f>
        <v>0</v>
      </c>
      <c r="N359">
        <f t="shared" ref="N359" si="205">M362</f>
        <v>0</v>
      </c>
      <c r="O359">
        <f t="shared" ref="O359" si="206">N362</f>
        <v>0</v>
      </c>
      <c r="P359">
        <f t="shared" ref="P359" si="207">O362</f>
        <v>0</v>
      </c>
      <c r="Q359">
        <f t="shared" ref="Q359" si="208">P362</f>
        <v>0</v>
      </c>
    </row>
    <row r="360" spans="3:17" outlineLevel="3" x14ac:dyDescent="0.3">
      <c r="D360" t="s">
        <v>417</v>
      </c>
      <c r="M360">
        <f t="shared" ref="M360:Q360" si="209">M365*$G370</f>
        <v>0</v>
      </c>
      <c r="N360">
        <f t="shared" si="209"/>
        <v>0</v>
      </c>
      <c r="O360">
        <f t="shared" si="209"/>
        <v>0</v>
      </c>
      <c r="P360">
        <f t="shared" si="209"/>
        <v>0</v>
      </c>
      <c r="Q360">
        <f t="shared" si="209"/>
        <v>2000000</v>
      </c>
    </row>
    <row r="361" spans="3:17" ht="14.5" outlineLevel="3" thickBot="1" x14ac:dyDescent="0.35">
      <c r="D361" t="s">
        <v>418</v>
      </c>
      <c r="M361">
        <f t="shared" ref="M361:Q361" si="210">$G370*M366</f>
        <v>0</v>
      </c>
      <c r="N361">
        <f t="shared" si="210"/>
        <v>0</v>
      </c>
      <c r="O361">
        <f t="shared" si="210"/>
        <v>0</v>
      </c>
      <c r="P361">
        <f t="shared" si="210"/>
        <v>0</v>
      </c>
      <c r="Q361">
        <f t="shared" si="210"/>
        <v>0</v>
      </c>
    </row>
    <row r="362" spans="3:17" ht="14.5" outlineLevel="3" thickBot="1" x14ac:dyDescent="0.35">
      <c r="D362" t="s">
        <v>311</v>
      </c>
      <c r="L362" s="55">
        <f t="shared" ref="L362" si="211">(G365&lt;=L$152)*G370</f>
        <v>0</v>
      </c>
      <c r="M362" s="11">
        <f t="shared" ref="M362:Q362" si="212">M359+M360-M361</f>
        <v>0</v>
      </c>
      <c r="N362" s="11">
        <f t="shared" si="212"/>
        <v>0</v>
      </c>
      <c r="O362" s="11">
        <f t="shared" si="212"/>
        <v>0</v>
      </c>
      <c r="P362" s="11">
        <f t="shared" si="212"/>
        <v>0</v>
      </c>
      <c r="Q362" s="11">
        <f t="shared" si="212"/>
        <v>2000000</v>
      </c>
    </row>
    <row r="363" spans="3:17" outlineLevel="3" x14ac:dyDescent="0.3">
      <c r="F363" s="71" t="str" cm="1">
        <f t="array" ref="F363:F370">TRANSPOSE(Inps!$C$85:$J$85)</f>
        <v>S/N</v>
      </c>
      <c r="G363" s="72">
        <v>10</v>
      </c>
    </row>
    <row r="364" spans="3:17" outlineLevel="3" x14ac:dyDescent="0.3">
      <c r="F364" s="60" t="str">
        <v>Name of the Loans</v>
      </c>
      <c r="G364" s="73" t="str">
        <f>VLOOKUP(Calc!G363,Inps!$C$85:$J$95,MATCH(Calc!F364,Inps!$C$85:$J$85,0))</f>
        <v>New Debt 5</v>
      </c>
    </row>
    <row r="365" spans="3:17" outlineLevel="3" x14ac:dyDescent="0.3">
      <c r="F365" s="60" t="str">
        <v>Issue Year</v>
      </c>
      <c r="G365" s="74">
        <f>VLOOKUP(Calc!G363,Inps!$C$85:$J$95,MATCH(Calc!F365,Inps!$C$85:$J$85,0))</f>
        <v>2027</v>
      </c>
      <c r="K365" s="24"/>
      <c r="L365" s="24" t="s">
        <v>420</v>
      </c>
      <c r="M365" s="28">
        <f t="shared" ref="M365:Q366" si="213">($G365=M$152)*1</f>
        <v>0</v>
      </c>
      <c r="N365" s="28">
        <f t="shared" si="213"/>
        <v>0</v>
      </c>
      <c r="O365" s="28">
        <f t="shared" si="213"/>
        <v>0</v>
      </c>
      <c r="P365" s="28">
        <f t="shared" si="213"/>
        <v>0</v>
      </c>
      <c r="Q365" s="28">
        <f t="shared" si="213"/>
        <v>1</v>
      </c>
    </row>
    <row r="366" spans="3:17" outlineLevel="3" x14ac:dyDescent="0.3">
      <c r="F366" s="60" t="str">
        <v>Due Year</v>
      </c>
      <c r="G366" s="74">
        <f>VLOOKUP(Calc!G363,Inps!$C$85:$J$95,MATCH(Calc!F366,Inps!$C$85:$J$85,0))</f>
        <v>2032</v>
      </c>
      <c r="K366" s="24"/>
      <c r="L366" s="24" t="s">
        <v>421</v>
      </c>
      <c r="M366" s="28">
        <f t="shared" si="213"/>
        <v>0</v>
      </c>
      <c r="N366" s="28">
        <f t="shared" si="213"/>
        <v>0</v>
      </c>
      <c r="O366" s="28">
        <f t="shared" si="213"/>
        <v>0</v>
      </c>
      <c r="P366" s="28">
        <f t="shared" si="213"/>
        <v>0</v>
      </c>
      <c r="Q366" s="28">
        <f t="shared" si="213"/>
        <v>0</v>
      </c>
    </row>
    <row r="367" spans="3:17" outlineLevel="3" x14ac:dyDescent="0.3">
      <c r="F367" s="60" t="str">
        <v>Category</v>
      </c>
      <c r="G367" s="73" t="str">
        <f>VLOOKUP(Calc!G363,Inps!$C$85:$J$95,MATCH(Calc!F367,Inps!$C$85:$J$85,0))</f>
        <v>Fixed</v>
      </c>
      <c r="K367" s="24"/>
      <c r="L367" s="24"/>
    </row>
    <row r="368" spans="3:17" outlineLevel="3" x14ac:dyDescent="0.3">
      <c r="F368" s="60" t="str">
        <v>Benchmark</v>
      </c>
      <c r="G368" s="73">
        <f>VLOOKUP(Calc!G363,Inps!$C$85:$J$95,MATCH(Calc!F368,Inps!$C$85:$J$85,0))</f>
        <v>0</v>
      </c>
      <c r="K368" s="24"/>
      <c r="L368" s="24"/>
    </row>
    <row r="369" spans="2:17" outlineLevel="3" x14ac:dyDescent="0.3">
      <c r="F369" s="60" t="str">
        <v xml:space="preserve">Rate </v>
      </c>
      <c r="G369" s="77">
        <f>VLOOKUP(Calc!G363,Inps!$C$85:$J$95,MATCH(Calc!F369,Inps!$C$85:$J$85,0))</f>
        <v>0.1</v>
      </c>
      <c r="K369" s="24" t="s">
        <v>422</v>
      </c>
      <c r="L369" s="24" t="str">
        <f t="shared" ref="L369:L370" si="214">G367</f>
        <v>Fixed</v>
      </c>
      <c r="M369" t="b">
        <f t="shared" ref="M369:Q369" si="215">$G367=Floating</f>
        <v>0</v>
      </c>
      <c r="N369" t="b">
        <f t="shared" si="215"/>
        <v>0</v>
      </c>
      <c r="O369" t="b">
        <f t="shared" si="215"/>
        <v>0</v>
      </c>
      <c r="P369" t="b">
        <f t="shared" si="215"/>
        <v>0</v>
      </c>
      <c r="Q369" t="b">
        <f t="shared" si="215"/>
        <v>0</v>
      </c>
    </row>
    <row r="370" spans="2:17" outlineLevel="3" x14ac:dyDescent="0.3">
      <c r="F370" s="63" t="str">
        <v>Amount(2019)</v>
      </c>
      <c r="G370" s="75">
        <f>VLOOKUP(Calc!G363,Inps!$C$85:$J$95,MATCH(Calc!F370,Inps!$C$85:$J$85,0))</f>
        <v>2000000</v>
      </c>
      <c r="K370" s="24" t="s">
        <v>423</v>
      </c>
      <c r="L370" s="24">
        <f t="shared" si="214"/>
        <v>0</v>
      </c>
      <c r="M370" s="2">
        <f t="shared" ref="M370:Q370" si="216">IFERROR(INDEX(M$146:M$148,MATCH($L370,$D$146:$D$148)),0)</f>
        <v>0</v>
      </c>
      <c r="N370" s="2">
        <f t="shared" si="216"/>
        <v>0</v>
      </c>
      <c r="O370" s="2">
        <f t="shared" si="216"/>
        <v>0</v>
      </c>
      <c r="P370" s="2">
        <f t="shared" si="216"/>
        <v>0</v>
      </c>
      <c r="Q370" s="2">
        <f t="shared" si="216"/>
        <v>0</v>
      </c>
    </row>
    <row r="371" spans="2:17" outlineLevel="3" x14ac:dyDescent="0.3">
      <c r="K371" s="24"/>
      <c r="L371" s="24" t="s">
        <v>424</v>
      </c>
      <c r="M371" s="2">
        <f t="shared" ref="M371:Q371" si="217">$G369</f>
        <v>0.1</v>
      </c>
      <c r="N371" s="2">
        <f t="shared" si="217"/>
        <v>0.1</v>
      </c>
      <c r="O371" s="2">
        <f t="shared" si="217"/>
        <v>0.1</v>
      </c>
      <c r="P371" s="2">
        <f t="shared" si="217"/>
        <v>0.1</v>
      </c>
      <c r="Q371" s="2">
        <f t="shared" si="217"/>
        <v>0.1</v>
      </c>
    </row>
    <row r="372" spans="2:17" outlineLevel="3" x14ac:dyDescent="0.3"/>
    <row r="373" spans="2:17" outlineLevel="3" x14ac:dyDescent="0.3"/>
    <row r="374" spans="2:17" outlineLevel="3" x14ac:dyDescent="0.3">
      <c r="D374" t="s">
        <v>411</v>
      </c>
      <c r="L374" s="24" t="str">
        <f t="shared" ref="L374:L375" si="218">D374</f>
        <v>Total Interest Expense</v>
      </c>
      <c r="M374">
        <f t="shared" ref="M374" si="219">AVERAGE(L362:M362)*M375</f>
        <v>0</v>
      </c>
      <c r="N374">
        <f t="shared" ref="N374" si="220">AVERAGE(M362:N362)*N375</f>
        <v>0</v>
      </c>
      <c r="O374">
        <f t="shared" ref="O374" si="221">AVERAGE(N362:O362)*O375</f>
        <v>0</v>
      </c>
      <c r="P374">
        <f t="shared" ref="P374" si="222">AVERAGE(O362:P362)*P375</f>
        <v>0</v>
      </c>
      <c r="Q374">
        <f t="shared" ref="Q374" si="223">AVERAGE(P362:Q362)*Q375</f>
        <v>100000</v>
      </c>
    </row>
    <row r="375" spans="2:17" outlineLevel="3" x14ac:dyDescent="0.3">
      <c r="D375" t="s">
        <v>393</v>
      </c>
      <c r="L375" s="24" t="str">
        <f t="shared" si="218"/>
        <v>Interest Rate</v>
      </c>
      <c r="M375" s="2">
        <f t="shared" ref="M375:Q375" si="224">M371+M370*M369</f>
        <v>0.1</v>
      </c>
      <c r="N375" s="2">
        <f t="shared" si="224"/>
        <v>0.1</v>
      </c>
      <c r="O375" s="2">
        <f t="shared" si="224"/>
        <v>0.1</v>
      </c>
      <c r="P375" s="2">
        <f t="shared" si="224"/>
        <v>0.1</v>
      </c>
      <c r="Q375" s="2">
        <f t="shared" si="224"/>
        <v>0.1</v>
      </c>
    </row>
    <row r="376" spans="2:17" outlineLevel="3" x14ac:dyDescent="0.3">
      <c r="L376" s="24"/>
    </row>
    <row r="377" spans="2:17" outlineLevel="3" x14ac:dyDescent="0.3"/>
    <row r="378" spans="2:17" ht="17" thickBot="1" x14ac:dyDescent="0.4">
      <c r="B378" s="8" t="s">
        <v>435</v>
      </c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spans="2:17" ht="15" thickTop="1" x14ac:dyDescent="0.35">
      <c r="C379" s="20" t="s">
        <v>437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</row>
    <row r="380" spans="2:17" ht="16" outlineLevel="2" thickBot="1" x14ac:dyDescent="0.4">
      <c r="C380" s="9" t="s">
        <v>436</v>
      </c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2:17" ht="14.5" outlineLevel="3" thickBot="1" x14ac:dyDescent="0.35">
      <c r="D381" t="s">
        <v>438</v>
      </c>
      <c r="L381">
        <f>BS!L47</f>
        <v>0</v>
      </c>
      <c r="M381">
        <f>BS!M47</f>
        <v>0</v>
      </c>
      <c r="N381">
        <f>BS!N47</f>
        <v>0</v>
      </c>
      <c r="O381">
        <f>BS!O47</f>
        <v>0</v>
      </c>
      <c r="P381">
        <f>BS!P47</f>
        <v>0</v>
      </c>
      <c r="Q381">
        <f>BS!Q47</f>
        <v>0</v>
      </c>
    </row>
    <row r="382" spans="2:17" ht="14.5" outlineLevel="3" thickBot="1" x14ac:dyDescent="0.35">
      <c r="D382" t="str">
        <f>D150</f>
        <v>Interest Rate on Revolver</v>
      </c>
      <c r="M382" s="53">
        <f>M150</f>
        <v>0.08</v>
      </c>
      <c r="N382" s="53">
        <f>N150</f>
        <v>0.08</v>
      </c>
      <c r="O382" s="53">
        <f>O150</f>
        <v>0.08</v>
      </c>
      <c r="P382" s="53">
        <f>P150</f>
        <v>0.08</v>
      </c>
      <c r="Q382" s="53">
        <f>Q150</f>
        <v>0.08</v>
      </c>
    </row>
    <row r="383" spans="2:17" outlineLevel="3" x14ac:dyDescent="0.3"/>
    <row r="384" spans="2:17" outlineLevel="3" x14ac:dyDescent="0.3">
      <c r="D384" s="78" t="s">
        <v>439</v>
      </c>
      <c r="E384" s="79"/>
      <c r="F384" s="79"/>
      <c r="G384" s="79"/>
      <c r="H384" s="79"/>
      <c r="I384" s="79"/>
      <c r="J384" s="79"/>
      <c r="K384" s="79"/>
      <c r="L384" s="79"/>
      <c r="M384" s="84">
        <f>ROUND(IF(Circular_Toggle,AVERAGE(L381:M381)*M382,L381*M382),2)</f>
        <v>0</v>
      </c>
      <c r="N384" s="84">
        <f>ROUND(IF(Circular_Toggle,AVERAGE(M381:N381)*N382,M381*N382),2)</f>
        <v>0</v>
      </c>
      <c r="O384" s="84">
        <f>ROUND(IF(Circular_Toggle,AVERAGE(N381:O381)*O382,N381*O382),2)</f>
        <v>0</v>
      </c>
      <c r="P384" s="84">
        <f>ROUND(IF(Circular_Toggle,AVERAGE(O381:P381)*P382,O381*P382),2)</f>
        <v>0</v>
      </c>
      <c r="Q384" s="85">
        <f>ROUND(IF(Circular_Toggle,AVERAGE(P381:Q381)*Q382,P381*Q382),2)</f>
        <v>0</v>
      </c>
    </row>
    <row r="385" spans="3:17" outlineLevel="3" x14ac:dyDescent="0.3"/>
    <row r="386" spans="3:17" outlineLevel="3" x14ac:dyDescent="0.3"/>
    <row r="387" spans="3:17" ht="16" outlineLevel="2" thickBot="1" x14ac:dyDescent="0.4">
      <c r="C387" s="9" t="s">
        <v>440</v>
      </c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3:17" ht="14.5" outlineLevel="3" thickBot="1" x14ac:dyDescent="0.35">
      <c r="D388" t="s">
        <v>441</v>
      </c>
      <c r="L388" s="55">
        <f>BS!L23</f>
        <v>117932430</v>
      </c>
      <c r="M388">
        <f>BS!M23</f>
        <v>82178267.588417619</v>
      </c>
      <c r="N388">
        <f>BS!N23</f>
        <v>98195495.005463436</v>
      </c>
      <c r="O388">
        <f>BS!O23</f>
        <v>118970357.35939801</v>
      </c>
      <c r="P388">
        <f>BS!P23</f>
        <v>148616653.54744908</v>
      </c>
      <c r="Q388">
        <f>BS!Q23</f>
        <v>80081560.067364573</v>
      </c>
    </row>
    <row r="389" spans="3:17" ht="14.5" outlineLevel="3" thickBot="1" x14ac:dyDescent="0.35">
      <c r="D389" t="str">
        <f>D149</f>
        <v>Interest rate on Cash</v>
      </c>
      <c r="M389" s="53">
        <f>M149</f>
        <v>0.04</v>
      </c>
      <c r="N389" s="53">
        <f>N149</f>
        <v>0.04</v>
      </c>
      <c r="O389" s="53">
        <f>O149</f>
        <v>0.04</v>
      </c>
      <c r="P389" s="53">
        <f>P149</f>
        <v>0.04</v>
      </c>
      <c r="Q389" s="53">
        <f>Q149</f>
        <v>0.04</v>
      </c>
    </row>
    <row r="390" spans="3:17" outlineLevel="3" x14ac:dyDescent="0.3"/>
    <row r="391" spans="3:17" ht="14.5" outlineLevel="3" thickBot="1" x14ac:dyDescent="0.35">
      <c r="D391" s="80" t="s">
        <v>440</v>
      </c>
      <c r="E391" s="79"/>
      <c r="F391" s="79"/>
      <c r="G391" s="79"/>
      <c r="H391" s="79"/>
      <c r="I391" s="79"/>
      <c r="J391" s="79"/>
      <c r="K391" s="79"/>
      <c r="L391" s="79"/>
      <c r="M391" s="11">
        <f>ROUND(IF(Circular_Toggle,AVERAGE(L388:M388)*M389,L388*M389),2)</f>
        <v>4717297.2</v>
      </c>
      <c r="N391" s="11">
        <f>ROUND(IF(Circular_Toggle,AVERAGE(M388:N388)*N389,M388*N389),2)</f>
        <v>3287130.7</v>
      </c>
      <c r="O391" s="11">
        <f>ROUND(IF(Circular_Toggle,AVERAGE(N388:O388)*O389,N388*O389),2)</f>
        <v>3927819.8</v>
      </c>
      <c r="P391" s="11">
        <f>ROUND(IF(Circular_Toggle,AVERAGE(O388:P388)*P389,O388*P389),2)</f>
        <v>4758814.29</v>
      </c>
      <c r="Q391" s="11">
        <f>ROUND(IF(Circular_Toggle,AVERAGE(P388:Q388)*Q389,P388*Q389),2)</f>
        <v>5944666.1399999997</v>
      </c>
    </row>
    <row r="392" spans="3:17" ht="14.5" outlineLevel="3" thickTop="1" x14ac:dyDescent="0.3"/>
    <row r="393" spans="3:17" ht="16" outlineLevel="2" thickBot="1" x14ac:dyDescent="0.4">
      <c r="C393" s="9" t="s">
        <v>442</v>
      </c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3:17" outlineLevel="3" x14ac:dyDescent="0.3">
      <c r="D394" t="str">
        <f>D384</f>
        <v>Interest Expense on Overdraft</v>
      </c>
      <c r="M394">
        <f t="shared" ref="M394:Q394" si="225">M384</f>
        <v>0</v>
      </c>
      <c r="N394">
        <f t="shared" si="225"/>
        <v>0</v>
      </c>
      <c r="O394">
        <f t="shared" si="225"/>
        <v>0</v>
      </c>
      <c r="P394">
        <f t="shared" si="225"/>
        <v>0</v>
      </c>
      <c r="Q394">
        <f t="shared" si="225"/>
        <v>0</v>
      </c>
    </row>
    <row r="395" spans="3:17" outlineLevel="3" x14ac:dyDescent="0.3">
      <c r="D395" t="str">
        <f>D177</f>
        <v>Total Interest Expense On Debt</v>
      </c>
      <c r="M395">
        <f>M177</f>
        <v>25327742.790000003</v>
      </c>
      <c r="N395">
        <f>N177</f>
        <v>23564196.27</v>
      </c>
      <c r="O395">
        <f>O177</f>
        <v>23844196.27</v>
      </c>
      <c r="P395">
        <f>P177</f>
        <v>21049065.150000002</v>
      </c>
      <c r="Q395">
        <f>Q177</f>
        <v>12495151.034999998</v>
      </c>
    </row>
    <row r="396" spans="3:17" outlineLevel="3" x14ac:dyDescent="0.3"/>
    <row r="397" spans="3:17" ht="14.5" outlineLevel="3" thickBot="1" x14ac:dyDescent="0.35">
      <c r="D397" s="80" t="s">
        <v>444</v>
      </c>
      <c r="E397" s="79"/>
      <c r="F397" s="79"/>
      <c r="G397" s="79"/>
      <c r="H397" s="79"/>
      <c r="I397" s="79"/>
      <c r="J397" s="79"/>
      <c r="K397" s="79"/>
      <c r="L397" s="79"/>
      <c r="M397" s="11">
        <f>SUM(M394:M395)</f>
        <v>25327742.790000003</v>
      </c>
      <c r="N397" s="11">
        <f t="shared" ref="N397:Q397" si="226">SUM(N394:N395)</f>
        <v>23564196.27</v>
      </c>
      <c r="O397" s="11">
        <f>SUM(O394:O395)</f>
        <v>23844196.27</v>
      </c>
      <c r="P397" s="11">
        <f t="shared" si="226"/>
        <v>21049065.150000002</v>
      </c>
      <c r="Q397" s="11">
        <f t="shared" si="226"/>
        <v>12495151.034999998</v>
      </c>
    </row>
    <row r="398" spans="3:17" ht="14.5" outlineLevel="3" thickTop="1" x14ac:dyDescent="0.3"/>
    <row r="399" spans="3:17" outlineLevel="3" x14ac:dyDescent="0.3"/>
    <row r="401" spans="2:17" ht="17" thickBot="1" x14ac:dyDescent="0.4">
      <c r="B401" s="8" t="s">
        <v>446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spans="2:17" ht="15" thickTop="1" x14ac:dyDescent="0.35">
      <c r="C402" s="20" t="s">
        <v>457</v>
      </c>
    </row>
    <row r="403" spans="2:17" ht="16" outlineLevel="2" thickBot="1" x14ac:dyDescent="0.4">
      <c r="C403" s="9" t="s">
        <v>447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2:17" ht="14.5" outlineLevel="3" thickBot="1" x14ac:dyDescent="0.35">
      <c r="D404" t="str">
        <f>CF!D48</f>
        <v>Beginning Balance</v>
      </c>
      <c r="M404" s="55">
        <f>CF!M48</f>
        <v>117932430</v>
      </c>
      <c r="N404" s="55">
        <f>CF!N48</f>
        <v>82178267.588417619</v>
      </c>
      <c r="O404" s="55">
        <f>CF!O48</f>
        <v>98195495.005463436</v>
      </c>
      <c r="P404" s="55">
        <f>CF!P48</f>
        <v>118970357.35939801</v>
      </c>
      <c r="Q404" s="55">
        <f>CF!Q48</f>
        <v>148616653.54744908</v>
      </c>
    </row>
    <row r="405" spans="2:17" ht="14.5" outlineLevel="3" thickBot="1" x14ac:dyDescent="0.35">
      <c r="D405" t="str">
        <f>CF!D49</f>
        <v>Total Cash Generated in the Year</v>
      </c>
      <c r="M405" s="55">
        <f>CF!M49</f>
        <v>-35754162.411582388</v>
      </c>
      <c r="N405" s="55">
        <f>CF!N49</f>
        <v>16017227.417045817</v>
      </c>
      <c r="O405" s="55">
        <f>CF!O49</f>
        <v>20774862.353934564</v>
      </c>
      <c r="P405" s="55">
        <f>CF!P49</f>
        <v>29646296.188051075</v>
      </c>
      <c r="Q405" s="55">
        <f>CF!Q49</f>
        <v>-68535093.480084509</v>
      </c>
    </row>
    <row r="406" spans="2:17" ht="14.5" outlineLevel="3" thickBot="1" x14ac:dyDescent="0.35">
      <c r="D406" t="str">
        <f>CF!D50</f>
        <v>Ending Balance</v>
      </c>
      <c r="M406" s="83">
        <f>CF!M50</f>
        <v>82178267.588417619</v>
      </c>
      <c r="N406" s="83">
        <f>CF!N50</f>
        <v>98195495.005463436</v>
      </c>
      <c r="O406" s="83">
        <f>CF!O50</f>
        <v>118970357.35939801</v>
      </c>
      <c r="P406" s="83">
        <f>CF!P50</f>
        <v>148616653.54744908</v>
      </c>
      <c r="Q406" s="83">
        <f>CF!Q50</f>
        <v>80081560.067364573</v>
      </c>
    </row>
    <row r="407" spans="2:17" outlineLevel="3" x14ac:dyDescent="0.3"/>
    <row r="408" spans="2:17" outlineLevel="3" x14ac:dyDescent="0.3"/>
    <row r="409" spans="2:17" ht="16" outlineLevel="2" thickBot="1" x14ac:dyDescent="0.4">
      <c r="C409" s="9" t="s">
        <v>449</v>
      </c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2:17" ht="14.5" outlineLevel="3" thickBot="1" x14ac:dyDescent="0.35">
      <c r="D410" t="str">
        <f>CF!D26</f>
        <v>Total Cash Flow from Operations</v>
      </c>
      <c r="M410" s="55">
        <f>CF!M26</f>
        <v>21175939.759237956</v>
      </c>
      <c r="N410" s="55">
        <f>CF!N26</f>
        <v>75586575.505556747</v>
      </c>
      <c r="O410" s="55">
        <f>CF!O26</f>
        <v>95670165.919663608</v>
      </c>
      <c r="P410" s="55">
        <f>CF!P26</f>
        <v>123634712.19911864</v>
      </c>
      <c r="Q410" s="55">
        <f>CF!Q26</f>
        <v>162215213.48202172</v>
      </c>
    </row>
    <row r="411" spans="2:17" ht="14.5" outlineLevel="3" thickBot="1" x14ac:dyDescent="0.35">
      <c r="D411" t="str">
        <f>CF!D31</f>
        <v>Total Cash Flow from Investing</v>
      </c>
      <c r="M411" s="55">
        <f>CF!M31</f>
        <v>-13977841.208759999</v>
      </c>
      <c r="N411" s="55">
        <f>CF!N31</f>
        <v>-14242041.791375665</v>
      </c>
      <c r="O411" s="55">
        <f>CF!O31</f>
        <v>-14511299.173142591</v>
      </c>
      <c r="P411" s="55">
        <f>CF!P31</f>
        <v>-14785710.141196543</v>
      </c>
      <c r="Q411" s="55">
        <f>CF!Q31</f>
        <v>-15065373.335179044</v>
      </c>
    </row>
    <row r="412" spans="2:17" ht="14.5" outlineLevel="3" thickBot="1" x14ac:dyDescent="0.35"/>
    <row r="413" spans="2:17" ht="14.5" outlineLevel="3" thickBot="1" x14ac:dyDescent="0.35">
      <c r="D413" t="str">
        <f>CF!D35</f>
        <v xml:space="preserve">Change in Share capital </v>
      </c>
      <c r="M413" s="55">
        <f>CF!M35</f>
        <v>0</v>
      </c>
      <c r="N413" s="55">
        <f>CF!N35</f>
        <v>0</v>
      </c>
      <c r="O413" s="55">
        <f>CF!O35</f>
        <v>0</v>
      </c>
      <c r="P413" s="55">
        <f>CF!P35</f>
        <v>0</v>
      </c>
      <c r="Q413" s="55">
        <f>CF!Q35</f>
        <v>0</v>
      </c>
    </row>
    <row r="414" spans="2:17" ht="14.5" outlineLevel="3" thickBot="1" x14ac:dyDescent="0.35">
      <c r="D414" t="str">
        <f>CF!D36</f>
        <v xml:space="preserve">Change in Share premium </v>
      </c>
      <c r="M414" s="55">
        <f>CF!M36</f>
        <v>0</v>
      </c>
      <c r="N414" s="55">
        <f>CF!N36</f>
        <v>0</v>
      </c>
      <c r="O414" s="55">
        <f>CF!O36</f>
        <v>0</v>
      </c>
      <c r="P414" s="55">
        <f>CF!P36</f>
        <v>0</v>
      </c>
      <c r="Q414" s="55">
        <f>CF!Q36</f>
        <v>0</v>
      </c>
    </row>
    <row r="415" spans="2:17" ht="14.5" outlineLevel="3" thickBot="1" x14ac:dyDescent="0.35">
      <c r="D415" t="str">
        <f>CF!D37</f>
        <v xml:space="preserve">Change in Share based payment reserve </v>
      </c>
      <c r="M415" s="55">
        <f>CF!M37</f>
        <v>0</v>
      </c>
      <c r="N415" s="55">
        <f>CF!N37</f>
        <v>0</v>
      </c>
      <c r="O415" s="55">
        <f>CF!O37</f>
        <v>0</v>
      </c>
      <c r="P415" s="55">
        <f>CF!P37</f>
        <v>0</v>
      </c>
      <c r="Q415" s="55">
        <f>CF!Q37</f>
        <v>0</v>
      </c>
    </row>
    <row r="416" spans="2:17" ht="14.5" outlineLevel="3" thickBot="1" x14ac:dyDescent="0.35">
      <c r="D416" t="str">
        <f>CF!D38</f>
        <v>Total New Debt Issued</v>
      </c>
      <c r="M416" s="55">
        <f>CF!M38</f>
        <v>5000000</v>
      </c>
      <c r="N416" s="55">
        <f>CF!N38</f>
        <v>1000000</v>
      </c>
      <c r="O416" s="55">
        <f>CF!O38</f>
        <v>6000000</v>
      </c>
      <c r="P416" s="55">
        <f>CF!P38</f>
        <v>3000000</v>
      </c>
      <c r="Q416" s="55">
        <f>CF!Q38</f>
        <v>2000000</v>
      </c>
    </row>
    <row r="417" spans="3:17" ht="14.5" outlineLevel="3" thickBot="1" x14ac:dyDescent="0.35">
      <c r="D417" t="str">
        <f>CF!D39</f>
        <v>Total Repayments</v>
      </c>
      <c r="M417" s="55">
        <f>CF!M39</f>
        <v>-8293512</v>
      </c>
      <c r="N417" s="55">
        <f>CF!N39</f>
        <v>0</v>
      </c>
      <c r="O417" s="55">
        <f>CF!O39</f>
        <v>-5000000</v>
      </c>
      <c r="P417" s="55">
        <f>CF!P39</f>
        <v>-1000000</v>
      </c>
      <c r="Q417" s="55">
        <f>CF!Q39</f>
        <v>-109589709</v>
      </c>
    </row>
    <row r="418" spans="3:17" ht="14.5" outlineLevel="3" thickBot="1" x14ac:dyDescent="0.35">
      <c r="D418" t="str">
        <f>CF!D40</f>
        <v>Dividend Paid</v>
      </c>
      <c r="M418" s="55">
        <f>CF!M40</f>
        <v>-39658748.962060347</v>
      </c>
      <c r="N418" s="55">
        <f>CF!N40</f>
        <v>-46327306.297135264</v>
      </c>
      <c r="O418" s="55">
        <f>CF!O40</f>
        <v>-61384004.392586447</v>
      </c>
      <c r="P418" s="55">
        <f>CF!P40</f>
        <v>-81202705.86987102</v>
      </c>
      <c r="Q418" s="55">
        <f>CF!Q40</f>
        <v>-108095224.6269272</v>
      </c>
    </row>
    <row r="419" spans="3:17" outlineLevel="3" x14ac:dyDescent="0.3">
      <c r="D419" s="29" t="s">
        <v>451</v>
      </c>
      <c r="M419" s="12">
        <f>SUM(M410:M418)</f>
        <v>-35754162.411582388</v>
      </c>
      <c r="N419" s="12">
        <f t="shared" ref="N419:Q419" si="227">SUM(N410:N418)</f>
        <v>16017227.417045817</v>
      </c>
      <c r="O419" s="12">
        <f t="shared" si="227"/>
        <v>20774862.353934564</v>
      </c>
      <c r="P419" s="12">
        <f t="shared" si="227"/>
        <v>29646296.188051075</v>
      </c>
      <c r="Q419" s="12">
        <f t="shared" si="227"/>
        <v>-68535093.480084509</v>
      </c>
    </row>
    <row r="420" spans="3:17" outlineLevel="3" x14ac:dyDescent="0.3"/>
    <row r="421" spans="3:17" ht="16" outlineLevel="2" thickBot="1" x14ac:dyDescent="0.4">
      <c r="C421" s="9" t="s">
        <v>448</v>
      </c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3:17" outlineLevel="3" x14ac:dyDescent="0.3"/>
    <row r="423" spans="3:17" outlineLevel="3" x14ac:dyDescent="0.3">
      <c r="D423" t="s">
        <v>377</v>
      </c>
      <c r="M423">
        <f>L425</f>
        <v>0</v>
      </c>
      <c r="N423">
        <f t="shared" ref="N423:Q423" si="228">M425</f>
        <v>0</v>
      </c>
      <c r="O423">
        <f t="shared" si="228"/>
        <v>0</v>
      </c>
      <c r="P423">
        <f t="shared" si="228"/>
        <v>0</v>
      </c>
      <c r="Q423">
        <f t="shared" si="228"/>
        <v>0</v>
      </c>
    </row>
    <row r="424" spans="3:17" ht="14.5" outlineLevel="3" thickBot="1" x14ac:dyDescent="0.35">
      <c r="D424" t="s">
        <v>452</v>
      </c>
      <c r="M424">
        <f>-MIN(M404+M419,M423)</f>
        <v>0</v>
      </c>
      <c r="N424">
        <f t="shared" ref="N424:Q424" si="229">-MIN(N404+N419,N423)</f>
        <v>0</v>
      </c>
      <c r="O424">
        <f t="shared" si="229"/>
        <v>0</v>
      </c>
      <c r="P424">
        <f t="shared" si="229"/>
        <v>0</v>
      </c>
      <c r="Q424">
        <f t="shared" si="229"/>
        <v>0</v>
      </c>
    </row>
    <row r="425" spans="3:17" ht="14.5" outlineLevel="3" thickBot="1" x14ac:dyDescent="0.35">
      <c r="D425" t="s">
        <v>453</v>
      </c>
      <c r="L425" s="55">
        <f>BS!L47</f>
        <v>0</v>
      </c>
      <c r="M425" s="12">
        <f>SUM(M423:M424)</f>
        <v>0</v>
      </c>
      <c r="N425" s="12">
        <f t="shared" ref="N425:Q425" si="230">SUM(N423:N424)</f>
        <v>0</v>
      </c>
      <c r="O425" s="12">
        <f t="shared" si="230"/>
        <v>0</v>
      </c>
      <c r="P425" s="12">
        <f t="shared" si="230"/>
        <v>0</v>
      </c>
      <c r="Q425" s="12">
        <f t="shared" si="230"/>
        <v>0</v>
      </c>
    </row>
    <row r="426" spans="3:17" outlineLevel="3" x14ac:dyDescent="0.3"/>
    <row r="427" spans="3:17" ht="14.5" outlineLevel="3" x14ac:dyDescent="0.35">
      <c r="D427" t="s">
        <v>454</v>
      </c>
      <c r="E427" s="20" t="s">
        <v>455</v>
      </c>
      <c r="M427" s="12">
        <f>M404+M419</f>
        <v>82178267.588417619</v>
      </c>
      <c r="N427" s="12">
        <f t="shared" ref="N427:Q427" si="231">N404+N419</f>
        <v>98195495.005463436</v>
      </c>
      <c r="O427" s="12">
        <f t="shared" si="231"/>
        <v>118970357.35939801</v>
      </c>
      <c r="P427" s="12">
        <f t="shared" si="231"/>
        <v>148616653.54744908</v>
      </c>
      <c r="Q427" s="12">
        <f t="shared" si="231"/>
        <v>80081560.067364573</v>
      </c>
    </row>
    <row r="428" spans="3:17" outlineLevel="3" x14ac:dyDescent="0.3"/>
  </sheetData>
  <phoneticPr fontId="22" type="noConversion"/>
  <conditionalFormatting sqref="J6:Q7">
    <cfRule type="cellIs" dxfId="18" priority="17" operator="equal">
      <formula>0</formula>
    </cfRule>
  </conditionalFormatting>
  <conditionalFormatting sqref="M187:Q188">
    <cfRule type="cellIs" dxfId="17" priority="8" operator="equal">
      <formula>0</formula>
    </cfRule>
  </conditionalFormatting>
  <conditionalFormatting sqref="M207:Q208">
    <cfRule type="cellIs" dxfId="16" priority="7" operator="equal">
      <formula>0</formula>
    </cfRule>
  </conditionalFormatting>
  <conditionalFormatting sqref="M227:Q228">
    <cfRule type="cellIs" dxfId="15" priority="6" operator="equal">
      <formula>0</formula>
    </cfRule>
  </conditionalFormatting>
  <conditionalFormatting sqref="M247:Q248">
    <cfRule type="cellIs" dxfId="14" priority="5" operator="equal">
      <formula>0</formula>
    </cfRule>
  </conditionalFormatting>
  <conditionalFormatting sqref="M267:Q268">
    <cfRule type="cellIs" dxfId="13" priority="4" operator="equal">
      <formula>0</formula>
    </cfRule>
  </conditionalFormatting>
  <conditionalFormatting sqref="M287:Q288">
    <cfRule type="cellIs" dxfId="12" priority="3" operator="equal">
      <formula>0</formula>
    </cfRule>
  </conditionalFormatting>
  <conditionalFormatting sqref="M307:Q308">
    <cfRule type="cellIs" dxfId="11" priority="2" operator="equal">
      <formula>0</formula>
    </cfRule>
  </conditionalFormatting>
  <conditionalFormatting sqref="M327:Q328 M347:Q348 M365:Q366">
    <cfRule type="cellIs" dxfId="10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0B8D83E8-D874-423F-B1D7-9FB0C4ABB3E2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52D4-9516-4DC2-A8BE-907AEC051144}">
  <sheetPr>
    <tabColor rgb="FF0070C0"/>
    <pageSetUpPr fitToPage="1"/>
  </sheetPr>
  <dimension ref="A1:R24"/>
  <sheetViews>
    <sheetView showGridLines="0" zoomScale="80" zoomScaleNormal="80" workbookViewId="0">
      <pane xSplit="4" ySplit="8" topLeftCell="J9" activePane="bottomRight" state="frozen"/>
      <selection activeCell="D5" sqref="D5"/>
      <selection pane="topRight" activeCell="D5" sqref="D5"/>
      <selection pane="bottomLeft" activeCell="D5" sqref="D5"/>
      <selection pane="bottomRight" activeCell="M23" sqref="M23"/>
    </sheetView>
  </sheetViews>
  <sheetFormatPr defaultColWidth="0" defaultRowHeight="14" x14ac:dyDescent="0.3"/>
  <cols>
    <col min="1" max="3" width="2" customWidth="1"/>
    <col min="4" max="4" width="27.1640625" customWidth="1"/>
    <col min="5" max="6" width="8.6640625" customWidth="1"/>
    <col min="7" max="8" width="2.6640625" customWidth="1"/>
    <col min="9" max="9" width="11.75" bestFit="1" customWidth="1"/>
    <col min="10" max="15" width="14.6640625" bestFit="1" customWidth="1"/>
    <col min="16" max="17" width="16.25" bestFit="1" customWidth="1"/>
    <col min="18" max="18" width="8.6640625" customWidth="1"/>
    <col min="19" max="16384" width="8.6640625" hidden="1"/>
  </cols>
  <sheetData>
    <row r="1" spans="2:18" ht="7" customHeight="1" x14ac:dyDescent="0.3"/>
    <row r="2" spans="2:18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8" ht="25" x14ac:dyDescent="0.5">
      <c r="C3" s="7" t="s">
        <v>77</v>
      </c>
    </row>
    <row r="4" spans="2:18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8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8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8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8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9" spans="2:18" ht="14.5" thickBot="1" x14ac:dyDescent="0.35"/>
    <row r="10" spans="2:18" ht="14.5" thickBot="1" x14ac:dyDescent="0.35">
      <c r="D10" s="29" t="str">
        <f>Hist!D99</f>
        <v>Revenue</v>
      </c>
      <c r="J10" s="55">
        <f>Hist!J99</f>
        <v>287084087</v>
      </c>
      <c r="K10" s="55">
        <f>Hist!K99</f>
        <v>351822329</v>
      </c>
      <c r="L10" s="55">
        <f>Hist!L99</f>
        <v>446819260</v>
      </c>
      <c r="M10">
        <f>Calc!M14</f>
        <v>545119497.20000005</v>
      </c>
      <c r="N10">
        <f>Calc!N14</f>
        <v>665045786.58399999</v>
      </c>
      <c r="O10">
        <f>Calc!O14</f>
        <v>811355859.63248003</v>
      </c>
      <c r="P10">
        <f>Calc!P14</f>
        <v>989854148.75162566</v>
      </c>
      <c r="Q10">
        <f>Calc!Q14</f>
        <v>1207622061.4769833</v>
      </c>
    </row>
    <row r="11" spans="2:18" ht="14.5" thickBot="1" x14ac:dyDescent="0.35">
      <c r="D11" t="str">
        <f>Hist!D100</f>
        <v>Cost of Sales</v>
      </c>
      <c r="J11" s="55">
        <f>Hist!J100</f>
        <v>162807627</v>
      </c>
      <c r="K11" s="55">
        <f>Hist!K100</f>
        <v>214296403</v>
      </c>
      <c r="L11" s="55">
        <f>Hist!L100</f>
        <v>284557646</v>
      </c>
      <c r="M11">
        <f>Calc!M23</f>
        <v>358198021.61012006</v>
      </c>
      <c r="N11">
        <f>Calc!N23</f>
        <v>437001586.36434639</v>
      </c>
      <c r="O11">
        <f>Calc!O23</f>
        <v>533141935.36450267</v>
      </c>
      <c r="P11">
        <f>Calc!P23</f>
        <v>650433161.14469326</v>
      </c>
      <c r="Q11">
        <f>Calc!Q23</f>
        <v>793528456.59652579</v>
      </c>
    </row>
    <row r="12" spans="2:18" s="29" customFormat="1" ht="14.5" thickBot="1" x14ac:dyDescent="0.35">
      <c r="D12" s="29" t="str">
        <f>Hist!D101</f>
        <v>Gross Profit</v>
      </c>
      <c r="J12" s="12">
        <f>J10-J11</f>
        <v>124276460</v>
      </c>
      <c r="K12" s="12">
        <f>K10-K11</f>
        <v>137525926</v>
      </c>
      <c r="L12" s="12">
        <f t="shared" ref="L12:M12" si="4">L10-L11</f>
        <v>162261614</v>
      </c>
      <c r="M12" s="12">
        <f t="shared" si="4"/>
        <v>186921475.58987999</v>
      </c>
      <c r="N12" s="12">
        <f t="shared" ref="N12:Q12" si="5">N10-N11</f>
        <v>228044200.21965361</v>
      </c>
      <c r="O12" s="12">
        <f t="shared" si="5"/>
        <v>278213924.26797736</v>
      </c>
      <c r="P12" s="12">
        <f t="shared" si="5"/>
        <v>339420987.6069324</v>
      </c>
      <c r="Q12" s="12">
        <f t="shared" si="5"/>
        <v>414093604.88045752</v>
      </c>
      <c r="R12"/>
    </row>
    <row r="13" spans="2:18" ht="14.5" thickBot="1" x14ac:dyDescent="0.35">
      <c r="D13" t="str">
        <f>Hist!D102</f>
        <v>SG&amp;A Expenses</v>
      </c>
      <c r="J13" s="55">
        <f>Hist!J102</f>
        <v>52543061</v>
      </c>
      <c r="K13" s="55">
        <f>Hist!K102</f>
        <v>57316411</v>
      </c>
      <c r="L13" s="55">
        <f>Hist!L102</f>
        <v>66347382</v>
      </c>
      <c r="M13">
        <f>Calc!M24</f>
        <v>80943806.040000007</v>
      </c>
      <c r="N13">
        <f>Calc!N24</f>
        <v>98751443.368799999</v>
      </c>
      <c r="O13">
        <f>Calc!O24</f>
        <v>120476760.90993601</v>
      </c>
      <c r="P13">
        <f>Calc!P24</f>
        <v>146981648.31012192</v>
      </c>
      <c r="Q13">
        <f>Calc!Q24</f>
        <v>179317610.93834877</v>
      </c>
    </row>
    <row r="14" spans="2:18" s="29" customFormat="1" ht="14.5" thickBot="1" x14ac:dyDescent="0.35">
      <c r="D14" s="29" t="str">
        <f>Hist!D103</f>
        <v>EBITDA</v>
      </c>
      <c r="I14"/>
      <c r="J14" s="12">
        <f>J12-J13</f>
        <v>71733399</v>
      </c>
      <c r="K14" s="12">
        <f>K12-K13</f>
        <v>80209515</v>
      </c>
      <c r="L14" s="12">
        <f t="shared" ref="L14:M14" si="6">L12-L13</f>
        <v>95914232</v>
      </c>
      <c r="M14" s="12">
        <f t="shared" si="6"/>
        <v>105977669.54987998</v>
      </c>
      <c r="N14" s="12">
        <f t="shared" ref="N14:Q14" si="7">N12-N13</f>
        <v>129292756.85085361</v>
      </c>
      <c r="O14" s="12">
        <f t="shared" si="7"/>
        <v>157737163.35804135</v>
      </c>
      <c r="P14" s="12">
        <f t="shared" si="7"/>
        <v>192439339.29681048</v>
      </c>
      <c r="Q14" s="12">
        <f t="shared" si="7"/>
        <v>234775993.94210875</v>
      </c>
      <c r="R14"/>
    </row>
    <row r="15" spans="2:18" ht="14.5" thickBot="1" x14ac:dyDescent="0.35">
      <c r="D15" t="str">
        <f>Hist!D104</f>
        <v>Depreciation</v>
      </c>
      <c r="J15" s="55">
        <f>Hist!J104</f>
        <v>7314816</v>
      </c>
      <c r="K15" s="55">
        <f>Hist!K104</f>
        <v>7965131</v>
      </c>
      <c r="L15" s="55">
        <f>Hist!L104</f>
        <v>9018706</v>
      </c>
      <c r="M15">
        <f>Calc!M110</f>
        <v>11648201.007299999</v>
      </c>
      <c r="N15">
        <f>Calc!N110</f>
        <v>11868368.159479721</v>
      </c>
      <c r="O15">
        <f>Calc!O110</f>
        <v>12092749.310952161</v>
      </c>
      <c r="P15">
        <f>Calc!P110</f>
        <v>12321425.117663786</v>
      </c>
      <c r="Q15">
        <f>Calc!Q110</f>
        <v>12554477.77931587</v>
      </c>
    </row>
    <row r="16" spans="2:18" ht="14.5" thickBot="1" x14ac:dyDescent="0.35">
      <c r="D16" t="str">
        <f>Hist!D105</f>
        <v>Impairement</v>
      </c>
      <c r="J16" s="55">
        <f>Hist!J105</f>
        <v>0</v>
      </c>
      <c r="K16" s="55">
        <f>Hist!K105</f>
        <v>278438</v>
      </c>
      <c r="L16" s="55">
        <f>Hist!L105</f>
        <v>29043</v>
      </c>
      <c r="M16">
        <f>Calc!M33</f>
        <v>29043</v>
      </c>
      <c r="N16">
        <f>Calc!N33</f>
        <v>29043</v>
      </c>
      <c r="O16">
        <f>Calc!O33</f>
        <v>29043</v>
      </c>
      <c r="P16">
        <f>Calc!P33</f>
        <v>29043</v>
      </c>
      <c r="Q16">
        <f>Calc!Q33</f>
        <v>29043</v>
      </c>
    </row>
    <row r="17" spans="1:17" s="29" customFormat="1" ht="14.5" thickBot="1" x14ac:dyDescent="0.35">
      <c r="A17"/>
      <c r="D17" s="29" t="str">
        <f>Hist!D106</f>
        <v>EBIT</v>
      </c>
      <c r="J17" s="12">
        <f>J14-J15-J16</f>
        <v>64418583</v>
      </c>
      <c r="K17" s="12">
        <f>K14-K15-K16</f>
        <v>71965946</v>
      </c>
      <c r="L17" s="12">
        <f t="shared" ref="L17:M17" si="8">L14-L15-L16</f>
        <v>86866483</v>
      </c>
      <c r="M17" s="12">
        <f t="shared" si="8"/>
        <v>94300425.542579979</v>
      </c>
      <c r="N17" s="12">
        <f t="shared" ref="N17:Q17" si="9">N14-N15-N16</f>
        <v>117395345.69137388</v>
      </c>
      <c r="O17" s="12">
        <f t="shared" si="9"/>
        <v>145615371.04708919</v>
      </c>
      <c r="P17" s="12">
        <f t="shared" si="9"/>
        <v>180088871.17914671</v>
      </c>
      <c r="Q17" s="12">
        <f t="shared" si="9"/>
        <v>222192473.16279289</v>
      </c>
    </row>
    <row r="18" spans="1:17" ht="14.5" thickBot="1" x14ac:dyDescent="0.35">
      <c r="D18" t="str">
        <f>Hist!D107</f>
        <v>Interest income</v>
      </c>
      <c r="J18" s="55">
        <f>Hist!J107</f>
        <v>646546</v>
      </c>
      <c r="K18" s="55">
        <f>Hist!K107</f>
        <v>1987042</v>
      </c>
      <c r="L18" s="55">
        <f>Hist!L107</f>
        <v>4777113</v>
      </c>
      <c r="M18">
        <f>Calc!M391</f>
        <v>4717297.2</v>
      </c>
      <c r="N18">
        <f>Calc!N391</f>
        <v>3287130.7</v>
      </c>
      <c r="O18">
        <f>Calc!O391</f>
        <v>3927819.8</v>
      </c>
      <c r="P18">
        <f>Calc!P391</f>
        <v>4758814.29</v>
      </c>
      <c r="Q18">
        <f>Calc!Q391</f>
        <v>5944666.1399999997</v>
      </c>
    </row>
    <row r="19" spans="1:17" ht="14.5" thickBot="1" x14ac:dyDescent="0.35">
      <c r="D19" t="str">
        <f>Hist!D108</f>
        <v>Interest Expense</v>
      </c>
      <c r="J19" s="55">
        <f>Hist!J108</f>
        <v>2698404</v>
      </c>
      <c r="K19" s="55">
        <f>Hist!K108</f>
        <v>7342611</v>
      </c>
      <c r="L19" s="55">
        <f>Hist!L108</f>
        <v>12682244</v>
      </c>
      <c r="M19">
        <f>Calc!M397</f>
        <v>25327742.790000003</v>
      </c>
      <c r="N19">
        <f>Calc!N397</f>
        <v>23564196.27</v>
      </c>
      <c r="O19">
        <f>Calc!O397</f>
        <v>23844196.27</v>
      </c>
      <c r="P19">
        <f>Calc!P397</f>
        <v>21049065.150000002</v>
      </c>
      <c r="Q19">
        <f>Calc!Q397</f>
        <v>12495151.034999998</v>
      </c>
    </row>
    <row r="20" spans="1:17" ht="14.5" thickBot="1" x14ac:dyDescent="0.35">
      <c r="D20" t="str">
        <f>Hist!D109</f>
        <v>Net Foreign Exchange Loss</v>
      </c>
      <c r="J20" s="55">
        <f>Hist!J109</f>
        <v>1728282</v>
      </c>
      <c r="K20" s="55">
        <f>Hist!K109</f>
        <v>4735034</v>
      </c>
      <c r="L20" s="55">
        <f>Hist!L109</f>
        <v>7851981</v>
      </c>
      <c r="M20">
        <f>Calc!M34</f>
        <v>7851981</v>
      </c>
      <c r="N20">
        <f>Calc!N34</f>
        <v>7851981</v>
      </c>
      <c r="O20">
        <f>Calc!O34</f>
        <v>7851981</v>
      </c>
      <c r="P20">
        <f>Calc!P34</f>
        <v>7851981</v>
      </c>
      <c r="Q20">
        <f>Calc!Q34</f>
        <v>7851981</v>
      </c>
    </row>
    <row r="21" spans="1:17" s="29" customFormat="1" ht="14.5" thickBot="1" x14ac:dyDescent="0.35">
      <c r="D21" s="29" t="str">
        <f>Hist!D110</f>
        <v>EBT</v>
      </c>
      <c r="J21" s="12">
        <f>J17+J18-J19-J20</f>
        <v>60638443</v>
      </c>
      <c r="K21" s="12">
        <f>K17+K18-K19-K20</f>
        <v>61875343</v>
      </c>
      <c r="L21" s="12">
        <f t="shared" ref="L21:Q21" si="10">L17+L18-L19-L20</f>
        <v>71109371</v>
      </c>
      <c r="M21" s="12">
        <f t="shared" si="10"/>
        <v>65837998.952579975</v>
      </c>
      <c r="N21" s="12">
        <f t="shared" si="10"/>
        <v>89266299.121373892</v>
      </c>
      <c r="O21" s="12">
        <f t="shared" si="10"/>
        <v>117847013.57708921</v>
      </c>
      <c r="P21" s="12">
        <f t="shared" si="10"/>
        <v>155946639.31914669</v>
      </c>
      <c r="Q21" s="12">
        <f t="shared" si="10"/>
        <v>207790007.26779288</v>
      </c>
    </row>
    <row r="22" spans="1:17" ht="14.5" thickBot="1" x14ac:dyDescent="0.35">
      <c r="D22" t="str">
        <f>Hist!D111</f>
        <v>Current Tax Expense</v>
      </c>
      <c r="J22" s="55">
        <f>Hist!J111</f>
        <v>21899010</v>
      </c>
      <c r="K22" s="55">
        <f>Hist!K111</f>
        <v>21234703</v>
      </c>
      <c r="L22" s="55">
        <f>Hist!L111</f>
        <v>19877447</v>
      </c>
      <c r="M22">
        <f>Calc!M47</f>
        <v>20012159.664825592</v>
      </c>
      <c r="N22">
        <f>Calc!N47</f>
        <v>27509215.718839645</v>
      </c>
      <c r="O22">
        <f>Calc!O47</f>
        <v>36655044.344668545</v>
      </c>
      <c r="P22">
        <f>Calc!P47</f>
        <v>48846924.582126945</v>
      </c>
      <c r="Q22">
        <f>Calc!Q47</f>
        <v>65436802.325693727</v>
      </c>
    </row>
    <row r="23" spans="1:17" ht="14.5" thickBot="1" x14ac:dyDescent="0.35">
      <c r="D23" t="str">
        <f>Hist!D112</f>
        <v>Deferred Taxes</v>
      </c>
      <c r="J23" s="55">
        <f>Hist!J112</f>
        <v>-472592</v>
      </c>
      <c r="K23" s="55">
        <f>Hist!K112</f>
        <v>603362</v>
      </c>
      <c r="L23" s="55">
        <f>Hist!L112</f>
        <v>2266436</v>
      </c>
      <c r="M23">
        <f>Calc!M48</f>
        <v>1056000</v>
      </c>
      <c r="N23">
        <f>Calc!N48</f>
        <v>1056000</v>
      </c>
      <c r="O23">
        <f>Calc!O48</f>
        <v>1056000</v>
      </c>
      <c r="P23">
        <f>Calc!P48</f>
        <v>1056000</v>
      </c>
      <c r="Q23">
        <f>Calc!Q48</f>
        <v>1056000</v>
      </c>
    </row>
    <row r="24" spans="1:17" s="29" customFormat="1" x14ac:dyDescent="0.3">
      <c r="D24" s="29" t="str">
        <f>Hist!D113</f>
        <v>Net Profit</v>
      </c>
      <c r="J24" s="12">
        <f>J21-J22-J23</f>
        <v>39212025</v>
      </c>
      <c r="K24" s="12">
        <f>K21-K22-K23</f>
        <v>40037278</v>
      </c>
      <c r="L24" s="12">
        <f t="shared" ref="L24:Q24" si="11">L21-L22-L23</f>
        <v>48965488</v>
      </c>
      <c r="M24" s="12">
        <f t="shared" si="11"/>
        <v>44769839.287754387</v>
      </c>
      <c r="N24" s="12">
        <f t="shared" si="11"/>
        <v>60701083.402534246</v>
      </c>
      <c r="O24" s="12">
        <f t="shared" si="11"/>
        <v>80135969.232420653</v>
      </c>
      <c r="P24" s="12">
        <f t="shared" si="11"/>
        <v>106043714.73701975</v>
      </c>
      <c r="Q24" s="12">
        <f t="shared" si="11"/>
        <v>141297204.94209915</v>
      </c>
    </row>
  </sheetData>
  <conditionalFormatting sqref="J6:Q7">
    <cfRule type="cellIs" dxfId="8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3</xdr:col>
                    <xdr:colOff>1066800</xdr:colOff>
                    <xdr:row>5</xdr:row>
                    <xdr:rowOff>63500</xdr:rowOff>
                  </from>
                  <to>
                    <xdr:col>4</xdr:col>
                    <xdr:colOff>184150</xdr:colOff>
                    <xdr:row>6</xdr:row>
                    <xdr:rowOff>146050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A5D7505-A278-43A4-8F0A-3EE195327BFF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F63B-B459-4CAF-B757-4D1915DF6FD1}">
  <sheetPr>
    <tabColor rgb="FF0070C0"/>
    <outlinePr summaryBelow="0" summaryRight="0"/>
    <pageSetUpPr fitToPage="1"/>
  </sheetPr>
  <dimension ref="A1:R52"/>
  <sheetViews>
    <sheetView showGridLines="0" zoomScale="80" zoomScaleNormal="80" workbookViewId="0">
      <pane xSplit="4" ySplit="8" topLeftCell="E26" activePane="bottomRight" state="frozen"/>
      <selection activeCell="D5" sqref="D5"/>
      <selection pane="topRight" activeCell="D5" sqref="D5"/>
      <selection pane="bottomLeft" activeCell="D5" sqref="D5"/>
      <selection pane="bottomRight" activeCell="M37" sqref="M37"/>
    </sheetView>
  </sheetViews>
  <sheetFormatPr defaultColWidth="0" defaultRowHeight="14" outlineLevelRow="2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9" width="11.1640625" bestFit="1" customWidth="1"/>
    <col min="10" max="12" width="14.6640625" bestFit="1" customWidth="1"/>
    <col min="13" max="17" width="14.41406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79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K7" si="3">(J5&gt;=Date_last_historical)*1</f>
        <v>0</v>
      </c>
      <c r="K7" s="28">
        <f t="shared" si="3"/>
        <v>0</v>
      </c>
      <c r="L7" s="28">
        <f t="shared" ref="L7:Q7" si="4">(L5&gt;Date_last_historical)*1</f>
        <v>0</v>
      </c>
      <c r="M7" s="28">
        <f t="shared" si="4"/>
        <v>1</v>
      </c>
      <c r="N7" s="28">
        <f t="shared" si="4"/>
        <v>1</v>
      </c>
      <c r="O7" s="28">
        <f t="shared" si="4"/>
        <v>1</v>
      </c>
      <c r="P7" s="28">
        <f t="shared" si="4"/>
        <v>1</v>
      </c>
      <c r="Q7" s="28">
        <f t="shared" si="4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7" ht="17" thickBot="1" x14ac:dyDescent="0.4">
      <c r="B10" s="8" t="str">
        <f>Hist!B118</f>
        <v>Assets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2:17" ht="16.5" outlineLevel="1" thickTop="1" thickBot="1" x14ac:dyDescent="0.4">
      <c r="C11" s="9" t="str">
        <f>Hist!C119</f>
        <v>Non - Current Assets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ht="14.5" outlineLevel="2" thickBot="1" x14ac:dyDescent="0.35">
      <c r="D12" t="str">
        <f>Hist!D120</f>
        <v>PP&amp;E</v>
      </c>
      <c r="J12" s="69">
        <f>Hist!J120</f>
        <v>92320364</v>
      </c>
      <c r="K12" s="69">
        <f>Hist!K120</f>
        <v>103812889</v>
      </c>
      <c r="L12" s="69">
        <f>Hist!L120</f>
        <v>121715789</v>
      </c>
      <c r="M12">
        <f>Calc!M112</f>
        <v>124016386.20145999</v>
      </c>
      <c r="N12">
        <f>Calc!N112</f>
        <v>126361016.83335592</v>
      </c>
      <c r="O12">
        <f>Calc!O112</f>
        <v>128750523.69554636</v>
      </c>
      <c r="P12">
        <f>Calc!P112</f>
        <v>131185765.71907912</v>
      </c>
      <c r="Q12">
        <f>Calc!Q112</f>
        <v>133667618.27494229</v>
      </c>
    </row>
    <row r="13" spans="2:17" outlineLevel="2" x14ac:dyDescent="0.3">
      <c r="D13" s="29" t="str">
        <f>Hist!D121</f>
        <v>Total Non-Current Assets</v>
      </c>
      <c r="J13" s="12">
        <f t="shared" ref="J13:K13" si="5">SUM(J12)</f>
        <v>92320364</v>
      </c>
      <c r="K13" s="12">
        <f t="shared" si="5"/>
        <v>103812889</v>
      </c>
      <c r="L13" s="12">
        <f t="shared" ref="L13" si="6">SUM(L12)</f>
        <v>121715789</v>
      </c>
      <c r="M13" s="12">
        <f t="shared" ref="M13:Q13" si="7">SUM(M12)</f>
        <v>124016386.20145999</v>
      </c>
      <c r="N13" s="12">
        <f t="shared" si="7"/>
        <v>126361016.83335592</v>
      </c>
      <c r="O13" s="12">
        <f t="shared" si="7"/>
        <v>128750523.69554636</v>
      </c>
      <c r="P13" s="12">
        <f t="shared" si="7"/>
        <v>131185765.71907912</v>
      </c>
      <c r="Q13" s="12">
        <f t="shared" si="7"/>
        <v>133667618.27494229</v>
      </c>
    </row>
    <row r="14" spans="2:17" outlineLevel="2" x14ac:dyDescent="0.3"/>
    <row r="15" spans="2:17" ht="16" outlineLevel="1" thickBot="1" x14ac:dyDescent="0.4">
      <c r="C15" s="9" t="str">
        <f>Hist!C123</f>
        <v xml:space="preserve"> Current Assets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2:17" ht="14.5" outlineLevel="2" thickBot="1" x14ac:dyDescent="0.35">
      <c r="D16" t="str">
        <f>Hist!D124</f>
        <v>Trade Receivables</v>
      </c>
      <c r="J16" s="69">
        <f>Hist!J124</f>
        <v>10904423</v>
      </c>
      <c r="K16" s="69">
        <f>Hist!K124</f>
        <v>4206216</v>
      </c>
      <c r="L16" s="69">
        <f>Hist!L124</f>
        <v>5493686</v>
      </c>
      <c r="M16">
        <f>Calc!M85</f>
        <v>37831293.105680004</v>
      </c>
      <c r="N16">
        <f>Calc!N85</f>
        <v>46154177.588929601</v>
      </c>
      <c r="O16">
        <f>Calc!O85</f>
        <v>56308096.658494115</v>
      </c>
      <c r="P16">
        <f>Calc!P85</f>
        <v>68695877.923362821</v>
      </c>
      <c r="Q16">
        <f>Calc!Q85</f>
        <v>83808971.066502646</v>
      </c>
    </row>
    <row r="17" spans="2:17" ht="14.5" outlineLevel="2" thickBot="1" x14ac:dyDescent="0.35">
      <c r="D17" t="str">
        <f>Hist!D125</f>
        <v>Staff Loans</v>
      </c>
      <c r="J17" s="69">
        <f>Hist!J125</f>
        <v>2734089</v>
      </c>
      <c r="K17" s="69">
        <f>Hist!K125</f>
        <v>2870047</v>
      </c>
      <c r="L17" s="69">
        <f>Hist!L125</f>
        <v>2988632</v>
      </c>
      <c r="M17">
        <f>Calc!M86</f>
        <v>2866469</v>
      </c>
      <c r="N17">
        <f>Calc!N86</f>
        <v>2866469</v>
      </c>
      <c r="O17">
        <f>Calc!O86</f>
        <v>2866469</v>
      </c>
      <c r="P17">
        <f>Calc!P86</f>
        <v>2866469</v>
      </c>
      <c r="Q17">
        <f>Calc!Q86</f>
        <v>2866469</v>
      </c>
    </row>
    <row r="18" spans="2:17" ht="14.5" outlineLevel="2" thickBot="1" x14ac:dyDescent="0.35">
      <c r="D18" t="str">
        <f>Hist!D126</f>
        <v>Deposit with Company registrars for dividend</v>
      </c>
      <c r="J18" s="69">
        <f>Hist!J126</f>
        <v>2724553</v>
      </c>
      <c r="K18" s="69">
        <f>Hist!K126</f>
        <v>2801222</v>
      </c>
      <c r="L18" s="69">
        <f>Hist!L126</f>
        <v>2537334</v>
      </c>
      <c r="M18">
        <f>Calc!M87</f>
        <v>2439956.2411826141</v>
      </c>
      <c r="N18">
        <f>Calc!N87</f>
        <v>3308209.0454381164</v>
      </c>
      <c r="O18">
        <f>Calc!O87</f>
        <v>4367410.3231669255</v>
      </c>
      <c r="P18">
        <f>Calc!P87</f>
        <v>5779382.4531675763</v>
      </c>
      <c r="Q18">
        <f>Calc!Q87</f>
        <v>7700697.6693444038</v>
      </c>
    </row>
    <row r="19" spans="2:17" ht="14.5" outlineLevel="2" thickBot="1" x14ac:dyDescent="0.35">
      <c r="D19" t="str">
        <f>Hist!D127</f>
        <v>Advance payment to suppliers</v>
      </c>
      <c r="J19" s="69">
        <f>Hist!J127</f>
        <v>23625648</v>
      </c>
      <c r="K19" s="69">
        <f>Hist!K127</f>
        <v>34263887</v>
      </c>
      <c r="L19" s="69">
        <f>Hist!L127</f>
        <v>68444339</v>
      </c>
      <c r="M19">
        <f>Calc!M88</f>
        <v>75221584.538125202</v>
      </c>
      <c r="N19">
        <f>Calc!N88</f>
        <v>91770333.136512741</v>
      </c>
      <c r="O19">
        <f>Calc!O88</f>
        <v>111959806.42654556</v>
      </c>
      <c r="P19">
        <f>Calc!P88</f>
        <v>136590963.84038559</v>
      </c>
      <c r="Q19">
        <f>Calc!Q88</f>
        <v>166640975.88527042</v>
      </c>
    </row>
    <row r="20" spans="2:17" ht="14.5" outlineLevel="2" thickBot="1" x14ac:dyDescent="0.35">
      <c r="D20" t="str">
        <f>Hist!D128</f>
        <v>Other receivables</v>
      </c>
      <c r="J20" s="69">
        <f>Hist!J128</f>
        <v>1982017</v>
      </c>
      <c r="K20" s="69">
        <f>Hist!K128</f>
        <v>1708116</v>
      </c>
      <c r="L20" s="69">
        <f>Hist!L128</f>
        <v>5662251</v>
      </c>
      <c r="M20">
        <f>Calc!M89</f>
        <v>1170424</v>
      </c>
      <c r="N20">
        <f>Calc!N89</f>
        <v>1170424</v>
      </c>
      <c r="O20">
        <f>Calc!O89</f>
        <v>1170424</v>
      </c>
      <c r="P20">
        <f>Calc!P89</f>
        <v>1170424</v>
      </c>
      <c r="Q20">
        <f>Calc!Q89</f>
        <v>1170424</v>
      </c>
    </row>
    <row r="21" spans="2:17" ht="15" outlineLevel="2" thickBot="1" x14ac:dyDescent="0.4">
      <c r="D21" t="str">
        <f>Hist!D129</f>
        <v>Total Prepayments</v>
      </c>
      <c r="H21" s="70"/>
      <c r="J21" s="69">
        <f>Hist!J129</f>
        <v>968426</v>
      </c>
      <c r="K21" s="69">
        <f>Hist!K129</f>
        <v>1093841</v>
      </c>
      <c r="L21" s="69">
        <f>Hist!L129</f>
        <v>1929038</v>
      </c>
      <c r="M21">
        <f>Calc!M90</f>
        <v>1358804.0229754238</v>
      </c>
      <c r="N21">
        <f>Calc!N90</f>
        <v>1657740.9080300168</v>
      </c>
      <c r="O21">
        <f>Calc!O90</f>
        <v>2022443.9077966209</v>
      </c>
      <c r="P21">
        <f>Calc!P90</f>
        <v>2467381.567511877</v>
      </c>
      <c r="Q21">
        <f>Calc!Q90</f>
        <v>3010205.5123644909</v>
      </c>
    </row>
    <row r="22" spans="2:17" ht="14.5" outlineLevel="2" thickBot="1" x14ac:dyDescent="0.35">
      <c r="D22" t="str">
        <f>Hist!D130</f>
        <v xml:space="preserve">Inventories </v>
      </c>
      <c r="J22" s="69">
        <f>Hist!J130</f>
        <v>52222267</v>
      </c>
      <c r="K22" s="69">
        <f>Hist!K130</f>
        <v>58964125</v>
      </c>
      <c r="L22" s="69">
        <f>Hist!L130</f>
        <v>88340532</v>
      </c>
      <c r="M22">
        <f>Calc!M91</f>
        <v>68380002.325371921</v>
      </c>
      <c r="N22">
        <f>Calc!N91</f>
        <v>83423602.836953714</v>
      </c>
      <c r="O22">
        <f>Calc!O91</f>
        <v>101776795.46108355</v>
      </c>
      <c r="P22">
        <f>Calc!P91</f>
        <v>124167690.46252194</v>
      </c>
      <c r="Q22">
        <f>Calc!Q91</f>
        <v>151484582.36427677</v>
      </c>
    </row>
    <row r="23" spans="2:17" ht="14.5" outlineLevel="2" thickBot="1" x14ac:dyDescent="0.35">
      <c r="D23" t="str">
        <f>Hist!D131</f>
        <v>Cash and short term-deposit</v>
      </c>
      <c r="J23" s="69">
        <f>Hist!J131</f>
        <v>58703209</v>
      </c>
      <c r="K23" s="69">
        <f>Hist!K131</f>
        <v>100518159</v>
      </c>
      <c r="L23" s="69">
        <f>Hist!L131</f>
        <v>117932430</v>
      </c>
      <c r="M23">
        <f>CF!M50</f>
        <v>82178267.588417619</v>
      </c>
      <c r="N23">
        <f>CF!N50</f>
        <v>98195495.005463436</v>
      </c>
      <c r="O23">
        <f>CF!O50</f>
        <v>118970357.35939801</v>
      </c>
      <c r="P23">
        <f>CF!P50</f>
        <v>148616653.54744908</v>
      </c>
      <c r="Q23">
        <f>CF!Q50</f>
        <v>80081560.067364573</v>
      </c>
    </row>
    <row r="24" spans="2:17" outlineLevel="2" x14ac:dyDescent="0.3">
      <c r="D24" s="29" t="str">
        <f>Hist!D132</f>
        <v>Total Current Assets</v>
      </c>
      <c r="J24" s="12">
        <f t="shared" ref="J24:Q24" si="8">SUM(J16:J23)</f>
        <v>153864632</v>
      </c>
      <c r="K24" s="12">
        <f t="shared" si="8"/>
        <v>206425613</v>
      </c>
      <c r="L24" s="12">
        <f t="shared" si="8"/>
        <v>293328242</v>
      </c>
      <c r="M24" s="12">
        <f t="shared" si="8"/>
        <v>271446800.82175279</v>
      </c>
      <c r="N24" s="12">
        <f t="shared" si="8"/>
        <v>328546451.52132761</v>
      </c>
      <c r="O24" s="12">
        <f t="shared" si="8"/>
        <v>399441803.13648474</v>
      </c>
      <c r="P24" s="12">
        <f t="shared" si="8"/>
        <v>490354842.7943989</v>
      </c>
      <c r="Q24" s="12">
        <f t="shared" si="8"/>
        <v>496763885.56512332</v>
      </c>
    </row>
    <row r="25" spans="2:17" ht="14.5" outlineLevel="2" thickBot="1" x14ac:dyDescent="0.35">
      <c r="D25" s="29" t="str">
        <f>Hist!D133</f>
        <v>Total Assets</v>
      </c>
      <c r="J25" s="11">
        <f t="shared" ref="J25:Q25" si="9">J13+J24</f>
        <v>246184996</v>
      </c>
      <c r="K25" s="11">
        <f t="shared" si="9"/>
        <v>310238502</v>
      </c>
      <c r="L25" s="11">
        <f t="shared" si="9"/>
        <v>415044031</v>
      </c>
      <c r="M25" s="11">
        <f t="shared" si="9"/>
        <v>395463187.02321279</v>
      </c>
      <c r="N25" s="11">
        <f t="shared" si="9"/>
        <v>454907468.35468352</v>
      </c>
      <c r="O25" s="11">
        <f t="shared" si="9"/>
        <v>528192326.83203113</v>
      </c>
      <c r="P25" s="11">
        <f t="shared" si="9"/>
        <v>621540608.51347804</v>
      </c>
      <c r="Q25" s="11">
        <f t="shared" si="9"/>
        <v>630431503.8400656</v>
      </c>
    </row>
    <row r="26" spans="2:17" ht="17.5" thickTop="1" thickBot="1" x14ac:dyDescent="0.4">
      <c r="B26" s="8" t="str">
        <f>Hist!B134</f>
        <v>Liability &amp; Equity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ht="16.5" outlineLevel="1" thickTop="1" thickBot="1" x14ac:dyDescent="0.4">
      <c r="C27" s="9" t="str">
        <f>Hist!C135</f>
        <v>Equity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ht="14.5" outlineLevel="2" thickBot="1" x14ac:dyDescent="0.35">
      <c r="D28" t="str">
        <f>Hist!D136</f>
        <v xml:space="preserve">Share capital </v>
      </c>
      <c r="J28" s="69">
        <f>Hist!J136</f>
        <v>396328</v>
      </c>
      <c r="K28" s="69">
        <f>Hist!K136</f>
        <v>396328</v>
      </c>
      <c r="L28" s="69">
        <f>Hist!L136</f>
        <v>396328</v>
      </c>
      <c r="M28">
        <f>Calc!M118</f>
        <v>396328</v>
      </c>
      <c r="N28">
        <f>Calc!N118</f>
        <v>396328</v>
      </c>
      <c r="O28">
        <f>Calc!O118</f>
        <v>396328</v>
      </c>
      <c r="P28">
        <f>Calc!P118</f>
        <v>396328</v>
      </c>
      <c r="Q28">
        <f>Calc!Q118</f>
        <v>396328</v>
      </c>
    </row>
    <row r="29" spans="2:17" ht="14.5" outlineLevel="2" thickBot="1" x14ac:dyDescent="0.35">
      <c r="D29" t="str">
        <f>Hist!D137</f>
        <v xml:space="preserve">Share premium </v>
      </c>
      <c r="J29" s="69">
        <f>Hist!J137</f>
        <v>32262</v>
      </c>
      <c r="K29" s="69">
        <f>Hist!K137</f>
        <v>32262</v>
      </c>
      <c r="L29" s="69">
        <f>Hist!L137</f>
        <v>32262</v>
      </c>
      <c r="M29">
        <f>Calc!M123</f>
        <v>32262</v>
      </c>
      <c r="N29">
        <f>Calc!N123</f>
        <v>32262</v>
      </c>
      <c r="O29">
        <f>Calc!O123</f>
        <v>32262</v>
      </c>
      <c r="P29">
        <f>Calc!P123</f>
        <v>32262</v>
      </c>
      <c r="Q29">
        <f>Calc!Q123</f>
        <v>32262</v>
      </c>
    </row>
    <row r="30" spans="2:17" ht="14.5" outlineLevel="2" thickBot="1" x14ac:dyDescent="0.35">
      <c r="D30" t="str">
        <f>Hist!D138</f>
        <v xml:space="preserve">Share based payment reserve </v>
      </c>
      <c r="J30" s="69">
        <f>Hist!J138</f>
        <v>113811</v>
      </c>
      <c r="K30" s="69">
        <f>Hist!K138</f>
        <v>113456</v>
      </c>
      <c r="L30" s="69">
        <f>Hist!L138</f>
        <v>90127</v>
      </c>
      <c r="M30">
        <f>Calc!M128</f>
        <v>90127</v>
      </c>
      <c r="N30">
        <f>Calc!N128</f>
        <v>90127</v>
      </c>
      <c r="O30">
        <f>Calc!O128</f>
        <v>90127</v>
      </c>
      <c r="P30">
        <f>Calc!P128</f>
        <v>90127</v>
      </c>
      <c r="Q30">
        <f>Calc!Q128</f>
        <v>90127</v>
      </c>
    </row>
    <row r="31" spans="2:17" ht="14.5" outlineLevel="2" thickBot="1" x14ac:dyDescent="0.35">
      <c r="D31" t="str">
        <f>Hist!D139</f>
        <v xml:space="preserve">Retained earnings </v>
      </c>
      <c r="J31" s="69">
        <f>Hist!J139</f>
        <v>28754583</v>
      </c>
      <c r="K31" s="69">
        <f>Hist!K139</f>
        <v>20836160</v>
      </c>
      <c r="L31" s="69">
        <f>Hist!L139</f>
        <v>29772507</v>
      </c>
      <c r="M31">
        <f>Calc!M135</f>
        <v>38726474.857550874</v>
      </c>
      <c r="N31">
        <f>Calc!N135</f>
        <v>50866691.538057722</v>
      </c>
      <c r="O31">
        <f>Calc!O135</f>
        <v>66893885.384541839</v>
      </c>
      <c r="P31">
        <f>Calc!P135</f>
        <v>88102628.331945777</v>
      </c>
      <c r="Q31">
        <f>Calc!Q135</f>
        <v>116362069.32036561</v>
      </c>
    </row>
    <row r="32" spans="2:17" ht="14.5" outlineLevel="2" thickBot="1" x14ac:dyDescent="0.35">
      <c r="D32" s="29" t="str">
        <f>Hist!D140</f>
        <v>Total Equity</v>
      </c>
      <c r="J32" s="11">
        <f>SUM(J28:J31)</f>
        <v>29296984</v>
      </c>
      <c r="K32" s="11">
        <f>SUM(K28:K31)</f>
        <v>21378206</v>
      </c>
      <c r="L32" s="11">
        <f t="shared" ref="L32" si="10">SUM(L28:L31)</f>
        <v>30291224</v>
      </c>
      <c r="M32" s="11">
        <f>SUM(M28:M31)</f>
        <v>39245191.857550874</v>
      </c>
      <c r="N32" s="11">
        <f t="shared" ref="N32:Q32" si="11">SUM(N28:N31)</f>
        <v>51385408.538057722</v>
      </c>
      <c r="O32" s="11">
        <f t="shared" si="11"/>
        <v>67412602.384541839</v>
      </c>
      <c r="P32" s="11">
        <f t="shared" si="11"/>
        <v>88621345.331945777</v>
      </c>
      <c r="Q32" s="11">
        <f t="shared" si="11"/>
        <v>116880786.32036561</v>
      </c>
    </row>
    <row r="33" spans="3:17" ht="16.5" outlineLevel="1" thickTop="1" thickBot="1" x14ac:dyDescent="0.4">
      <c r="C33" s="9" t="str">
        <f>Hist!C141</f>
        <v>Non - Current Liabilities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ht="14.5" outlineLevel="2" thickBot="1" x14ac:dyDescent="0.35">
      <c r="D34" t="str">
        <f>Hist!D142</f>
        <v>Total Loans and Borrowings</v>
      </c>
      <c r="J34" s="69">
        <f>Hist!J142</f>
        <v>40211686</v>
      </c>
      <c r="K34" s="69">
        <f>Hist!K142</f>
        <v>76864802</v>
      </c>
      <c r="L34" s="69">
        <f>Hist!L142</f>
        <v>155300068</v>
      </c>
      <c r="M34">
        <f>Calc!M175</f>
        <v>152006556</v>
      </c>
      <c r="N34">
        <f>Calc!N175</f>
        <v>153006556</v>
      </c>
      <c r="O34">
        <f>Calc!O175</f>
        <v>154006556</v>
      </c>
      <c r="P34">
        <f>Calc!P175</f>
        <v>156006556</v>
      </c>
      <c r="Q34">
        <f>Calc!Q175</f>
        <v>48416847</v>
      </c>
    </row>
    <row r="35" spans="3:17" ht="14.5" outlineLevel="2" thickBot="1" x14ac:dyDescent="0.35">
      <c r="D35" t="str">
        <f>Hist!D143</f>
        <v xml:space="preserve">Employee benefits </v>
      </c>
      <c r="J35" s="69">
        <f>Hist!J143</f>
        <v>4471021</v>
      </c>
      <c r="K35" s="69">
        <f>Hist!K143</f>
        <v>4038600</v>
      </c>
      <c r="L35" s="69">
        <f>Hist!L143</f>
        <v>4359648</v>
      </c>
      <c r="M35">
        <f>Calc!M93</f>
        <v>4307927</v>
      </c>
      <c r="N35">
        <f>Calc!N93</f>
        <v>4307927</v>
      </c>
      <c r="O35">
        <f>Calc!O93</f>
        <v>4307927</v>
      </c>
      <c r="P35">
        <f>Calc!P93</f>
        <v>4307927</v>
      </c>
      <c r="Q35">
        <f>Calc!Q93</f>
        <v>4307927</v>
      </c>
    </row>
    <row r="36" spans="3:17" ht="14.5" outlineLevel="2" thickBot="1" x14ac:dyDescent="0.35">
      <c r="D36" t="str">
        <f>Hist!D144</f>
        <v>Lease liabilities</v>
      </c>
      <c r="J36" s="69">
        <f>Hist!J144</f>
        <v>799354</v>
      </c>
      <c r="K36" s="69">
        <f>Hist!K144</f>
        <v>467956</v>
      </c>
      <c r="L36" s="69">
        <f>Hist!L144</f>
        <v>181606</v>
      </c>
      <c r="M36">
        <f>Calc!M141</f>
        <v>181606</v>
      </c>
      <c r="N36">
        <f>Calc!N141</f>
        <v>181606</v>
      </c>
      <c r="O36">
        <f>Calc!O141</f>
        <v>181606</v>
      </c>
      <c r="P36">
        <f>Calc!P141</f>
        <v>181606</v>
      </c>
      <c r="Q36">
        <f>Calc!Q141</f>
        <v>181606</v>
      </c>
    </row>
    <row r="37" spans="3:17" ht="14.5" outlineLevel="2" thickBot="1" x14ac:dyDescent="0.35">
      <c r="D37" t="str">
        <f>Hist!D145</f>
        <v xml:space="preserve">Deferred tax liabilities </v>
      </c>
      <c r="J37" s="69">
        <f>Hist!J145</f>
        <v>11984354</v>
      </c>
      <c r="K37" s="69">
        <f>Hist!K145</f>
        <v>12587716</v>
      </c>
      <c r="L37" s="69">
        <f>Hist!L145</f>
        <v>14854152</v>
      </c>
      <c r="M37">
        <f>Calc!M95</f>
        <v>15910152</v>
      </c>
      <c r="N37">
        <f>Calc!N95</f>
        <v>16966152</v>
      </c>
      <c r="O37">
        <f>Calc!O95</f>
        <v>18022152</v>
      </c>
      <c r="P37">
        <f>Calc!P95</f>
        <v>19078152</v>
      </c>
      <c r="Q37">
        <f>Calc!Q95</f>
        <v>20134152</v>
      </c>
    </row>
    <row r="38" spans="3:17" outlineLevel="2" x14ac:dyDescent="0.3">
      <c r="D38" s="29" t="str">
        <f>Hist!D146</f>
        <v>Total Non - Current Liabilities</v>
      </c>
      <c r="J38" s="12">
        <f>SUM(J34:J37)</f>
        <v>57466415</v>
      </c>
      <c r="K38" s="12">
        <f>SUM(K34:K37)</f>
        <v>93959074</v>
      </c>
      <c r="L38" s="12">
        <f t="shared" ref="L38" si="12">SUM(L34:L37)</f>
        <v>174695474</v>
      </c>
      <c r="M38" s="12">
        <f>SUM(M34:M37)</f>
        <v>172406241</v>
      </c>
      <c r="N38" s="12">
        <f t="shared" ref="N38:Q38" si="13">SUM(N34:N37)</f>
        <v>174462241</v>
      </c>
      <c r="O38" s="12">
        <f t="shared" si="13"/>
        <v>176518241</v>
      </c>
      <c r="P38" s="12">
        <f t="shared" si="13"/>
        <v>179574241</v>
      </c>
      <c r="Q38" s="12">
        <f t="shared" si="13"/>
        <v>73040532</v>
      </c>
    </row>
    <row r="39" spans="3:17" ht="16" outlineLevel="1" thickBot="1" x14ac:dyDescent="0.4">
      <c r="C39" s="9" t="str">
        <f>Hist!C147</f>
        <v>Current Liabilities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3:17" ht="14.5" outlineLevel="2" thickBot="1" x14ac:dyDescent="0.35">
      <c r="D40" t="str">
        <f>Hist!D148</f>
        <v xml:space="preserve">Contract liabilities </v>
      </c>
      <c r="J40" s="69">
        <f>Hist!J148</f>
        <v>8647246</v>
      </c>
      <c r="K40" s="69">
        <f>Hist!K148</f>
        <v>15452355</v>
      </c>
      <c r="L40" s="69">
        <f>Hist!L148</f>
        <v>16548425</v>
      </c>
      <c r="M40">
        <f>Calc!M96</f>
        <v>9703127.0501600001</v>
      </c>
      <c r="N40">
        <f>Calc!N96</f>
        <v>11837815.0011952</v>
      </c>
      <c r="O40">
        <f>Calc!O96</f>
        <v>14442134.301458145</v>
      </c>
      <c r="P40">
        <f>Calc!P96</f>
        <v>17619403.847778935</v>
      </c>
      <c r="Q40">
        <f>Calc!Q96</f>
        <v>21495672.694290303</v>
      </c>
    </row>
    <row r="41" spans="3:17" ht="14.5" outlineLevel="2" thickBot="1" x14ac:dyDescent="0.35">
      <c r="D41" t="str">
        <f>Hist!D149</f>
        <v xml:space="preserve">Refund liabilities </v>
      </c>
      <c r="J41" s="69">
        <f>Hist!J149</f>
        <v>90805</v>
      </c>
      <c r="K41" s="69">
        <f>Hist!K149</f>
        <v>78963</v>
      </c>
      <c r="L41" s="69">
        <f>Hist!L149</f>
        <v>112333</v>
      </c>
      <c r="M41">
        <f>Calc!M97</f>
        <v>708655.34636000008</v>
      </c>
      <c r="N41">
        <f>Calc!N97</f>
        <v>864559.52255919995</v>
      </c>
      <c r="O41">
        <f>Calc!O97</f>
        <v>1054762.6175222241</v>
      </c>
      <c r="P41">
        <f>Calc!P97</f>
        <v>1286810.3933771134</v>
      </c>
      <c r="Q41">
        <f>Calc!Q97</f>
        <v>1569908.6799200783</v>
      </c>
    </row>
    <row r="42" spans="3:17" ht="14.5" outlineLevel="2" thickBot="1" x14ac:dyDescent="0.35">
      <c r="D42" t="str">
        <f>Hist!D150</f>
        <v xml:space="preserve">Current tax liabilities </v>
      </c>
      <c r="J42" s="69">
        <f>Hist!J150</f>
        <v>30476315</v>
      </c>
      <c r="K42" s="69">
        <f>Hist!K150</f>
        <v>28281629</v>
      </c>
      <c r="L42" s="69">
        <f>Hist!L150</f>
        <v>26208706</v>
      </c>
      <c r="M42">
        <f>Calc!M98</f>
        <v>27737548.958721943</v>
      </c>
      <c r="N42">
        <f>Calc!N98</f>
        <v>37607891.819834821</v>
      </c>
      <c r="O42">
        <f>Calc!O98</f>
        <v>49648946.820027687</v>
      </c>
      <c r="P42">
        <f>Calc!P98</f>
        <v>65700319.145156503</v>
      </c>
      <c r="Q42">
        <f>Calc!Q98</f>
        <v>87541930.061921149</v>
      </c>
    </row>
    <row r="43" spans="3:17" ht="14.5" outlineLevel="2" thickBot="1" x14ac:dyDescent="0.35">
      <c r="D43" t="str">
        <f>Hist!D151</f>
        <v xml:space="preserve">Provisions </v>
      </c>
      <c r="J43" s="69">
        <f>Hist!J151</f>
        <v>3691991</v>
      </c>
      <c r="K43" s="69">
        <f>Hist!K151</f>
        <v>2701498</v>
      </c>
      <c r="L43" s="69">
        <f>Hist!L151</f>
        <v>1026008</v>
      </c>
      <c r="M43">
        <f>Calc!M99</f>
        <v>1389181.7778994376</v>
      </c>
      <c r="N43">
        <f>Calc!N99</f>
        <v>1883518.9114609892</v>
      </c>
      <c r="O43">
        <f>Calc!O99</f>
        <v>2486571.9864765825</v>
      </c>
      <c r="P43">
        <f>Calc!P99</f>
        <v>3290474.0896339952</v>
      </c>
      <c r="Q43">
        <f>Calc!Q99</f>
        <v>4384369.1533504296</v>
      </c>
    </row>
    <row r="44" spans="3:17" ht="14.5" outlineLevel="2" thickBot="1" x14ac:dyDescent="0.35">
      <c r="D44" t="str">
        <f>Hist!D152</f>
        <v>Trade Payables</v>
      </c>
      <c r="J44" s="69">
        <f>Hist!J152</f>
        <v>93299251</v>
      </c>
      <c r="K44" s="69">
        <f>Hist!K152</f>
        <v>117612889</v>
      </c>
      <c r="L44" s="69">
        <f>Hist!L152</f>
        <v>136267227</v>
      </c>
      <c r="M44">
        <f>Calc!M100</f>
        <v>111471224.32506935</v>
      </c>
      <c r="N44">
        <f>Calc!N100</f>
        <v>135994893.67658457</v>
      </c>
      <c r="O44">
        <f>Calc!O100</f>
        <v>165913770.28543323</v>
      </c>
      <c r="P44">
        <f>Calc!P100</f>
        <v>202414799.74822852</v>
      </c>
      <c r="Q44">
        <f>Calc!Q100</f>
        <v>246946055.69283882</v>
      </c>
    </row>
    <row r="45" spans="3:17" ht="14.5" outlineLevel="2" thickBot="1" x14ac:dyDescent="0.35">
      <c r="D45" t="str">
        <f>Hist!D153</f>
        <v>Other payables and accruals</v>
      </c>
      <c r="J45" s="69">
        <f>Hist!J153</f>
        <v>14921545</v>
      </c>
      <c r="K45" s="69">
        <f>Hist!K153</f>
        <v>21369862</v>
      </c>
      <c r="L45" s="69">
        <f>Hist!L153</f>
        <v>19775025</v>
      </c>
      <c r="M45">
        <f>Calc!M101</f>
        <v>26525285.239308</v>
      </c>
      <c r="N45">
        <f>Calc!N101</f>
        <v>32360847.991955757</v>
      </c>
      <c r="O45">
        <f>Calc!O101</f>
        <v>39480234.550186031</v>
      </c>
      <c r="P45">
        <f>Calc!P101</f>
        <v>48165886.151226953</v>
      </c>
      <c r="Q45">
        <f>Calc!Q101</f>
        <v>58762381.104496889</v>
      </c>
    </row>
    <row r="46" spans="3:17" ht="14.5" outlineLevel="2" thickBot="1" x14ac:dyDescent="0.35">
      <c r="D46" t="str">
        <f>Hist!D154</f>
        <v>Dividend payable</v>
      </c>
      <c r="J46" s="69">
        <f>Hist!J154</f>
        <v>8291893</v>
      </c>
      <c r="K46" s="69">
        <f>Hist!K154</f>
        <v>9401674</v>
      </c>
      <c r="L46" s="69">
        <f>Hist!L154</f>
        <v>10119609</v>
      </c>
      <c r="M46">
        <f>Calc!M163</f>
        <v>6276731.4681431651</v>
      </c>
      <c r="N46">
        <f>Calc!N163</f>
        <v>8510291.8930353001</v>
      </c>
      <c r="O46">
        <f>Calc!O163</f>
        <v>11235062.886385374</v>
      </c>
      <c r="P46">
        <f>Calc!P163</f>
        <v>14867328.806130171</v>
      </c>
      <c r="Q46">
        <f>Calc!Q163</f>
        <v>19809868.132882297</v>
      </c>
    </row>
    <row r="47" spans="3:17" ht="14.5" outlineLevel="2" thickBot="1" x14ac:dyDescent="0.35">
      <c r="D47" t="str">
        <f>Hist!D155</f>
        <v xml:space="preserve">Bank Overdraft </v>
      </c>
      <c r="J47" s="69">
        <f>Hist!J155</f>
        <v>2551</v>
      </c>
      <c r="K47" s="69">
        <f>Hist!K155</f>
        <v>2352</v>
      </c>
      <c r="L47" s="69">
        <f>Hist!L155</f>
        <v>0</v>
      </c>
      <c r="M47">
        <f>Calc!M425</f>
        <v>0</v>
      </c>
      <c r="N47">
        <f>Calc!N425</f>
        <v>0</v>
      </c>
      <c r="O47">
        <f>Calc!O425</f>
        <v>0</v>
      </c>
      <c r="P47">
        <f>Calc!P425</f>
        <v>0</v>
      </c>
      <c r="Q47">
        <f>Calc!Q425</f>
        <v>0</v>
      </c>
    </row>
    <row r="48" spans="3:17" outlineLevel="2" x14ac:dyDescent="0.3">
      <c r="D48" s="29" t="str">
        <f>Hist!D156</f>
        <v>Total Current Liabilities</v>
      </c>
      <c r="J48" s="12">
        <f>SUM(J40:J47)</f>
        <v>159421597</v>
      </c>
      <c r="K48" s="12">
        <f>SUM(K40:K47)</f>
        <v>194901222</v>
      </c>
      <c r="L48" s="12">
        <f t="shared" ref="L48" si="14">SUM(L40:L47)</f>
        <v>210057333</v>
      </c>
      <c r="M48" s="12">
        <f>SUM(M40:M47)</f>
        <v>183811754.1656619</v>
      </c>
      <c r="N48" s="12">
        <f t="shared" ref="N48:Q48" si="15">SUM(N40:N47)</f>
        <v>229059818.81662583</v>
      </c>
      <c r="O48" s="12">
        <f t="shared" si="15"/>
        <v>284261483.44748926</v>
      </c>
      <c r="P48" s="12">
        <f t="shared" si="15"/>
        <v>353345022.1815322</v>
      </c>
      <c r="Q48" s="12">
        <f t="shared" si="15"/>
        <v>440510185.51969999</v>
      </c>
    </row>
    <row r="49" spans="2:17" ht="14.5" outlineLevel="2" thickBot="1" x14ac:dyDescent="0.35">
      <c r="D49" s="29" t="str">
        <f>Hist!D157</f>
        <v>Total Liabilities</v>
      </c>
      <c r="J49" s="11">
        <f>J48+J38</f>
        <v>216888012</v>
      </c>
      <c r="K49" s="11">
        <f>K48+K38</f>
        <v>288860296</v>
      </c>
      <c r="L49" s="11">
        <f t="shared" ref="L49" si="16">L48+L38</f>
        <v>384752807</v>
      </c>
      <c r="M49" s="11">
        <f>M48+M38</f>
        <v>356217995.16566193</v>
      </c>
      <c r="N49" s="11">
        <f t="shared" ref="N49:Q49" si="17">N48+N38</f>
        <v>403522059.81662583</v>
      </c>
      <c r="O49" s="11">
        <f t="shared" si="17"/>
        <v>460779724.44748926</v>
      </c>
      <c r="P49" s="11">
        <f t="shared" si="17"/>
        <v>532919263.1815322</v>
      </c>
      <c r="Q49" s="11">
        <f t="shared" si="17"/>
        <v>513550717.51969999</v>
      </c>
    </row>
    <row r="50" spans="2:17" ht="15" outlineLevel="2" thickTop="1" thickBot="1" x14ac:dyDescent="0.35">
      <c r="D50" s="29" t="str">
        <f>Hist!D158</f>
        <v>Total Equity &amp; Liabilities</v>
      </c>
      <c r="J50" s="11">
        <f>J49+J32</f>
        <v>246184996</v>
      </c>
      <c r="K50" s="11">
        <f>K49+K32</f>
        <v>310238502</v>
      </c>
      <c r="L50" s="11">
        <f t="shared" ref="L50" si="18">L49+L32</f>
        <v>415044031</v>
      </c>
      <c r="M50" s="11">
        <f>M49+M32</f>
        <v>395463187.02321279</v>
      </c>
      <c r="N50" s="11">
        <f t="shared" ref="N50:Q50" si="19">N49+N32</f>
        <v>454907468.35468358</v>
      </c>
      <c r="O50" s="11">
        <f t="shared" si="19"/>
        <v>528192326.83203113</v>
      </c>
      <c r="P50" s="11">
        <f t="shared" si="19"/>
        <v>621540608.51347804</v>
      </c>
      <c r="Q50" s="11">
        <f t="shared" si="19"/>
        <v>630431503.8400656</v>
      </c>
    </row>
    <row r="51" spans="2:17" ht="14.5" outlineLevel="2" thickTop="1" x14ac:dyDescent="0.3"/>
    <row r="52" spans="2:17" x14ac:dyDescent="0.3">
      <c r="B52" s="38" t="s">
        <v>373</v>
      </c>
      <c r="I52">
        <f>COUNTIF(J52:Q52, "&lt;&gt;0")</f>
        <v>0</v>
      </c>
      <c r="J52">
        <f t="shared" ref="J52:N52" si="20">J25-J50</f>
        <v>0</v>
      </c>
      <c r="K52">
        <f t="shared" si="20"/>
        <v>0</v>
      </c>
      <c r="L52">
        <f t="shared" si="20"/>
        <v>0</v>
      </c>
      <c r="M52">
        <f t="shared" si="20"/>
        <v>0</v>
      </c>
      <c r="N52">
        <f t="shared" si="20"/>
        <v>0</v>
      </c>
      <c r="O52">
        <f>O25-O50</f>
        <v>0</v>
      </c>
      <c r="P52">
        <f t="shared" ref="P52:Q52" si="21">P25-P50</f>
        <v>0</v>
      </c>
      <c r="Q52">
        <f t="shared" si="21"/>
        <v>0</v>
      </c>
    </row>
  </sheetData>
  <conditionalFormatting sqref="J6:Q7">
    <cfRule type="cellIs" dxfId="6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cellWatches>
    <cellWatch r="M52"/>
    <cellWatch r="N52"/>
    <cellWatch r="O52"/>
    <cellWatch r="P52"/>
    <cellWatch r="Q52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2A623FF1-4A9B-4CC7-9DA4-9F38F5AC844E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2A24-AD4E-4170-8911-BF7C38179D5B}">
  <sheetPr>
    <tabColor rgb="FF0070C0"/>
    <outlinePr summaryBelow="0" summaryRight="0"/>
    <pageSetUpPr fitToPage="1"/>
  </sheetPr>
  <dimension ref="A1:R58"/>
  <sheetViews>
    <sheetView showGridLines="0" zoomScale="80" zoomScaleNormal="80" workbookViewId="0">
      <pane xSplit="4" ySplit="8" topLeftCell="E9" activePane="bottomRight" state="frozen"/>
      <selection activeCell="D5" sqref="D5"/>
      <selection pane="topRight" activeCell="D5" sqref="D5"/>
      <selection pane="bottomLeft" activeCell="D5" sqref="D5"/>
      <selection pane="bottomRight" activeCell="M18" sqref="M18"/>
    </sheetView>
  </sheetViews>
  <sheetFormatPr defaultColWidth="0" defaultRowHeight="14" outlineLevelRow="1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11" width="11.1640625" bestFit="1" customWidth="1"/>
    <col min="12" max="16" width="14.6640625" bestFit="1" customWidth="1"/>
    <col min="17" max="17" width="15.332031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118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10" spans="2:17" ht="16" thickBot="1" x14ac:dyDescent="0.4">
      <c r="C10" s="9" t="s">
        <v>394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2:17" outlineLevel="1" x14ac:dyDescent="0.3">
      <c r="D11" t="str">
        <f>IS!D17</f>
        <v>EBIT</v>
      </c>
      <c r="M11">
        <f>IS!M17</f>
        <v>94300425.542579979</v>
      </c>
      <c r="N11">
        <f>IS!N17</f>
        <v>117395345.69137388</v>
      </c>
      <c r="O11">
        <f>IS!O17</f>
        <v>145615371.04708919</v>
      </c>
      <c r="P11">
        <f>IS!P17</f>
        <v>180088871.17914671</v>
      </c>
      <c r="Q11">
        <f>IS!Q17</f>
        <v>222192473.16279289</v>
      </c>
    </row>
    <row r="12" spans="2:17" ht="14.5" outlineLevel="1" x14ac:dyDescent="0.35">
      <c r="D12" s="20" t="s">
        <v>395</v>
      </c>
    </row>
    <row r="13" spans="2:17" outlineLevel="1" x14ac:dyDescent="0.3">
      <c r="D13" t="str">
        <f>IS!D15</f>
        <v>Depreciation</v>
      </c>
      <c r="M13">
        <f>IS!M15</f>
        <v>11648201.007299999</v>
      </c>
      <c r="N13">
        <f>IS!N15</f>
        <v>11868368.159479721</v>
      </c>
      <c r="O13">
        <f>IS!O15</f>
        <v>12092749.310952161</v>
      </c>
      <c r="P13">
        <f>IS!P15</f>
        <v>12321425.117663786</v>
      </c>
      <c r="Q13">
        <f>IS!Q15</f>
        <v>12554477.77931587</v>
      </c>
    </row>
    <row r="14" spans="2:17" outlineLevel="1" x14ac:dyDescent="0.3">
      <c r="D14" t="str">
        <f>IS!D16</f>
        <v>Impairement</v>
      </c>
      <c r="M14">
        <f>IS!M16</f>
        <v>29043</v>
      </c>
      <c r="N14">
        <f>IS!N16</f>
        <v>29043</v>
      </c>
      <c r="O14">
        <f>IS!O16</f>
        <v>29043</v>
      </c>
      <c r="P14">
        <f>IS!P16</f>
        <v>29043</v>
      </c>
      <c r="Q14">
        <f>IS!Q16</f>
        <v>29043</v>
      </c>
    </row>
    <row r="15" spans="2:17" outlineLevel="1" x14ac:dyDescent="0.3">
      <c r="D15" s="29" t="s">
        <v>74</v>
      </c>
      <c r="M15" s="29">
        <f>M11+M13+M14</f>
        <v>105977669.54987998</v>
      </c>
      <c r="N15" s="29">
        <f t="shared" ref="N15:Q15" si="4">N11+N13+N14</f>
        <v>129292756.85085361</v>
      </c>
      <c r="O15" s="29">
        <f t="shared" si="4"/>
        <v>157737163.35804135</v>
      </c>
      <c r="P15" s="29">
        <f t="shared" si="4"/>
        <v>192439339.29681051</v>
      </c>
      <c r="Q15" s="29">
        <f t="shared" si="4"/>
        <v>234775993.94210875</v>
      </c>
    </row>
    <row r="16" spans="2:17" outlineLevel="1" x14ac:dyDescent="0.3">
      <c r="D16" t="str">
        <f>Calc!D104</f>
        <v>Change in OWC</v>
      </c>
      <c r="M16">
        <f>Calc!M104</f>
        <v>-35271143.535816431</v>
      </c>
      <c r="N16">
        <f>Calc!N104</f>
        <v>2988080.9435427785</v>
      </c>
      <c r="O16">
        <f>Calc!O104</f>
        <v>3412404.3762907982</v>
      </c>
      <c r="P16">
        <f>Calc!P104</f>
        <v>5240529.3444350958</v>
      </c>
      <c r="Q16">
        <f>Calc!Q104</f>
        <v>8334487.7606067061</v>
      </c>
    </row>
    <row r="17" spans="3:17" ht="14.5" outlineLevel="1" x14ac:dyDescent="0.35">
      <c r="D17" s="20" t="s">
        <v>405</v>
      </c>
    </row>
    <row r="18" spans="3:17" outlineLevel="1" x14ac:dyDescent="0.3">
      <c r="D18" t="str">
        <f>IS!D23</f>
        <v>Deferred Taxes</v>
      </c>
      <c r="M18">
        <f>-IS!M23</f>
        <v>-1056000</v>
      </c>
      <c r="N18">
        <f>-IS!N23</f>
        <v>-1056000</v>
      </c>
      <c r="O18">
        <f>-IS!O23</f>
        <v>-1056000</v>
      </c>
      <c r="P18">
        <f>-IS!P23</f>
        <v>-1056000</v>
      </c>
      <c r="Q18">
        <f>-IS!Q23</f>
        <v>-1056000</v>
      </c>
    </row>
    <row r="19" spans="3:17" ht="14.5" outlineLevel="1" x14ac:dyDescent="0.35">
      <c r="D19" s="20" t="s">
        <v>403</v>
      </c>
    </row>
    <row r="20" spans="3:17" outlineLevel="1" x14ac:dyDescent="0.3">
      <c r="D20" t="str">
        <f>IS!D18</f>
        <v>Interest income</v>
      </c>
      <c r="M20">
        <f>IS!M18</f>
        <v>4717297.2</v>
      </c>
      <c r="N20">
        <f>IS!N18</f>
        <v>3287130.7</v>
      </c>
      <c r="O20">
        <f>IS!O18</f>
        <v>3927819.8</v>
      </c>
      <c r="P20">
        <f>IS!P18</f>
        <v>4758814.29</v>
      </c>
      <c r="Q20">
        <f>IS!Q18</f>
        <v>5944666.1399999997</v>
      </c>
    </row>
    <row r="21" spans="3:17" outlineLevel="1" x14ac:dyDescent="0.3">
      <c r="D21" t="str">
        <f>IS!D19</f>
        <v>Interest Expense</v>
      </c>
      <c r="M21">
        <f>-IS!M19</f>
        <v>-25327742.790000003</v>
      </c>
      <c r="N21">
        <f>-IS!N19</f>
        <v>-23564196.27</v>
      </c>
      <c r="O21">
        <f>-IS!O19</f>
        <v>-23844196.27</v>
      </c>
      <c r="P21">
        <f>-IS!P19</f>
        <v>-21049065.150000002</v>
      </c>
      <c r="Q21">
        <f>-IS!Q19</f>
        <v>-12495151.034999998</v>
      </c>
    </row>
    <row r="22" spans="3:17" outlineLevel="1" x14ac:dyDescent="0.3">
      <c r="D22" t="str">
        <f>IS!D20</f>
        <v>Net Foreign Exchange Loss</v>
      </c>
      <c r="M22">
        <f>-IS!M20</f>
        <v>-7851981</v>
      </c>
      <c r="N22">
        <f>-IS!N20</f>
        <v>-7851981</v>
      </c>
      <c r="O22">
        <f>-IS!O20</f>
        <v>-7851981</v>
      </c>
      <c r="P22">
        <f>-IS!P20</f>
        <v>-7851981</v>
      </c>
      <c r="Q22">
        <f>-IS!Q20</f>
        <v>-7851981</v>
      </c>
    </row>
    <row r="23" spans="3:17" outlineLevel="1" x14ac:dyDescent="0.3"/>
    <row r="24" spans="3:17" outlineLevel="1" x14ac:dyDescent="0.3">
      <c r="D24" t="str">
        <f>IS!D22</f>
        <v>Current Tax Expense</v>
      </c>
      <c r="M24">
        <f>-IS!M22</f>
        <v>-20012159.664825592</v>
      </c>
      <c r="N24">
        <f>-IS!N22</f>
        <v>-27509215.718839645</v>
      </c>
      <c r="O24">
        <f>-IS!O22</f>
        <v>-36655044.344668545</v>
      </c>
      <c r="P24">
        <f>-IS!P22</f>
        <v>-48846924.582126945</v>
      </c>
      <c r="Q24">
        <f>-IS!Q22</f>
        <v>-65436802.325693727</v>
      </c>
    </row>
    <row r="25" spans="3:17" outlineLevel="1" x14ac:dyDescent="0.3"/>
    <row r="26" spans="3:17" outlineLevel="1" x14ac:dyDescent="0.3">
      <c r="D26" s="29" t="s">
        <v>396</v>
      </c>
      <c r="M26" s="12">
        <f>SUM(M15:M24)</f>
        <v>21175939.759237956</v>
      </c>
      <c r="N26" s="12">
        <f t="shared" ref="N26:Q26" si="5">SUM(N15:N24)</f>
        <v>75586575.505556747</v>
      </c>
      <c r="O26" s="12">
        <f t="shared" si="5"/>
        <v>95670165.919663608</v>
      </c>
      <c r="P26" s="12">
        <f t="shared" si="5"/>
        <v>123634712.19911864</v>
      </c>
      <c r="Q26" s="12">
        <f t="shared" si="5"/>
        <v>162215213.48202172</v>
      </c>
    </row>
    <row r="27" spans="3:17" outlineLevel="1" x14ac:dyDescent="0.3"/>
    <row r="28" spans="3:17" ht="16" thickBot="1" x14ac:dyDescent="0.4">
      <c r="C28" s="9" t="s">
        <v>397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3:17" outlineLevel="1" x14ac:dyDescent="0.3">
      <c r="D29" t="str">
        <f>Calc!D109</f>
        <v>Capex</v>
      </c>
      <c r="M29">
        <f>-Calc!M109</f>
        <v>-13977841.208759999</v>
      </c>
      <c r="N29">
        <f>-Calc!N109</f>
        <v>-14242041.791375665</v>
      </c>
      <c r="O29">
        <f>-Calc!O109</f>
        <v>-14511299.173142591</v>
      </c>
      <c r="P29">
        <f>-Calc!P109</f>
        <v>-14785710.141196543</v>
      </c>
      <c r="Q29">
        <f>-Calc!Q109</f>
        <v>-15065373.335179044</v>
      </c>
    </row>
    <row r="30" spans="3:17" outlineLevel="1" x14ac:dyDescent="0.3"/>
    <row r="31" spans="3:17" outlineLevel="1" x14ac:dyDescent="0.3">
      <c r="D31" s="29" t="s">
        <v>398</v>
      </c>
      <c r="M31" s="12">
        <f>M29</f>
        <v>-13977841.208759999</v>
      </c>
      <c r="N31" s="12">
        <f t="shared" ref="N31:Q31" si="6">N29</f>
        <v>-14242041.791375665</v>
      </c>
      <c r="O31" s="12">
        <f t="shared" si="6"/>
        <v>-14511299.173142591</v>
      </c>
      <c r="P31" s="12">
        <f t="shared" si="6"/>
        <v>-14785710.141196543</v>
      </c>
      <c r="Q31" s="12">
        <f t="shared" si="6"/>
        <v>-15065373.335179044</v>
      </c>
    </row>
    <row r="32" spans="3:17" outlineLevel="1" x14ac:dyDescent="0.3"/>
    <row r="33" spans="3:17" ht="16" thickBot="1" x14ac:dyDescent="0.4">
      <c r="C33" s="9" t="s">
        <v>399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outlineLevel="1" x14ac:dyDescent="0.3"/>
    <row r="35" spans="3:17" outlineLevel="1" x14ac:dyDescent="0.3">
      <c r="D35" t="str">
        <f>"Change in "&amp; Calc!C115</f>
        <v xml:space="preserve">Change in Share capital </v>
      </c>
      <c r="M35">
        <f>Calc!M117</f>
        <v>0</v>
      </c>
      <c r="N35">
        <f>Calc!N117</f>
        <v>0</v>
      </c>
      <c r="O35">
        <f>Calc!O117</f>
        <v>0</v>
      </c>
      <c r="P35">
        <f>Calc!P117</f>
        <v>0</v>
      </c>
      <c r="Q35">
        <f>Calc!Q117</f>
        <v>0</v>
      </c>
    </row>
    <row r="36" spans="3:17" outlineLevel="1" x14ac:dyDescent="0.3">
      <c r="D36" t="str">
        <f>"Change in "&amp;Calc!C120</f>
        <v xml:space="preserve">Change in Share premium </v>
      </c>
      <c r="M36">
        <f>Calc!M122</f>
        <v>0</v>
      </c>
      <c r="N36">
        <f>Calc!N122</f>
        <v>0</v>
      </c>
      <c r="O36">
        <f>Calc!O122</f>
        <v>0</v>
      </c>
      <c r="P36">
        <f>Calc!P122</f>
        <v>0</v>
      </c>
      <c r="Q36">
        <f>Calc!Q122</f>
        <v>0</v>
      </c>
    </row>
    <row r="37" spans="3:17" outlineLevel="1" x14ac:dyDescent="0.3">
      <c r="D37" t="str">
        <f>"Change in "&amp; Calc!C125</f>
        <v xml:space="preserve">Change in Share based payment reserve </v>
      </c>
      <c r="M37">
        <f>Calc!M127</f>
        <v>0</v>
      </c>
      <c r="N37">
        <f>Calc!N127</f>
        <v>0</v>
      </c>
      <c r="O37">
        <f>Calc!O127</f>
        <v>0</v>
      </c>
      <c r="P37">
        <f>Calc!P127</f>
        <v>0</v>
      </c>
      <c r="Q37">
        <f>Calc!Q127</f>
        <v>0</v>
      </c>
    </row>
    <row r="38" spans="3:17" outlineLevel="1" x14ac:dyDescent="0.3">
      <c r="D38" t="str">
        <f>Calc!D173</f>
        <v>Total New Debt Issued</v>
      </c>
      <c r="M38">
        <f>Calc!M173</f>
        <v>5000000</v>
      </c>
      <c r="N38">
        <f>Calc!N173</f>
        <v>1000000</v>
      </c>
      <c r="O38">
        <f>Calc!O173</f>
        <v>6000000</v>
      </c>
      <c r="P38">
        <f>Calc!P173</f>
        <v>3000000</v>
      </c>
      <c r="Q38">
        <f>Calc!Q173</f>
        <v>2000000</v>
      </c>
    </row>
    <row r="39" spans="3:17" outlineLevel="1" x14ac:dyDescent="0.3">
      <c r="D39" t="str">
        <f>Calc!D174</f>
        <v>Total Repayments</v>
      </c>
      <c r="M39">
        <f>-Calc!M174</f>
        <v>-8293512</v>
      </c>
      <c r="N39">
        <f>-Calc!N174</f>
        <v>0</v>
      </c>
      <c r="O39">
        <f>-Calc!O174</f>
        <v>-5000000</v>
      </c>
      <c r="P39">
        <f>-Calc!P174</f>
        <v>-1000000</v>
      </c>
      <c r="Q39">
        <f>-Calc!Q174</f>
        <v>-109589709</v>
      </c>
    </row>
    <row r="40" spans="3:17" outlineLevel="1" x14ac:dyDescent="0.3">
      <c r="D40" t="str">
        <f>Calc!D162</f>
        <v>Dividend Paid</v>
      </c>
      <c r="M40">
        <f>-Calc!M162</f>
        <v>-39658748.962060347</v>
      </c>
      <c r="N40">
        <f>-Calc!N162</f>
        <v>-46327306.297135264</v>
      </c>
      <c r="O40">
        <f>-Calc!O162</f>
        <v>-61384004.392586447</v>
      </c>
      <c r="P40">
        <f>-Calc!P162</f>
        <v>-81202705.86987102</v>
      </c>
      <c r="Q40">
        <f>-Calc!Q162</f>
        <v>-108095224.6269272</v>
      </c>
    </row>
    <row r="41" spans="3:17" outlineLevel="1" x14ac:dyDescent="0.3">
      <c r="D41" t="s">
        <v>450</v>
      </c>
      <c r="M41">
        <f>Calc!M424</f>
        <v>0</v>
      </c>
      <c r="N41">
        <f>Calc!N424</f>
        <v>0</v>
      </c>
      <c r="O41">
        <f>Calc!O424</f>
        <v>0</v>
      </c>
      <c r="P41">
        <f>Calc!P424</f>
        <v>0</v>
      </c>
      <c r="Q41">
        <f>Calc!Q424</f>
        <v>0</v>
      </c>
    </row>
    <row r="42" spans="3:17" outlineLevel="1" x14ac:dyDescent="0.3"/>
    <row r="43" spans="3:17" outlineLevel="1" x14ac:dyDescent="0.3">
      <c r="D43" s="29" t="s">
        <v>400</v>
      </c>
      <c r="M43" s="12">
        <f>SUM(M35:M41)</f>
        <v>-42952260.962060347</v>
      </c>
      <c r="N43" s="12">
        <f t="shared" ref="N43:Q43" si="7">SUM(N35:N41)</f>
        <v>-45327306.297135264</v>
      </c>
      <c r="O43" s="12">
        <f t="shared" si="7"/>
        <v>-60384004.392586447</v>
      </c>
      <c r="P43" s="12">
        <f t="shared" si="7"/>
        <v>-79202705.86987102</v>
      </c>
      <c r="Q43" s="12">
        <f t="shared" si="7"/>
        <v>-215684933.6269272</v>
      </c>
    </row>
    <row r="44" spans="3:17" outlineLevel="1" x14ac:dyDescent="0.3"/>
    <row r="45" spans="3:17" outlineLevel="1" x14ac:dyDescent="0.3">
      <c r="D45" s="29" t="s">
        <v>401</v>
      </c>
      <c r="M45">
        <f>M26+M31+M43</f>
        <v>-35754162.411582388</v>
      </c>
      <c r="N45">
        <f t="shared" ref="N45:Q45" si="8">N26+N31+N43</f>
        <v>16017227.417045817</v>
      </c>
      <c r="O45">
        <f t="shared" si="8"/>
        <v>20774862.353934564</v>
      </c>
      <c r="P45">
        <f t="shared" si="8"/>
        <v>29646296.188051075</v>
      </c>
      <c r="Q45">
        <f t="shared" si="8"/>
        <v>-68535093.480084509</v>
      </c>
    </row>
    <row r="46" spans="3:17" outlineLevel="1" x14ac:dyDescent="0.3"/>
    <row r="47" spans="3:17" ht="16" thickBot="1" x14ac:dyDescent="0.4">
      <c r="C47" s="9" t="s">
        <v>402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3:17" outlineLevel="1" x14ac:dyDescent="0.3">
      <c r="D48" t="s">
        <v>377</v>
      </c>
      <c r="M48">
        <f>L50</f>
        <v>117932430</v>
      </c>
      <c r="N48">
        <f t="shared" ref="N48:Q48" si="9">M50</f>
        <v>82178267.588417619</v>
      </c>
      <c r="O48">
        <f t="shared" si="9"/>
        <v>98195495.005463436</v>
      </c>
      <c r="P48">
        <f t="shared" si="9"/>
        <v>118970357.35939801</v>
      </c>
      <c r="Q48">
        <f t="shared" si="9"/>
        <v>148616653.54744908</v>
      </c>
    </row>
    <row r="49" spans="4:17" outlineLevel="1" x14ac:dyDescent="0.3">
      <c r="D49" t="str">
        <f>D45</f>
        <v>Total Cash Generated in the Year</v>
      </c>
      <c r="M49">
        <f>M45</f>
        <v>-35754162.411582388</v>
      </c>
      <c r="N49">
        <f t="shared" ref="N49:Q49" si="10">N45</f>
        <v>16017227.417045817</v>
      </c>
      <c r="O49">
        <f t="shared" si="10"/>
        <v>20774862.353934564</v>
      </c>
      <c r="P49">
        <f t="shared" si="10"/>
        <v>29646296.188051075</v>
      </c>
      <c r="Q49">
        <f t="shared" si="10"/>
        <v>-68535093.480084509</v>
      </c>
    </row>
    <row r="50" spans="4:17" ht="14.5" outlineLevel="1" thickBot="1" x14ac:dyDescent="0.35">
      <c r="D50" t="s">
        <v>311</v>
      </c>
      <c r="L50">
        <f>BS!L23</f>
        <v>117932430</v>
      </c>
      <c r="M50" s="11">
        <f>SUM(M48:M49)</f>
        <v>82178267.588417619</v>
      </c>
      <c r="N50" s="11">
        <f t="shared" ref="N50:Q50" si="11">SUM(N48:N49)</f>
        <v>98195495.005463436</v>
      </c>
      <c r="O50" s="11">
        <f t="shared" si="11"/>
        <v>118970357.35939801</v>
      </c>
      <c r="P50" s="11">
        <f t="shared" si="11"/>
        <v>148616653.54744908</v>
      </c>
      <c r="Q50" s="11">
        <f t="shared" si="11"/>
        <v>80081560.067364573</v>
      </c>
    </row>
    <row r="58" spans="4:17" ht="14.5" x14ac:dyDescent="0.35">
      <c r="E58" s="20" t="s">
        <v>456</v>
      </c>
    </row>
  </sheetData>
  <conditionalFormatting sqref="J6:Q7">
    <cfRule type="cellIs" dxfId="4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89D7F35-E12E-4EC6-BCD8-3F1C9FBE1CFE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3288-42A0-43C0-973B-0AB97F1E7215}">
  <sheetPr>
    <tabColor rgb="FF0070C0"/>
    <pageSetUpPr fitToPage="1"/>
  </sheetPr>
  <dimension ref="A1:R33"/>
  <sheetViews>
    <sheetView showGridLines="0" zoomScale="80" zoomScaleNormal="80" workbookViewId="0">
      <pane xSplit="4" ySplit="8" topLeftCell="E9" activePane="bottomRight" state="frozen"/>
      <selection activeCell="D5" sqref="D5"/>
      <selection pane="topRight" activeCell="D5" sqref="D5"/>
      <selection pane="bottomLeft" activeCell="D5" sqref="D5"/>
      <selection pane="bottomRight" activeCell="K30" sqref="K30"/>
    </sheetView>
  </sheetViews>
  <sheetFormatPr defaultColWidth="0" defaultRowHeight="14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9" width="11.1640625" bestFit="1" customWidth="1"/>
    <col min="10" max="17" width="20.4140625" bestFit="1" customWidth="1"/>
    <col min="18" max="18" width="8.6640625" customWidth="1"/>
    <col min="19" max="16384" width="8.6640625" hidden="1"/>
  </cols>
  <sheetData>
    <row r="1" spans="2:18" ht="7" customHeight="1" x14ac:dyDescent="0.3"/>
    <row r="2" spans="2:18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8" ht="25" x14ac:dyDescent="0.5">
      <c r="C3" s="7" t="s">
        <v>117</v>
      </c>
    </row>
    <row r="4" spans="2:18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8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8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8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8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  <row r="9" spans="2:18" ht="17" thickBot="1" x14ac:dyDescent="0.4">
      <c r="B9" s="8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2:18" ht="14.5" thickTop="1" x14ac:dyDescent="0.3">
      <c r="D10" t="s">
        <v>501</v>
      </c>
      <c r="J10" s="2">
        <f>IS!J12/IS!J10</f>
        <v>0.43289219301103232</v>
      </c>
      <c r="K10" s="2">
        <f>IS!K12/IS!K10</f>
        <v>0.39089595703290336</v>
      </c>
      <c r="L10" s="2">
        <f>IS!L12/IS!L10</f>
        <v>0.36314820896485078</v>
      </c>
      <c r="M10" s="2">
        <f>IS!M12/IS!M10</f>
        <v>0.34289999999999993</v>
      </c>
      <c r="N10" s="2">
        <f>IS!N12/IS!N10</f>
        <v>0.34290000000000004</v>
      </c>
      <c r="O10" s="2">
        <f>IS!O12/IS!O10</f>
        <v>0.34289999999999993</v>
      </c>
      <c r="P10" s="2">
        <f>IS!P12/IS!P10</f>
        <v>0.34289999999999998</v>
      </c>
      <c r="Q10" s="2">
        <f>IS!Q12/IS!Q10</f>
        <v>0.34289999999999993</v>
      </c>
    </row>
    <row r="11" spans="2:18" x14ac:dyDescent="0.3">
      <c r="D11" t="s">
        <v>502</v>
      </c>
      <c r="J11" s="2">
        <f>IS!J14/IS!J10</f>
        <v>0.24986894867495738</v>
      </c>
      <c r="K11" s="2">
        <f>IS!K14/IS!K10</f>
        <v>0.22798301411960695</v>
      </c>
      <c r="L11" s="2">
        <f>IS!L14/IS!L10</f>
        <v>0.2146600215935186</v>
      </c>
      <c r="M11" s="2">
        <f>IS!M14/IS!M10</f>
        <v>0.19441181262866775</v>
      </c>
      <c r="N11" s="2">
        <f>IS!N14/IS!N10</f>
        <v>0.1944118126286678</v>
      </c>
      <c r="O11" s="2">
        <f>IS!O14/IS!O10</f>
        <v>0.19441181262866775</v>
      </c>
      <c r="P11" s="2">
        <f>IS!P14/IS!P10</f>
        <v>0.19441181262866777</v>
      </c>
      <c r="Q11" s="2">
        <f>IS!Q14/IS!Q10</f>
        <v>0.19441181262866775</v>
      </c>
    </row>
    <row r="12" spans="2:18" x14ac:dyDescent="0.3">
      <c r="D12" t="s">
        <v>503</v>
      </c>
      <c r="J12" s="2">
        <f>IS!J24/IS!J10</f>
        <v>0.1365872466487493</v>
      </c>
      <c r="K12" s="2">
        <f>IS!K24/IS!K10</f>
        <v>0.11379970712433093</v>
      </c>
      <c r="L12" s="2">
        <f>IS!L24/IS!L10</f>
        <v>0.10958678907440113</v>
      </c>
      <c r="M12" s="2">
        <f>IS!M24/IS!M10</f>
        <v>8.212848653866564E-2</v>
      </c>
      <c r="N12" s="2">
        <f>IS!N24/IS!N10</f>
        <v>9.1273540299119341E-2</v>
      </c>
      <c r="O12" s="2">
        <f>IS!O24/IS!O10</f>
        <v>9.8767967570629056E-2</v>
      </c>
      <c r="P12" s="2">
        <f>IS!P24/IS!P10</f>
        <v>0.1071306463389166</v>
      </c>
      <c r="Q12" s="2">
        <f>IS!Q24/IS!Q10</f>
        <v>0.11700449126383587</v>
      </c>
    </row>
    <row r="13" spans="2:18" x14ac:dyDescent="0.3">
      <c r="D13" t="s">
        <v>504</v>
      </c>
    </row>
    <row r="14" spans="2:18" x14ac:dyDescent="0.3">
      <c r="D14" t="s">
        <v>505</v>
      </c>
    </row>
    <row r="15" spans="2:18" x14ac:dyDescent="0.3">
      <c r="D15" t="s">
        <v>506</v>
      </c>
      <c r="J15" s="2">
        <f>IS!J21/(BS!J25-BS!J48)</f>
        <v>0.69889427683671079</v>
      </c>
      <c r="K15" s="2">
        <f>IS!K21/(BS!K25-BS!K48)</f>
        <v>0.5364730553729028</v>
      </c>
      <c r="L15" s="2">
        <f>IS!L21/(BS!L25-BS!L48)</f>
        <v>0.34689748990444247</v>
      </c>
      <c r="M15" s="2">
        <f>IS!M21/(BS!M25-BS!M48)</f>
        <v>0.31106805214444894</v>
      </c>
      <c r="N15" s="2">
        <f>IS!N21/(BS!N25-BS!N48)</f>
        <v>0.395250069256672</v>
      </c>
      <c r="O15" s="2">
        <f>IS!O21/(BS!O25-BS!O48)</f>
        <v>0.48311649294513642</v>
      </c>
      <c r="P15" s="2">
        <f>IS!P21/(BS!P25-BS!P48)</f>
        <v>0.58146609141483574</v>
      </c>
      <c r="Q15" s="2">
        <f>IS!Q21/(BS!Q25-BS!Q48)</f>
        <v>1.0940846931005701</v>
      </c>
    </row>
    <row r="17" spans="2:18" ht="17" thickBot="1" x14ac:dyDescent="0.4">
      <c r="B17" s="8" t="s">
        <v>497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ht="14.5" thickTop="1" x14ac:dyDescent="0.3">
      <c r="D18" t="s">
        <v>507</v>
      </c>
      <c r="J18" s="96">
        <f>BS!J24/BS!J48</f>
        <v>0.96514295989645615</v>
      </c>
      <c r="K18" s="96">
        <f>BS!K24/BS!K48</f>
        <v>1.0591293932472112</v>
      </c>
      <c r="L18" s="96">
        <f>BS!L24/BS!L48</f>
        <v>1.396419909796722</v>
      </c>
      <c r="M18" s="96">
        <f>BS!M24/BS!M48</f>
        <v>1.4767651941187017</v>
      </c>
      <c r="N18" s="96">
        <f>BS!N24/BS!N48</f>
        <v>1.4343259905585883</v>
      </c>
      <c r="O18" s="96">
        <f>BS!O24/BS!O48</f>
        <v>1.4051914395580518</v>
      </c>
      <c r="P18" s="2">
        <f>BS!P24/BS!P48</f>
        <v>1.3877508158087972</v>
      </c>
      <c r="Q18" s="2">
        <f>BS!Q24/BS!Q48</f>
        <v>1.1277012470870724</v>
      </c>
    </row>
    <row r="19" spans="2:18" x14ac:dyDescent="0.3">
      <c r="D19" t="s">
        <v>508</v>
      </c>
      <c r="J19" s="96">
        <f>(BS!J24-BS!J22)/BS!J48</f>
        <v>0.63756960733494594</v>
      </c>
      <c r="K19" s="96">
        <f>(BS!K24-BS!K22)/BS!K48</f>
        <v>0.75659601559604384</v>
      </c>
      <c r="L19" s="96">
        <f>(BS!L24-BS!L22)/BS!L48</f>
        <v>0.97586552715110397</v>
      </c>
      <c r="M19" s="96">
        <f>(BS!M24-BS!M22)/BS!M48</f>
        <v>1.10475415143128</v>
      </c>
      <c r="N19" s="96">
        <f>(BS!N24-BS!N22)/BS!N48</f>
        <v>1.0701259171107935</v>
      </c>
      <c r="O19" s="96">
        <f>(BS!O24-BS!O22)/BS!O48</f>
        <v>1.04715209414007</v>
      </c>
      <c r="P19" s="2">
        <f>(BS!P24-BS!P22)/BS!P48</f>
        <v>1.0363444490347089</v>
      </c>
      <c r="Q19" s="2">
        <f>(BS!Q24-BS!Q22)/BS!Q48</f>
        <v>0.78381684362984017</v>
      </c>
    </row>
    <row r="20" spans="2:18" x14ac:dyDescent="0.3">
      <c r="D20" t="s">
        <v>509</v>
      </c>
      <c r="J20" s="96">
        <f>BS!J23/BS!J48</f>
        <v>0.36822620087038771</v>
      </c>
      <c r="K20" s="96">
        <f>BS!K23/BS!K48</f>
        <v>0.51573898802953633</v>
      </c>
      <c r="L20" s="96">
        <f>BS!L23/BS!L48</f>
        <v>0.56142972166556071</v>
      </c>
      <c r="M20" s="96">
        <f>BS!M23/BS!M48</f>
        <v>0.44707841433444873</v>
      </c>
      <c r="N20" s="96">
        <f>BS!N23/BS!N48</f>
        <v>0.42868930706731234</v>
      </c>
      <c r="O20" s="96">
        <f>BS!O23/BS!O48</f>
        <v>0.41852436677857213</v>
      </c>
      <c r="P20" s="2">
        <f>BS!P23/BS!P48</f>
        <v>0.42059925630166872</v>
      </c>
      <c r="Q20" s="2">
        <f>BS!Q23/BS!Q48</f>
        <v>0.18179275462810668</v>
      </c>
    </row>
    <row r="22" spans="2:18" ht="17" thickBot="1" x14ac:dyDescent="0.4">
      <c r="B22" s="8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ht="14.5" thickTop="1" x14ac:dyDescent="0.3">
      <c r="D23" t="s">
        <v>510</v>
      </c>
      <c r="L23" s="96">
        <f>Calc!L175/BS!L32</f>
        <v>5.1268997251481156</v>
      </c>
      <c r="M23" s="96">
        <f>Calc!M175/BS!M32</f>
        <v>3.8732529720262674</v>
      </c>
      <c r="N23" s="96">
        <f>Calc!N175/BS!N32</f>
        <v>2.9776265354916527</v>
      </c>
      <c r="O23" s="96">
        <f>Calc!O175/BS!O32</f>
        <v>2.2845365785094618</v>
      </c>
      <c r="P23" s="96">
        <f>Calc!P175/BS!P32</f>
        <v>1.7603722378130446</v>
      </c>
      <c r="Q23" s="96">
        <f>Calc!Q175/BS!Q32</f>
        <v>0.4142412839976225</v>
      </c>
    </row>
    <row r="24" spans="2:18" x14ac:dyDescent="0.3">
      <c r="D24" t="s">
        <v>511</v>
      </c>
      <c r="L24" s="96">
        <f>Calc!L175/BS!L25</f>
        <v>0.37417733156123861</v>
      </c>
      <c r="M24" s="96">
        <f>Calc!M175/BS!M25</f>
        <v>0.38437599500526343</v>
      </c>
      <c r="N24" s="96">
        <f>Calc!N175/BS!N25</f>
        <v>0.33634654659198387</v>
      </c>
      <c r="O24" s="96">
        <f>Calc!O175/BS!O25</f>
        <v>0.29157287634921508</v>
      </c>
      <c r="P24" s="96">
        <f>Calc!P175/BS!P25</f>
        <v>0.2509997800032997</v>
      </c>
      <c r="Q24" s="96">
        <f>Calc!Q175/BS!Q25</f>
        <v>7.6799536040132427E-2</v>
      </c>
    </row>
    <row r="25" spans="2:18" x14ac:dyDescent="0.3">
      <c r="D25" t="s">
        <v>512</v>
      </c>
      <c r="J25" s="96">
        <f>IS!J11/IS!J13</f>
        <v>3.0985561918442475</v>
      </c>
      <c r="K25" s="96">
        <f>IS!K11/IS!K13</f>
        <v>3.7388315015048659</v>
      </c>
      <c r="L25" s="96">
        <f>IS!L11/IS!L13</f>
        <v>4.2889054160418869</v>
      </c>
      <c r="M25" s="96">
        <f>IS!M11/IS!M13</f>
        <v>4.4252678386918118</v>
      </c>
      <c r="N25" s="96">
        <f>IS!N11/IS!N13</f>
        <v>4.4252678386918118</v>
      </c>
      <c r="O25" s="96">
        <f>IS!O11/IS!O13</f>
        <v>4.4252678386918118</v>
      </c>
      <c r="P25" s="96">
        <f>IS!P11/IS!P13</f>
        <v>4.4252678386918118</v>
      </c>
      <c r="Q25" s="96">
        <f>IS!Q11/IS!Q13</f>
        <v>4.4252678386918118</v>
      </c>
    </row>
    <row r="26" spans="2:18" x14ac:dyDescent="0.3">
      <c r="D26" t="s">
        <v>513</v>
      </c>
      <c r="J26">
        <f>BS!J32/BS!J25</f>
        <v>0.11900393799791113</v>
      </c>
      <c r="K26">
        <f>BS!K32/BS!K25</f>
        <v>6.8908938968510108E-2</v>
      </c>
      <c r="L26">
        <f>BS!L32/BS!L25</f>
        <v>7.2983157779710359E-2</v>
      </c>
      <c r="M26">
        <f>BS!M32/BS!M25</f>
        <v>9.9238546457289509E-2</v>
      </c>
      <c r="N26">
        <f>BS!N32/BS!N25</f>
        <v>0.11295793565207728</v>
      </c>
      <c r="O26">
        <f>BS!O32/BS!O25</f>
        <v>0.1276288937949292</v>
      </c>
      <c r="P26">
        <f>BS!P32/BS!P25</f>
        <v>0.14258335516306661</v>
      </c>
      <c r="Q26">
        <f>BS!Q32/BS!Q25</f>
        <v>0.18539807355505689</v>
      </c>
    </row>
    <row r="28" spans="2:18" ht="17" thickBot="1" x14ac:dyDescent="0.4">
      <c r="B28" s="8" t="s">
        <v>499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2:18" ht="14.5" thickTop="1" x14ac:dyDescent="0.3"/>
    <row r="32" spans="2:18" ht="17" thickBot="1" x14ac:dyDescent="0.4">
      <c r="B32" s="8" t="s">
        <v>500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4.5" thickTop="1" x14ac:dyDescent="0.3"/>
  </sheetData>
  <conditionalFormatting sqref="J6:Q7">
    <cfRule type="cellIs" dxfId="2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D8B54F0C-6D49-44DB-8C63-E54AC7DCB176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B68C-EF33-4124-9587-78B6892650F2}">
  <sheetPr>
    <tabColor rgb="FF0070C0"/>
    <pageSetUpPr fitToPage="1"/>
  </sheetPr>
  <dimension ref="A1:R8"/>
  <sheetViews>
    <sheetView showGridLines="0" workbookViewId="0">
      <pane xSplit="4" ySplit="8" topLeftCell="E9" activePane="bottomRight" state="frozen"/>
      <selection activeCell="D5" sqref="D5"/>
      <selection pane="topRight" activeCell="D5" sqref="D5"/>
      <selection pane="bottomLeft" activeCell="D5" sqref="D5"/>
      <selection pane="bottomRight" activeCell="L8" sqref="L8"/>
    </sheetView>
  </sheetViews>
  <sheetFormatPr defaultColWidth="0" defaultRowHeight="14" x14ac:dyDescent="0.3"/>
  <cols>
    <col min="1" max="3" width="2" customWidth="1"/>
    <col min="4" max="4" width="23.4140625" customWidth="1"/>
    <col min="5" max="6" width="8.6640625" customWidth="1"/>
    <col min="7" max="8" width="2.6640625" customWidth="1"/>
    <col min="9" max="17" width="11.1640625" bestFit="1" customWidth="1"/>
    <col min="18" max="18" width="8.6640625" customWidth="1"/>
    <col min="19" max="16384" width="8.6640625" hidden="1"/>
  </cols>
  <sheetData>
    <row r="1" spans="2:17" ht="7" customHeight="1" x14ac:dyDescent="0.3"/>
    <row r="2" spans="2:17" ht="32.5" x14ac:dyDescent="0.65">
      <c r="B2" s="6" t="str">
        <f>company</f>
        <v>Nestle Nigeria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ht="25" x14ac:dyDescent="0.5">
      <c r="C3" s="7" t="s">
        <v>116</v>
      </c>
    </row>
    <row r="4" spans="2:17" x14ac:dyDescent="0.3">
      <c r="D4" t="str">
        <f>Live_Scenario</f>
        <v>Live Scenario: Base Case</v>
      </c>
      <c r="H4" s="24" t="s">
        <v>110</v>
      </c>
      <c r="J4" s="25">
        <f t="shared" ref="J4:L4" si="0">I5+1</f>
        <v>43831</v>
      </c>
      <c r="K4" s="25">
        <f t="shared" si="0"/>
        <v>44197</v>
      </c>
      <c r="L4" s="25">
        <f t="shared" si="0"/>
        <v>44562</v>
      </c>
      <c r="M4" s="25">
        <f>L5+1</f>
        <v>44927</v>
      </c>
      <c r="N4" s="25">
        <f t="shared" ref="N4:Q4" si="1">M5+1</f>
        <v>45292</v>
      </c>
      <c r="O4" s="25">
        <f t="shared" si="1"/>
        <v>45658</v>
      </c>
      <c r="P4" s="25">
        <f t="shared" si="1"/>
        <v>46023</v>
      </c>
      <c r="Q4" s="25">
        <f t="shared" si="1"/>
        <v>46388</v>
      </c>
    </row>
    <row r="5" spans="2:17" x14ac:dyDescent="0.3">
      <c r="D5" t="str">
        <f>"Audit Check: "&amp; Audit_check</f>
        <v>Audit Check: OK</v>
      </c>
      <c r="H5" s="24" t="s">
        <v>109</v>
      </c>
      <c r="I5" s="26">
        <f>EOMONTH(J5,-months_in_period)</f>
        <v>43830</v>
      </c>
      <c r="J5" s="25">
        <f>EOMONTH(K5,-months_in_period)</f>
        <v>44196</v>
      </c>
      <c r="K5" s="25">
        <f>EOMONTH(L5,-months_in_period)</f>
        <v>44561</v>
      </c>
      <c r="L5" s="25">
        <f>Date_last_historical</f>
        <v>44926</v>
      </c>
      <c r="M5" s="25">
        <f>EOMONTH(L5,months_in_period)</f>
        <v>45291</v>
      </c>
      <c r="N5" s="25">
        <f>EOMONTH(M5,months_in_period)</f>
        <v>45657</v>
      </c>
      <c r="O5" s="25">
        <f>EOMONTH(N5,months_in_period)</f>
        <v>46022</v>
      </c>
      <c r="P5" s="25">
        <f>EOMONTH(O5,months_in_period)</f>
        <v>46387</v>
      </c>
      <c r="Q5" s="25">
        <f>EOMONTH(P5,months_in_period)</f>
        <v>46752</v>
      </c>
    </row>
    <row r="6" spans="2:17" x14ac:dyDescent="0.3">
      <c r="D6" t="s">
        <v>114</v>
      </c>
      <c r="J6" s="28">
        <f t="shared" ref="J6:Q6" si="2">(J5&lt;=Date_last_historical)*1</f>
        <v>1</v>
      </c>
      <c r="K6" s="28">
        <f t="shared" si="2"/>
        <v>1</v>
      </c>
      <c r="L6" s="28">
        <f t="shared" si="2"/>
        <v>1</v>
      </c>
      <c r="M6" s="28">
        <f t="shared" si="2"/>
        <v>0</v>
      </c>
      <c r="N6" s="28">
        <f t="shared" si="2"/>
        <v>0</v>
      </c>
      <c r="O6" s="28">
        <f t="shared" si="2"/>
        <v>0</v>
      </c>
      <c r="P6" s="28">
        <f t="shared" si="2"/>
        <v>0</v>
      </c>
      <c r="Q6" s="28">
        <f t="shared" si="2"/>
        <v>0</v>
      </c>
    </row>
    <row r="7" spans="2:17" x14ac:dyDescent="0.3">
      <c r="D7" t="s">
        <v>115</v>
      </c>
      <c r="J7" s="28">
        <f t="shared" ref="J7:Q7" si="3">(J5&gt;=Date_last_historical)*1</f>
        <v>0</v>
      </c>
      <c r="K7" s="28">
        <f t="shared" si="3"/>
        <v>0</v>
      </c>
      <c r="L7" s="28">
        <f>(L5&gt;Date_last_historical)*1</f>
        <v>0</v>
      </c>
      <c r="M7" s="28">
        <f t="shared" si="3"/>
        <v>1</v>
      </c>
      <c r="N7" s="28">
        <f t="shared" si="3"/>
        <v>1</v>
      </c>
      <c r="O7" s="28">
        <f t="shared" si="3"/>
        <v>1</v>
      </c>
      <c r="P7" s="28">
        <f t="shared" si="3"/>
        <v>1</v>
      </c>
      <c r="Q7" s="28">
        <f t="shared" si="3"/>
        <v>1</v>
      </c>
    </row>
    <row r="8" spans="2:17" ht="14.5" x14ac:dyDescent="0.35">
      <c r="D8" s="20" t="s">
        <v>62</v>
      </c>
      <c r="E8" s="20" t="s">
        <v>106</v>
      </c>
      <c r="F8" s="27" t="s">
        <v>35</v>
      </c>
      <c r="G8" s="27"/>
      <c r="H8" s="27"/>
      <c r="I8" s="27" t="s">
        <v>107</v>
      </c>
      <c r="J8" s="27" t="s">
        <v>34</v>
      </c>
      <c r="K8" s="27" t="s">
        <v>34</v>
      </c>
      <c r="L8" s="27" t="s">
        <v>34</v>
      </c>
      <c r="M8" s="27" t="s">
        <v>108</v>
      </c>
      <c r="N8" s="27" t="s">
        <v>108</v>
      </c>
      <c r="O8" s="27" t="s">
        <v>108</v>
      </c>
      <c r="P8" s="27" t="s">
        <v>108</v>
      </c>
      <c r="Q8" s="27" t="s">
        <v>108</v>
      </c>
    </row>
  </sheetData>
  <conditionalFormatting sqref="J6:Q7">
    <cfRule type="cellIs" dxfId="0" priority="1" operator="equal">
      <formula>0</formula>
    </cfRule>
  </conditionalFormatting>
  <pageMargins left="0.7" right="0.7" top="0.75" bottom="0.75" header="0.3" footer="0.3"/>
  <pageSetup scale="73" fitToHeight="0" orientation="landscape" r:id="rId1"/>
  <headerFooter>
    <oddFooter>&amp;LNestle Financial Model&amp;CPrinted on &amp;D&amp;T&amp;RPage&amp;P 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6189F138-D3E3-4A7F-84CE-5A09910EBF6A}">
            <xm:f>Guide!$G$133&lt;&gt;"OK"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D5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27</vt:i4>
      </vt:variant>
    </vt:vector>
  </HeadingPairs>
  <TitlesOfParts>
    <vt:vector size="39" baseType="lpstr">
      <vt:lpstr>Cover</vt:lpstr>
      <vt:lpstr>Guide</vt:lpstr>
      <vt:lpstr>Summary</vt:lpstr>
      <vt:lpstr>Hist</vt:lpstr>
      <vt:lpstr>Inps</vt:lpstr>
      <vt:lpstr>Scn</vt:lpstr>
      <vt:lpstr>Calc</vt:lpstr>
      <vt:lpstr>IS</vt:lpstr>
      <vt:lpstr>BS</vt:lpstr>
      <vt:lpstr>CF</vt:lpstr>
      <vt:lpstr>Ratios</vt:lpstr>
      <vt:lpstr>Vals</vt:lpstr>
      <vt:lpstr>Audit_check</vt:lpstr>
      <vt:lpstr>Base_year</vt:lpstr>
      <vt:lpstr>Circular_Toggle</vt:lpstr>
      <vt:lpstr>company</vt:lpstr>
      <vt:lpstr>currency</vt:lpstr>
      <vt:lpstr>Date_last_historical</vt:lpstr>
      <vt:lpstr>Forecast_year</vt:lpstr>
      <vt:lpstr>l_scenarios</vt:lpstr>
      <vt:lpstr>Last_updated</vt:lpstr>
      <vt:lpstr>Live_Scenario</vt:lpstr>
      <vt:lpstr>Modeler</vt:lpstr>
      <vt:lpstr>models</vt:lpstr>
      <vt:lpstr>months_in_period</vt:lpstr>
      <vt:lpstr>onths_in_period</vt:lpstr>
      <vt:lpstr>BS!Print_Titles</vt:lpstr>
      <vt:lpstr>Calc!Print_Titles</vt:lpstr>
      <vt:lpstr>CF!Print_Titles</vt:lpstr>
      <vt:lpstr>Guide!Print_Titles</vt:lpstr>
      <vt:lpstr>Hist!Print_Titles</vt:lpstr>
      <vt:lpstr>Inps!Print_Titles</vt:lpstr>
      <vt:lpstr>IS!Print_Titles</vt:lpstr>
      <vt:lpstr>Ratios!Print_Titles</vt:lpstr>
      <vt:lpstr>Scn!Print_Titles</vt:lpstr>
      <vt:lpstr>Summary!Print_Titles</vt:lpstr>
      <vt:lpstr>Vals!Print_Titles</vt:lpstr>
      <vt:lpstr>S_Scenarios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OPEOLUWA KUKU</dc:creator>
  <cp:lastModifiedBy>OPEOLUWA KUKU</cp:lastModifiedBy>
  <cp:lastPrinted>2025-06-13T21:18:18Z</cp:lastPrinted>
  <dcterms:created xsi:type="dcterms:W3CDTF">2025-06-08T13:39:07Z</dcterms:created>
  <dcterms:modified xsi:type="dcterms:W3CDTF">2026-10-14T23:41:32Z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{"port":60572,"pid":16740,"hostInfo":{"id":"af9f638a-060c-4a4c-b0af-7bfabaf47de3"},"wsAddinLogger":true,"wsAddinLogLevel":"Info","version":"1.8.48"}</vt:lpwstr>
  </property>
</Properties>
</file>