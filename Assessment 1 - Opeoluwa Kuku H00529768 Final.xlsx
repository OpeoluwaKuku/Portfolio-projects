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defaultThemeVersion="202300"/>
  <mc:AlternateContent xmlns:mc="http://schemas.openxmlformats.org/markup-compatibility/2006">
    <mc:Choice Requires="x15">
      <x15ac:absPath xmlns:x15ac="http://schemas.microsoft.com/office/spreadsheetml/2010/11/ac" url="D:\Documents\Heriot Watt\Corporate Finance\First Assessment\"/>
    </mc:Choice>
  </mc:AlternateContent>
  <xr:revisionPtr revIDLastSave="0" documentId="13_ncr:1_{8C8564E3-15FD-4D55-94D2-304862FE07EE}" xr6:coauthVersionLast="47" xr6:coauthVersionMax="47" xr10:uidLastSave="{00000000-0000-0000-0000-000000000000}"/>
  <bookViews>
    <workbookView xWindow="-110" yWindow="-110" windowWidth="19420" windowHeight="11020" xr2:uid="{D7FF456C-E0AD-41BA-9414-5B57BE0A690C}"/>
  </bookViews>
  <sheets>
    <sheet name="Cover Page" sheetId="1" r:id="rId1"/>
    <sheet name="Investment recommendation" sheetId="20" r:id="rId2"/>
    <sheet name="Inputs" sheetId="21" r:id="rId3"/>
    <sheet name="DDM" sheetId="6" r:id="rId4"/>
    <sheet name="FCFF" sheetId="17" r:id="rId5"/>
    <sheet name="RES.INC" sheetId="19" r:id="rId6"/>
    <sheet name="COMPS" sheetId="18" r:id="rId7"/>
    <sheet name="Cost of Equity" sheetId="23" r:id="rId8"/>
    <sheet name="Cost of Capital" sheetId="24" r:id="rId9"/>
    <sheet name="3-Statement" sheetId="29" r:id="rId10"/>
    <sheet name="Debt Structure" sheetId="34" r:id="rId11"/>
    <sheet name="Hist - BS" sheetId="27" r:id="rId12"/>
    <sheet name="Hist - IS" sheetId="26" r:id="rId13"/>
    <sheet name="Hist - CS" sheetId="28" r:id="rId14"/>
    <sheet name="FRED YTM" sheetId="11" r:id="rId15"/>
    <sheet name="FInancial Summary" sheetId="31" r:id="rId16"/>
  </sheets>
  <definedNames>
    <definedName name="base_year">'Cover Page'!$F$15</definedName>
    <definedName name="bs_check">'3-Statement'!$F$104</definedName>
    <definedName name="circularity">'Cover Page'!$F$19</definedName>
    <definedName name="company_name">'Cover Page'!$C$5</definedName>
    <definedName name="money">Inputs!$E$13</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2" i="20" l="1"/>
  <c r="D10" i="20"/>
  <c r="S16" i="18"/>
  <c r="S17" i="18"/>
  <c r="S18" i="18"/>
  <c r="S19" i="18"/>
  <c r="E40" i="21"/>
  <c r="E41" i="21"/>
  <c r="E38" i="21"/>
  <c r="D5" i="18"/>
  <c r="Q59" i="20"/>
  <c r="AB46" i="20"/>
  <c r="AA46" i="20"/>
  <c r="Z46" i="20"/>
  <c r="AB45" i="20"/>
  <c r="AA45" i="20"/>
  <c r="Z45" i="20"/>
  <c r="AA44" i="20"/>
  <c r="T59" i="20"/>
  <c r="T58" i="20"/>
  <c r="T57" i="20"/>
  <c r="T56" i="20"/>
  <c r="AB44" i="20"/>
  <c r="Z44" i="20"/>
  <c r="V45" i="20"/>
  <c r="V46" i="20"/>
  <c r="V47" i="20"/>
  <c r="V44" i="20"/>
  <c r="E11" i="23"/>
  <c r="H31" i="18"/>
  <c r="H34" i="18"/>
  <c r="U59" i="20" s="1"/>
  <c r="D33" i="19"/>
  <c r="C26" i="19"/>
  <c r="M23" i="19"/>
  <c r="M22" i="19"/>
  <c r="M21" i="19"/>
  <c r="D24" i="19"/>
  <c r="D23" i="19"/>
  <c r="D22" i="19"/>
  <c r="D21" i="19"/>
  <c r="C20" i="19"/>
  <c r="W52" i="34"/>
  <c r="M7" i="29"/>
  <c r="N7" i="29" s="1"/>
  <c r="O7" i="29" s="1"/>
  <c r="P7" i="29" s="1"/>
  <c r="Q7" i="29" s="1"/>
  <c r="R7" i="29" s="1"/>
  <c r="M7" i="21"/>
  <c r="N7" i="21" s="1"/>
  <c r="O7" i="21" s="1"/>
  <c r="P7" i="21" s="1"/>
  <c r="Q7" i="21" s="1"/>
  <c r="R7" i="21" s="1"/>
  <c r="M7" i="19"/>
  <c r="N7" i="19" s="1"/>
  <c r="O7" i="19" s="1"/>
  <c r="P7" i="19" s="1"/>
  <c r="Q7" i="19" s="1"/>
  <c r="R7" i="19" s="1"/>
  <c r="M7" i="17"/>
  <c r="N7" i="17" s="1"/>
  <c r="O7" i="17" s="1"/>
  <c r="P7" i="17" s="1"/>
  <c r="Q7" i="17" s="1"/>
  <c r="R7" i="17" s="1"/>
  <c r="M7" i="6"/>
  <c r="N7" i="6" s="1"/>
  <c r="M480" i="29"/>
  <c r="N478" i="29" s="1"/>
  <c r="L484" i="29"/>
  <c r="F473" i="29"/>
  <c r="L474" i="29"/>
  <c r="E155" i="21"/>
  <c r="M470" i="29"/>
  <c r="N468" i="29" s="1"/>
  <c r="D457" i="29"/>
  <c r="D458" i="29"/>
  <c r="D459" i="29"/>
  <c r="D460" i="29"/>
  <c r="D461" i="29"/>
  <c r="D462" i="29"/>
  <c r="D463" i="29"/>
  <c r="D456" i="29"/>
  <c r="D455" i="29"/>
  <c r="D454" i="29"/>
  <c r="E141" i="29"/>
  <c r="D141" i="29"/>
  <c r="F152" i="21"/>
  <c r="F141" i="29" s="1"/>
  <c r="L142" i="29"/>
  <c r="E303" i="29"/>
  <c r="E296" i="29"/>
  <c r="F182" i="21"/>
  <c r="F183" i="21"/>
  <c r="F184" i="21"/>
  <c r="F161" i="21"/>
  <c r="F162" i="21"/>
  <c r="F163" i="21"/>
  <c r="F164" i="21"/>
  <c r="F483" i="29" s="1"/>
  <c r="F165" i="21"/>
  <c r="F166" i="21"/>
  <c r="F167" i="21"/>
  <c r="F168" i="21"/>
  <c r="F169" i="21"/>
  <c r="F170" i="21"/>
  <c r="F171" i="21"/>
  <c r="F172" i="21"/>
  <c r="F173" i="21"/>
  <c r="F174" i="21"/>
  <c r="F175" i="21"/>
  <c r="F176" i="21"/>
  <c r="F177" i="21"/>
  <c r="F178" i="21"/>
  <c r="F179" i="21"/>
  <c r="F180" i="21"/>
  <c r="F181" i="21"/>
  <c r="F160" i="21"/>
  <c r="E299" i="29"/>
  <c r="D299" i="29"/>
  <c r="E308" i="29"/>
  <c r="E309" i="29"/>
  <c r="E310" i="29"/>
  <c r="E311" i="29"/>
  <c r="G52" i="34"/>
  <c r="F185" i="21" s="1"/>
  <c r="M448" i="29"/>
  <c r="J447" i="29"/>
  <c r="J441" i="29"/>
  <c r="J439" i="29"/>
  <c r="I438" i="29" a="1"/>
  <c r="C435" i="29"/>
  <c r="M433" i="29"/>
  <c r="J432" i="29"/>
  <c r="J426" i="29"/>
  <c r="J424" i="29"/>
  <c r="I423" i="29" a="1"/>
  <c r="C420" i="29"/>
  <c r="M418" i="29"/>
  <c r="J417" i="29"/>
  <c r="J411" i="29"/>
  <c r="J409" i="29"/>
  <c r="I408" i="29" a="1"/>
  <c r="C405" i="29"/>
  <c r="M403" i="29"/>
  <c r="J402" i="29"/>
  <c r="J396" i="29"/>
  <c r="J394" i="29"/>
  <c r="I393" i="29" a="1"/>
  <c r="C390" i="29"/>
  <c r="M388" i="29"/>
  <c r="J387" i="29"/>
  <c r="J381" i="29"/>
  <c r="J379" i="29"/>
  <c r="I378" i="29" a="1"/>
  <c r="C375" i="29"/>
  <c r="M373" i="29"/>
  <c r="J372" i="29"/>
  <c r="J366" i="29"/>
  <c r="J364" i="29"/>
  <c r="I363" i="29" a="1"/>
  <c r="C360" i="29"/>
  <c r="M357" i="29"/>
  <c r="J356" i="29"/>
  <c r="J350" i="29"/>
  <c r="J348" i="29"/>
  <c r="I347" i="29" a="1"/>
  <c r="C344" i="29"/>
  <c r="M341" i="29"/>
  <c r="J334" i="29"/>
  <c r="J332" i="29"/>
  <c r="I331" i="29" a="1"/>
  <c r="J319" i="29"/>
  <c r="J317" i="29"/>
  <c r="J340" i="29"/>
  <c r="C328" i="29"/>
  <c r="J325" i="29"/>
  <c r="M326" i="29"/>
  <c r="C313" i="29"/>
  <c r="K161" i="21"/>
  <c r="J333" i="29" s="1"/>
  <c r="K162" i="21"/>
  <c r="J349" i="29" s="1"/>
  <c r="K163" i="21"/>
  <c r="J365" i="29" s="1"/>
  <c r="K164" i="21"/>
  <c r="J380" i="29" s="1"/>
  <c r="K165" i="21"/>
  <c r="J395" i="29" s="1"/>
  <c r="K166" i="21"/>
  <c r="J410" i="29" s="1"/>
  <c r="K167" i="21"/>
  <c r="J425" i="29" s="1"/>
  <c r="K168" i="21"/>
  <c r="J440" i="29" s="1"/>
  <c r="K160" i="21"/>
  <c r="J318" i="29" s="1"/>
  <c r="I316" i="29" a="1"/>
  <c r="E291" i="29"/>
  <c r="N168" i="21"/>
  <c r="J443" i="29" s="1"/>
  <c r="M168" i="21"/>
  <c r="J442" i="29" s="1"/>
  <c r="N161" i="21"/>
  <c r="J336" i="29" s="1"/>
  <c r="N162" i="21"/>
  <c r="J352" i="29" s="1"/>
  <c r="N163" i="21"/>
  <c r="J368" i="29" s="1"/>
  <c r="N164" i="21"/>
  <c r="J383" i="29" s="1"/>
  <c r="N165" i="21"/>
  <c r="J398" i="29" s="1"/>
  <c r="N166" i="21"/>
  <c r="J413" i="29" s="1"/>
  <c r="N167" i="21"/>
  <c r="J428" i="29" s="1"/>
  <c r="N160" i="21"/>
  <c r="J321" i="29" s="1"/>
  <c r="M161" i="21"/>
  <c r="J335" i="29" s="1"/>
  <c r="M162" i="21"/>
  <c r="J351" i="29" s="1"/>
  <c r="M163" i="21"/>
  <c r="J367" i="29" s="1"/>
  <c r="M164" i="21"/>
  <c r="J382" i="29" s="1"/>
  <c r="M165" i="21"/>
  <c r="J397" i="29" s="1"/>
  <c r="M166" i="21"/>
  <c r="J412" i="29" s="1"/>
  <c r="M167" i="21"/>
  <c r="J427" i="29" s="1"/>
  <c r="M160" i="21"/>
  <c r="J170" i="21" s="1"/>
  <c r="M289" i="29" s="1"/>
  <c r="O168" i="21"/>
  <c r="J444" i="29" s="1"/>
  <c r="E13" i="23"/>
  <c r="F42" i="6"/>
  <c r="B99" i="34"/>
  <c r="F146" i="21"/>
  <c r="D146" i="21"/>
  <c r="O161" i="21"/>
  <c r="J337" i="29" s="1"/>
  <c r="O162" i="21"/>
  <c r="J353" i="29" s="1"/>
  <c r="O163" i="21"/>
  <c r="J369" i="29" s="1"/>
  <c r="O164" i="21"/>
  <c r="J384" i="29" s="1"/>
  <c r="O165" i="21"/>
  <c r="J399" i="29" s="1"/>
  <c r="O166" i="21"/>
  <c r="J414" i="29" s="1"/>
  <c r="O167" i="21"/>
  <c r="J429" i="29" s="1"/>
  <c r="O160" i="21"/>
  <c r="J322" i="29" s="1"/>
  <c r="A246" i="27"/>
  <c r="A247" i="27"/>
  <c r="N48" i="19"/>
  <c r="K23" i="18"/>
  <c r="K26" i="18" s="1"/>
  <c r="L23" i="18"/>
  <c r="K27" i="18"/>
  <c r="N26" i="18"/>
  <c r="O26" i="18"/>
  <c r="P26" i="18"/>
  <c r="Q26" i="18"/>
  <c r="R26" i="18"/>
  <c r="S26" i="18"/>
  <c r="S23" i="18"/>
  <c r="E23" i="18"/>
  <c r="F23" i="18"/>
  <c r="G23" i="18"/>
  <c r="H23" i="18"/>
  <c r="I23" i="18"/>
  <c r="J23" i="18"/>
  <c r="N23" i="18"/>
  <c r="O23" i="18"/>
  <c r="P23" i="18"/>
  <c r="Q23" i="18"/>
  <c r="R23" i="18"/>
  <c r="D23" i="18"/>
  <c r="E16" i="18"/>
  <c r="F16" i="18"/>
  <c r="V56" i="20" s="1"/>
  <c r="G16" i="18"/>
  <c r="H16" i="18"/>
  <c r="I16" i="18"/>
  <c r="J16" i="18"/>
  <c r="M16" i="18"/>
  <c r="N16" i="18"/>
  <c r="O16" i="18"/>
  <c r="P16" i="18"/>
  <c r="Q16" i="18"/>
  <c r="R16" i="18"/>
  <c r="E17" i="18"/>
  <c r="F17" i="18"/>
  <c r="G17" i="18"/>
  <c r="H17" i="18"/>
  <c r="I17" i="18"/>
  <c r="J17" i="18"/>
  <c r="M17" i="18"/>
  <c r="N17" i="18"/>
  <c r="O17" i="18"/>
  <c r="P17" i="18"/>
  <c r="Q17" i="18"/>
  <c r="R17" i="18"/>
  <c r="E18" i="18"/>
  <c r="F18" i="18"/>
  <c r="G18" i="18"/>
  <c r="H18" i="18"/>
  <c r="I18" i="18"/>
  <c r="J18" i="18"/>
  <c r="M18" i="18"/>
  <c r="N18" i="18"/>
  <c r="O18" i="18"/>
  <c r="P18" i="18"/>
  <c r="Q18" i="18"/>
  <c r="R18" i="18"/>
  <c r="E19" i="18"/>
  <c r="F19" i="18"/>
  <c r="V58" i="20" s="1"/>
  <c r="G19" i="18"/>
  <c r="H19" i="18"/>
  <c r="I19" i="18"/>
  <c r="J19" i="18"/>
  <c r="M19" i="18"/>
  <c r="N19" i="18"/>
  <c r="O19" i="18"/>
  <c r="P19" i="18"/>
  <c r="Q19" i="18"/>
  <c r="R19" i="18"/>
  <c r="D19" i="18"/>
  <c r="D18" i="18"/>
  <c r="D17" i="18"/>
  <c r="D16" i="18"/>
  <c r="F270" i="29"/>
  <c r="E270" i="29"/>
  <c r="D270" i="29"/>
  <c r="R269" i="29"/>
  <c r="Q269" i="29"/>
  <c r="P269" i="29"/>
  <c r="O269" i="29"/>
  <c r="N269" i="29"/>
  <c r="D269" i="29"/>
  <c r="D268" i="29"/>
  <c r="D73" i="21"/>
  <c r="D70" i="21"/>
  <c r="D72" i="21"/>
  <c r="D71" i="21"/>
  <c r="E59" i="19"/>
  <c r="E60" i="19"/>
  <c r="E12" i="23"/>
  <c r="E63" i="19"/>
  <c r="E62" i="19"/>
  <c r="D63" i="19"/>
  <c r="E58" i="19"/>
  <c r="N36" i="6"/>
  <c r="O34" i="6"/>
  <c r="P34" i="6" s="1"/>
  <c r="Q34" i="6" s="1"/>
  <c r="R34" i="6" s="1"/>
  <c r="D14" i="19"/>
  <c r="M14" i="21"/>
  <c r="F148" i="21" s="1"/>
  <c r="D50" i="19"/>
  <c r="O46" i="19"/>
  <c r="P46" i="19" s="1"/>
  <c r="Q46" i="19" s="1"/>
  <c r="R46" i="19" s="1"/>
  <c r="S46" i="19" s="1"/>
  <c r="E43" i="17"/>
  <c r="E44" i="17"/>
  <c r="E45" i="17"/>
  <c r="E42" i="17"/>
  <c r="E12" i="17"/>
  <c r="E15" i="19" s="1"/>
  <c r="D12" i="17"/>
  <c r="D15" i="19" s="1"/>
  <c r="N35" i="17"/>
  <c r="O28" i="17"/>
  <c r="P28" i="17" s="1"/>
  <c r="Q28" i="17" s="1"/>
  <c r="R28" i="17" s="1"/>
  <c r="O14" i="21"/>
  <c r="E40" i="19"/>
  <c r="E11" i="19"/>
  <c r="E10" i="19"/>
  <c r="E39" i="19"/>
  <c r="E38" i="19"/>
  <c r="E37" i="19"/>
  <c r="D37" i="19"/>
  <c r="D13" i="19"/>
  <c r="D11" i="19"/>
  <c r="D10" i="19"/>
  <c r="D11" i="17"/>
  <c r="E9" i="17"/>
  <c r="F9" i="17"/>
  <c r="D9" i="17"/>
  <c r="D21" i="17"/>
  <c r="D15" i="17"/>
  <c r="O34" i="29"/>
  <c r="O113" i="29" s="1"/>
  <c r="P34" i="29"/>
  <c r="P113" i="29" s="1"/>
  <c r="Q34" i="29"/>
  <c r="Q113" i="29" s="1"/>
  <c r="R34" i="29"/>
  <c r="R113" i="29" s="1"/>
  <c r="N34" i="29"/>
  <c r="N113" i="29" s="1"/>
  <c r="D114" i="29"/>
  <c r="D20" i="17" s="1"/>
  <c r="D112" i="29"/>
  <c r="D110" i="29"/>
  <c r="O225" i="29"/>
  <c r="P225" i="29"/>
  <c r="Q225" i="29"/>
  <c r="R225" i="29"/>
  <c r="O220" i="29"/>
  <c r="O120" i="29" s="1"/>
  <c r="P220" i="29"/>
  <c r="P120" i="29" s="1"/>
  <c r="Q220" i="29"/>
  <c r="Q120" i="29" s="1"/>
  <c r="R220" i="29"/>
  <c r="R120" i="29" s="1"/>
  <c r="R209" i="29"/>
  <c r="Q209" i="29"/>
  <c r="P209" i="29"/>
  <c r="O209" i="29"/>
  <c r="O187" i="29"/>
  <c r="O84" i="29" s="1"/>
  <c r="P187" i="29"/>
  <c r="P84" i="29" s="1"/>
  <c r="Q187" i="29"/>
  <c r="Q84" i="29" s="1"/>
  <c r="R187" i="29"/>
  <c r="R84" i="29" s="1"/>
  <c r="N187" i="29"/>
  <c r="N84" i="29" s="1"/>
  <c r="D40" i="21"/>
  <c r="F59" i="21"/>
  <c r="F12" i="17" s="1"/>
  <c r="E7" i="24"/>
  <c r="F7" i="24"/>
  <c r="D7" i="24"/>
  <c r="D9" i="24"/>
  <c r="E9" i="24"/>
  <c r="F9" i="24"/>
  <c r="E8" i="24"/>
  <c r="D8" i="24"/>
  <c r="B53" i="34"/>
  <c r="F10" i="24" s="1"/>
  <c r="H16" i="24" s="1"/>
  <c r="B19" i="34"/>
  <c r="B20" i="34"/>
  <c r="B21" i="34"/>
  <c r="B22" i="34"/>
  <c r="B23" i="34"/>
  <c r="B24" i="34"/>
  <c r="B25" i="34"/>
  <c r="B26" i="34"/>
  <c r="H26" i="34" s="1"/>
  <c r="B27" i="34"/>
  <c r="H27" i="34" s="1"/>
  <c r="B28" i="34"/>
  <c r="H28" i="34" s="1"/>
  <c r="B29" i="34"/>
  <c r="H29" i="34" s="1"/>
  <c r="B30" i="34"/>
  <c r="H30" i="34" s="1"/>
  <c r="B31" i="34"/>
  <c r="H31" i="34" s="1"/>
  <c r="B32" i="34"/>
  <c r="H32" i="34" s="1"/>
  <c r="B33" i="34"/>
  <c r="H33" i="34" s="1"/>
  <c r="B34" i="34"/>
  <c r="H34" i="34" s="1"/>
  <c r="B35" i="34"/>
  <c r="H35" i="34" s="1"/>
  <c r="B36" i="34"/>
  <c r="H36" i="34" s="1"/>
  <c r="B37" i="34"/>
  <c r="H37" i="34" s="1"/>
  <c r="B38" i="34"/>
  <c r="H38" i="34" s="1"/>
  <c r="B39" i="34"/>
  <c r="H39" i="34" s="1"/>
  <c r="B40" i="34"/>
  <c r="H40" i="34" s="1"/>
  <c r="B41" i="34"/>
  <c r="H41" i="34" s="1"/>
  <c r="B42" i="34"/>
  <c r="H42" i="34" s="1"/>
  <c r="B43" i="34"/>
  <c r="H43" i="34" s="1"/>
  <c r="B44" i="34"/>
  <c r="H44" i="34" s="1"/>
  <c r="B45" i="34"/>
  <c r="H45" i="34" s="1"/>
  <c r="B46" i="34"/>
  <c r="H46" i="34" s="1"/>
  <c r="B47" i="34"/>
  <c r="H47" i="34" s="1"/>
  <c r="B48" i="34"/>
  <c r="H48" i="34" s="1"/>
  <c r="B49" i="34"/>
  <c r="H49" i="34" s="1"/>
  <c r="B50" i="34"/>
  <c r="H50" i="34" s="1"/>
  <c r="B51" i="34"/>
  <c r="H51" i="34" s="1"/>
  <c r="B18" i="34"/>
  <c r="B52" i="34" s="1"/>
  <c r="F16" i="24" s="1"/>
  <c r="F43" i="17" s="1"/>
  <c r="Q60" i="20"/>
  <c r="D204" i="29"/>
  <c r="D203" i="29"/>
  <c r="D118" i="29" s="1"/>
  <c r="D202" i="29"/>
  <c r="D83" i="29"/>
  <c r="E330" i="27"/>
  <c r="K330" i="27" s="1"/>
  <c r="D330" i="27"/>
  <c r="J330" i="27" s="1"/>
  <c r="E329" i="27"/>
  <c r="D329" i="27"/>
  <c r="B330" i="27"/>
  <c r="B329" i="27"/>
  <c r="D152" i="29"/>
  <c r="D113" i="21"/>
  <c r="D75" i="29" s="1"/>
  <c r="D174" i="29" s="1"/>
  <c r="L96" i="29"/>
  <c r="M96" i="29"/>
  <c r="L97" i="29"/>
  <c r="M97" i="29"/>
  <c r="L98" i="29"/>
  <c r="M98" i="29"/>
  <c r="L99" i="29"/>
  <c r="M99" i="29"/>
  <c r="L100" i="29"/>
  <c r="M100" i="29"/>
  <c r="M95" i="29"/>
  <c r="M27" i="19" s="1"/>
  <c r="L95" i="29"/>
  <c r="L84" i="29"/>
  <c r="M84" i="29"/>
  <c r="M187" i="29" s="1"/>
  <c r="L85" i="29"/>
  <c r="M85" i="29"/>
  <c r="M182" i="29" s="1"/>
  <c r="L86" i="29"/>
  <c r="M86" i="29"/>
  <c r="M183" i="29" s="1"/>
  <c r="L87" i="29"/>
  <c r="M87" i="29"/>
  <c r="M185" i="29" s="1"/>
  <c r="L88" i="29"/>
  <c r="M88" i="29"/>
  <c r="L89" i="29"/>
  <c r="M89" i="29"/>
  <c r="L90" i="29"/>
  <c r="M90" i="29"/>
  <c r="M184" i="29" s="1"/>
  <c r="M75" i="29"/>
  <c r="M174" i="29" s="1"/>
  <c r="L75" i="29"/>
  <c r="L174" i="29" s="1"/>
  <c r="M74" i="29"/>
  <c r="M76" i="29"/>
  <c r="M175" i="29" s="1"/>
  <c r="M77" i="29"/>
  <c r="M176" i="29" s="1"/>
  <c r="M78" i="29"/>
  <c r="M177" i="29" s="1"/>
  <c r="N177" i="29" s="1"/>
  <c r="M79" i="29"/>
  <c r="M178" i="29" s="1"/>
  <c r="M80" i="29"/>
  <c r="M179" i="29" s="1"/>
  <c r="L78" i="29"/>
  <c r="L177" i="29" s="1"/>
  <c r="L79" i="29"/>
  <c r="L178" i="29" s="1"/>
  <c r="L80" i="29"/>
  <c r="L179" i="29" s="1"/>
  <c r="L77" i="29"/>
  <c r="L176" i="29" s="1"/>
  <c r="L76" i="29"/>
  <c r="L175" i="29" s="1"/>
  <c r="L74" i="29"/>
  <c r="L173" i="29" s="1"/>
  <c r="M59" i="29"/>
  <c r="M61" i="29"/>
  <c r="M164" i="29" s="1"/>
  <c r="M63" i="29"/>
  <c r="M221" i="29" s="1"/>
  <c r="N219" i="29" s="1"/>
  <c r="M64" i="29"/>
  <c r="M165" i="29" s="1"/>
  <c r="M65" i="29"/>
  <c r="M226" i="29" s="1"/>
  <c r="N224" i="29" s="1"/>
  <c r="M66" i="29"/>
  <c r="M166" i="29" s="1"/>
  <c r="M67" i="29"/>
  <c r="M167" i="29" s="1"/>
  <c r="M68" i="29"/>
  <c r="L65" i="29"/>
  <c r="M50" i="29"/>
  <c r="L50" i="29"/>
  <c r="L68" i="29"/>
  <c r="L67" i="29"/>
  <c r="L66" i="29"/>
  <c r="L64" i="29"/>
  <c r="L63" i="29"/>
  <c r="L61" i="29"/>
  <c r="L59" i="29"/>
  <c r="M51" i="29"/>
  <c r="M156" i="29" s="1"/>
  <c r="M53" i="29"/>
  <c r="M158" i="29" s="1"/>
  <c r="N158" i="29" s="1"/>
  <c r="M54" i="29"/>
  <c r="M159" i="29" s="1"/>
  <c r="M55" i="29"/>
  <c r="M160" i="29" s="1"/>
  <c r="N160" i="29" s="1"/>
  <c r="L55" i="29"/>
  <c r="L160" i="29" s="1"/>
  <c r="L54" i="29"/>
  <c r="L159" i="29" s="1"/>
  <c r="L53" i="29"/>
  <c r="L158" i="29" s="1"/>
  <c r="L51" i="29"/>
  <c r="L156" i="29" s="1"/>
  <c r="D58" i="29"/>
  <c r="D117" i="21"/>
  <c r="D79" i="29" s="1"/>
  <c r="D178" i="29" s="1"/>
  <c r="J326" i="27"/>
  <c r="K326" i="27"/>
  <c r="D86" i="21"/>
  <c r="D52" i="29" s="1"/>
  <c r="D157" i="29" s="1"/>
  <c r="A241" i="27" s="1"/>
  <c r="J310" i="27"/>
  <c r="K310" i="27"/>
  <c r="J311" i="27"/>
  <c r="K311" i="27"/>
  <c r="E313" i="27"/>
  <c r="K313" i="27" s="1"/>
  <c r="D313" i="27"/>
  <c r="J313" i="27" s="1"/>
  <c r="E312" i="27"/>
  <c r="D312" i="27"/>
  <c r="B313" i="27"/>
  <c r="B312" i="27"/>
  <c r="D134" i="21"/>
  <c r="D96" i="29" s="1"/>
  <c r="D28" i="19" s="1"/>
  <c r="D135" i="21"/>
  <c r="D97" i="29" s="1"/>
  <c r="D29" i="19" s="1"/>
  <c r="D136" i="21"/>
  <c r="D98" i="29" s="1"/>
  <c r="D30" i="19" s="1"/>
  <c r="D137" i="21"/>
  <c r="D99" i="29" s="1"/>
  <c r="D31" i="19" s="1"/>
  <c r="D138" i="21"/>
  <c r="D100" i="29" s="1"/>
  <c r="D32" i="19" s="1"/>
  <c r="J300" i="27"/>
  <c r="K300" i="27"/>
  <c r="J301" i="27"/>
  <c r="K301" i="27"/>
  <c r="J302" i="27"/>
  <c r="K302" i="27"/>
  <c r="J303" i="27"/>
  <c r="K303" i="27"/>
  <c r="J304" i="27"/>
  <c r="K304" i="27"/>
  <c r="J305" i="27"/>
  <c r="K305" i="27"/>
  <c r="J306" i="27"/>
  <c r="K306" i="27"/>
  <c r="J315" i="27"/>
  <c r="K315" i="27"/>
  <c r="J316" i="27"/>
  <c r="K316" i="27"/>
  <c r="J317" i="27"/>
  <c r="K317" i="27"/>
  <c r="J321" i="27"/>
  <c r="K321" i="27"/>
  <c r="J322" i="27"/>
  <c r="K322" i="27"/>
  <c r="K240" i="27"/>
  <c r="K241" i="27"/>
  <c r="K242" i="27"/>
  <c r="M87" i="21" s="1"/>
  <c r="K243" i="27"/>
  <c r="K244" i="27"/>
  <c r="M89" i="21" s="1"/>
  <c r="K245" i="27"/>
  <c r="K246" i="27"/>
  <c r="K247" i="27"/>
  <c r="K248" i="27"/>
  <c r="K251" i="27"/>
  <c r="K252" i="27"/>
  <c r="K253" i="27"/>
  <c r="M93" i="21" s="1"/>
  <c r="N209" i="29" s="1"/>
  <c r="K254" i="27"/>
  <c r="K255" i="27"/>
  <c r="K256" i="27"/>
  <c r="K257" i="27"/>
  <c r="K258" i="27"/>
  <c r="K259" i="27"/>
  <c r="M96" i="21" s="1"/>
  <c r="N220" i="29" s="1"/>
  <c r="N120" i="29" s="1"/>
  <c r="K260" i="27"/>
  <c r="K261" i="27"/>
  <c r="M98" i="21" s="1"/>
  <c r="N225" i="29" s="1"/>
  <c r="K262" i="27"/>
  <c r="K263" i="27"/>
  <c r="K264" i="27"/>
  <c r="M101" i="21" s="1"/>
  <c r="K266" i="27"/>
  <c r="K267" i="27"/>
  <c r="K268" i="27"/>
  <c r="K269" i="27"/>
  <c r="M112" i="21" s="1"/>
  <c r="N112" i="21" s="1"/>
  <c r="O112" i="21" s="1"/>
  <c r="P112" i="21" s="1"/>
  <c r="Q112" i="21" s="1"/>
  <c r="R112" i="21" s="1"/>
  <c r="S112" i="21" s="1"/>
  <c r="K270" i="27"/>
  <c r="K271" i="27"/>
  <c r="K272" i="27"/>
  <c r="K273" i="27"/>
  <c r="M116" i="21" s="1"/>
  <c r="N116" i="21" s="1"/>
  <c r="O116" i="21" s="1"/>
  <c r="P116" i="21" s="1"/>
  <c r="Q116" i="21" s="1"/>
  <c r="R116" i="21" s="1"/>
  <c r="S116" i="21" s="1"/>
  <c r="K274" i="27"/>
  <c r="K275" i="27"/>
  <c r="K277" i="27"/>
  <c r="K278" i="27"/>
  <c r="K279" i="27"/>
  <c r="K280" i="27"/>
  <c r="K281" i="27"/>
  <c r="M122" i="21" s="1"/>
  <c r="K282" i="27"/>
  <c r="K283" i="27"/>
  <c r="M124" i="21" s="1"/>
  <c r="N124" i="21" s="1"/>
  <c r="K284" i="27"/>
  <c r="K285" i="27"/>
  <c r="K286" i="27"/>
  <c r="M127" i="21" s="1"/>
  <c r="K287" i="27"/>
  <c r="K290" i="27"/>
  <c r="K291" i="27"/>
  <c r="K292" i="27"/>
  <c r="M133" i="21" s="1"/>
  <c r="N133" i="21" s="1"/>
  <c r="K293" i="27"/>
  <c r="M134" i="21" s="1"/>
  <c r="N134" i="21" s="1"/>
  <c r="O134" i="21" s="1"/>
  <c r="K294" i="27"/>
  <c r="M135" i="21" s="1"/>
  <c r="N135" i="21" s="1"/>
  <c r="K295" i="27"/>
  <c r="M136" i="21" s="1"/>
  <c r="N136" i="21" s="1"/>
  <c r="O136" i="21" s="1"/>
  <c r="K296" i="27"/>
  <c r="M137" i="21" s="1"/>
  <c r="N137" i="21" s="1"/>
  <c r="K297" i="27"/>
  <c r="M138" i="21" s="1"/>
  <c r="J241" i="27"/>
  <c r="J242" i="27"/>
  <c r="L87" i="21" s="1"/>
  <c r="J243" i="27"/>
  <c r="J244" i="27"/>
  <c r="L89" i="21" s="1"/>
  <c r="J245" i="27"/>
  <c r="J246" i="27"/>
  <c r="J247" i="27"/>
  <c r="J248" i="27"/>
  <c r="J251" i="27"/>
  <c r="J252" i="27"/>
  <c r="J253" i="27"/>
  <c r="L93" i="21" s="1"/>
  <c r="J254" i="27"/>
  <c r="J255" i="27"/>
  <c r="J256" i="27"/>
  <c r="J257" i="27"/>
  <c r="J258" i="27"/>
  <c r="J259" i="27"/>
  <c r="L96" i="21" s="1"/>
  <c r="J260" i="27"/>
  <c r="J261" i="27"/>
  <c r="L98" i="21" s="1"/>
  <c r="J262" i="27"/>
  <c r="J263" i="27"/>
  <c r="J264" i="27"/>
  <c r="L101" i="21" s="1"/>
  <c r="J266" i="27"/>
  <c r="J267" i="27"/>
  <c r="J268" i="27"/>
  <c r="J269" i="27"/>
  <c r="L112" i="21" s="1"/>
  <c r="J270" i="27"/>
  <c r="J271" i="27"/>
  <c r="J272" i="27"/>
  <c r="J273" i="27"/>
  <c r="L116" i="21" s="1"/>
  <c r="J274" i="27"/>
  <c r="J275" i="27"/>
  <c r="J277" i="27"/>
  <c r="J278" i="27"/>
  <c r="J279" i="27"/>
  <c r="J280" i="27"/>
  <c r="J281" i="27"/>
  <c r="L122" i="21" s="1"/>
  <c r="J282" i="27"/>
  <c r="J283" i="27"/>
  <c r="L124" i="21" s="1"/>
  <c r="J284" i="27"/>
  <c r="J285" i="27"/>
  <c r="J286" i="27"/>
  <c r="L127" i="21" s="1"/>
  <c r="J287" i="27"/>
  <c r="J290" i="27"/>
  <c r="J291" i="27"/>
  <c r="J292" i="27"/>
  <c r="L133" i="21" s="1"/>
  <c r="J293" i="27"/>
  <c r="L134" i="21" s="1"/>
  <c r="J294" i="27"/>
  <c r="L135" i="21" s="1"/>
  <c r="J295" i="27"/>
  <c r="L136" i="21" s="1"/>
  <c r="J296" i="27"/>
  <c r="L137" i="21" s="1"/>
  <c r="J297" i="27"/>
  <c r="L138" i="21" s="1"/>
  <c r="J240" i="27"/>
  <c r="D122" i="21"/>
  <c r="D84" i="29" s="1"/>
  <c r="D187" i="29" s="1"/>
  <c r="D123" i="21"/>
  <c r="D85" i="29" s="1"/>
  <c r="D182" i="29" s="1"/>
  <c r="D124" i="21"/>
  <c r="D86" i="29" s="1"/>
  <c r="D183" i="29" s="1"/>
  <c r="D125" i="21"/>
  <c r="D87" i="29" s="1"/>
  <c r="D185" i="29" s="1"/>
  <c r="D126" i="21"/>
  <c r="D88" i="29" s="1"/>
  <c r="D186" i="29" s="1"/>
  <c r="D127" i="21"/>
  <c r="D89" i="29" s="1"/>
  <c r="D128" i="21"/>
  <c r="D90" i="29" s="1"/>
  <c r="D184" i="29" s="1"/>
  <c r="D131" i="21"/>
  <c r="D133" i="21"/>
  <c r="D95" i="29" s="1"/>
  <c r="D27" i="19" s="1"/>
  <c r="D121" i="21"/>
  <c r="D114" i="21"/>
  <c r="D76" i="29" s="1"/>
  <c r="D175" i="29" s="1"/>
  <c r="D115" i="21"/>
  <c r="D77" i="29" s="1"/>
  <c r="D176" i="29" s="1"/>
  <c r="D116" i="21"/>
  <c r="D78" i="29" s="1"/>
  <c r="D177" i="29" s="1"/>
  <c r="D118" i="21"/>
  <c r="D80" i="29" s="1"/>
  <c r="D179" i="29" s="1"/>
  <c r="D95" i="21"/>
  <c r="D62" i="29" s="1"/>
  <c r="D94" i="21"/>
  <c r="D61" i="29" s="1"/>
  <c r="D164" i="29" s="1"/>
  <c r="A248" i="27" s="1"/>
  <c r="D96" i="21"/>
  <c r="D63" i="29" s="1"/>
  <c r="D97" i="21"/>
  <c r="D64" i="29" s="1"/>
  <c r="D165" i="29" s="1"/>
  <c r="D98" i="21"/>
  <c r="D65" i="29" s="1"/>
  <c r="D99" i="21"/>
  <c r="D66" i="29" s="1"/>
  <c r="D166" i="29" s="1"/>
  <c r="D100" i="21"/>
  <c r="D67" i="29" s="1"/>
  <c r="D167" i="29" s="1"/>
  <c r="D101" i="21"/>
  <c r="D68" i="29" s="1"/>
  <c r="D112" i="21"/>
  <c r="D74" i="29" s="1"/>
  <c r="D173" i="29" s="1"/>
  <c r="D93" i="21"/>
  <c r="D59" i="29" s="1"/>
  <c r="D90" i="21"/>
  <c r="D56" i="29" s="1"/>
  <c r="D161" i="29" s="1"/>
  <c r="A245" i="27" s="1"/>
  <c r="D87" i="21"/>
  <c r="D53" i="29" s="1"/>
  <c r="D158" i="29" s="1"/>
  <c r="A242" i="27" s="1"/>
  <c r="D88" i="21"/>
  <c r="D54" i="29" s="1"/>
  <c r="D159" i="29" s="1"/>
  <c r="A243" i="27" s="1"/>
  <c r="D89" i="21"/>
  <c r="D55" i="29" s="1"/>
  <c r="D160" i="29" s="1"/>
  <c r="A244" i="27" s="1"/>
  <c r="D85" i="21"/>
  <c r="D51" i="29" s="1"/>
  <c r="D156" i="29" s="1"/>
  <c r="A240" i="27" s="1"/>
  <c r="E324" i="27"/>
  <c r="K324" i="27" s="1"/>
  <c r="D324" i="27"/>
  <c r="J324" i="27" s="1"/>
  <c r="E323" i="27"/>
  <c r="D323" i="27"/>
  <c r="B324" i="27"/>
  <c r="B323" i="27"/>
  <c r="E319" i="27"/>
  <c r="K319" i="27" s="1"/>
  <c r="D319" i="27"/>
  <c r="J319" i="27" s="1"/>
  <c r="E318" i="27"/>
  <c r="D318" i="27"/>
  <c r="B319" i="27"/>
  <c r="B318" i="27"/>
  <c r="E308" i="27"/>
  <c r="K308" i="27" s="1"/>
  <c r="E307" i="27"/>
  <c r="D308" i="27"/>
  <c r="J308" i="27" s="1"/>
  <c r="D307" i="27"/>
  <c r="B308" i="27"/>
  <c r="B307" i="27"/>
  <c r="D9" i="34"/>
  <c r="D7" i="34"/>
  <c r="F44" i="6"/>
  <c r="S25" i="6"/>
  <c r="I51" i="21"/>
  <c r="I24" i="6" s="1"/>
  <c r="J51" i="21"/>
  <c r="J24" i="6" s="1"/>
  <c r="K51" i="21"/>
  <c r="L51" i="21"/>
  <c r="M51" i="21"/>
  <c r="M24" i="6" s="1"/>
  <c r="E298" i="27"/>
  <c r="K298" i="27" s="1"/>
  <c r="D298" i="27"/>
  <c r="J298" i="27" s="1"/>
  <c r="E288" i="27"/>
  <c r="K288" i="27" s="1"/>
  <c r="D288" i="27"/>
  <c r="J288" i="27" s="1"/>
  <c r="E276" i="27"/>
  <c r="D276" i="27"/>
  <c r="J276" i="27" s="1"/>
  <c r="E249" i="27"/>
  <c r="K249" i="27" s="1"/>
  <c r="D249" i="27"/>
  <c r="J249" i="27" s="1"/>
  <c r="E265" i="27"/>
  <c r="K265" i="27" s="1"/>
  <c r="D265" i="27"/>
  <c r="J265" i="27" s="1"/>
  <c r="C25" i="27"/>
  <c r="C29" i="27"/>
  <c r="J30" i="27"/>
  <c r="J20" i="27"/>
  <c r="M104" i="21"/>
  <c r="L104" i="21"/>
  <c r="K104" i="21"/>
  <c r="J104" i="21"/>
  <c r="I104" i="21"/>
  <c r="E204" i="26"/>
  <c r="F204" i="26"/>
  <c r="G204" i="26"/>
  <c r="H204" i="26"/>
  <c r="I11" i="29" s="1"/>
  <c r="E207" i="26"/>
  <c r="L12" i="29" s="1"/>
  <c r="L38" i="21" s="1"/>
  <c r="F207" i="26"/>
  <c r="K12" i="29" s="1"/>
  <c r="K38" i="21" s="1"/>
  <c r="G207" i="26"/>
  <c r="J12" i="29" s="1"/>
  <c r="J38" i="21" s="1"/>
  <c r="H207" i="26"/>
  <c r="I12" i="29" s="1"/>
  <c r="I38" i="21" s="1"/>
  <c r="E210" i="26"/>
  <c r="F210" i="26"/>
  <c r="G210" i="26"/>
  <c r="H210" i="26"/>
  <c r="E211" i="26"/>
  <c r="F211" i="26"/>
  <c r="G211" i="26"/>
  <c r="H211" i="26"/>
  <c r="E212" i="26"/>
  <c r="F212" i="26"/>
  <c r="G212" i="26"/>
  <c r="H212" i="26"/>
  <c r="E213" i="26"/>
  <c r="F213" i="26"/>
  <c r="G213" i="26"/>
  <c r="H213" i="26"/>
  <c r="E214" i="26"/>
  <c r="F214" i="26"/>
  <c r="G214" i="26"/>
  <c r="H214" i="26"/>
  <c r="E215" i="26"/>
  <c r="F215" i="26"/>
  <c r="G215" i="26"/>
  <c r="H215" i="26"/>
  <c r="E216" i="26"/>
  <c r="F216" i="26"/>
  <c r="G216" i="26"/>
  <c r="H216" i="26"/>
  <c r="E217" i="26"/>
  <c r="L16" i="29" s="1"/>
  <c r="L47" i="21" s="1"/>
  <c r="F217" i="26"/>
  <c r="K16" i="29" s="1"/>
  <c r="K47" i="21" s="1"/>
  <c r="G217" i="26"/>
  <c r="J16" i="29" s="1"/>
  <c r="J47" i="21" s="1"/>
  <c r="H217" i="26"/>
  <c r="I16" i="29" s="1"/>
  <c r="I47" i="21" s="1"/>
  <c r="E219" i="26"/>
  <c r="L20" i="29" s="1"/>
  <c r="L106" i="21" s="1"/>
  <c r="F219" i="26"/>
  <c r="K20" i="29" s="1"/>
  <c r="K106" i="21" s="1"/>
  <c r="G219" i="26"/>
  <c r="J20" i="29" s="1"/>
  <c r="J106" i="21" s="1"/>
  <c r="H219" i="26"/>
  <c r="I20" i="29" s="1"/>
  <c r="I106" i="21" s="1"/>
  <c r="E223" i="26"/>
  <c r="F223" i="26"/>
  <c r="G223" i="26"/>
  <c r="H223" i="26"/>
  <c r="E224" i="26"/>
  <c r="F224" i="26"/>
  <c r="G224" i="26"/>
  <c r="H224" i="26"/>
  <c r="E225" i="26"/>
  <c r="F225" i="26"/>
  <c r="G225" i="26"/>
  <c r="H225" i="26"/>
  <c r="E226" i="26"/>
  <c r="F226" i="26"/>
  <c r="G226" i="26"/>
  <c r="H226" i="26"/>
  <c r="H228" i="26" s="1"/>
  <c r="I25" i="29" s="1"/>
  <c r="E228" i="26"/>
  <c r="L25" i="29" s="1"/>
  <c r="F228" i="26"/>
  <c r="K25" i="29" s="1"/>
  <c r="G228" i="26"/>
  <c r="J25" i="29" s="1"/>
  <c r="E229" i="26"/>
  <c r="L24" i="29" s="1"/>
  <c r="F229" i="26"/>
  <c r="K24" i="29" s="1"/>
  <c r="G229" i="26"/>
  <c r="J24" i="29" s="1"/>
  <c r="H229" i="26"/>
  <c r="I24" i="29" s="1"/>
  <c r="E230" i="26"/>
  <c r="F230" i="26"/>
  <c r="G230" i="26"/>
  <c r="E235" i="26"/>
  <c r="F235" i="26"/>
  <c r="G235" i="26"/>
  <c r="H235" i="26"/>
  <c r="E236" i="26"/>
  <c r="L31" i="29" s="1"/>
  <c r="L72" i="21" s="1"/>
  <c r="F236" i="26"/>
  <c r="K31" i="29" s="1"/>
  <c r="K72" i="21" s="1"/>
  <c r="G236" i="26"/>
  <c r="J31" i="29" s="1"/>
  <c r="H236" i="26"/>
  <c r="I31" i="29" s="1"/>
  <c r="E239" i="26"/>
  <c r="L34" i="29" s="1"/>
  <c r="F239" i="26"/>
  <c r="K34" i="29" s="1"/>
  <c r="G239" i="26"/>
  <c r="J34" i="29" s="1"/>
  <c r="H239" i="26"/>
  <c r="I34" i="29" s="1"/>
  <c r="D24" i="29"/>
  <c r="D25" i="29"/>
  <c r="D20" i="29"/>
  <c r="D111" i="29" s="1"/>
  <c r="D19" i="17" s="1"/>
  <c r="D16" i="29"/>
  <c r="D12" i="29"/>
  <c r="D11" i="29"/>
  <c r="B2" i="29"/>
  <c r="D239" i="26"/>
  <c r="M34" i="29" s="1"/>
  <c r="C239" i="26"/>
  <c r="D34" i="29" s="1"/>
  <c r="D236" i="26"/>
  <c r="M31" i="29" s="1"/>
  <c r="M72" i="21" s="1"/>
  <c r="D235" i="26"/>
  <c r="C236" i="26"/>
  <c r="C235" i="26"/>
  <c r="B73" i="26"/>
  <c r="D215" i="26"/>
  <c r="C215" i="26"/>
  <c r="D216" i="26"/>
  <c r="C216" i="26"/>
  <c r="B48" i="26"/>
  <c r="B67" i="26" s="1"/>
  <c r="B78" i="26" s="1"/>
  <c r="D226" i="26"/>
  <c r="D225" i="26"/>
  <c r="D224" i="26"/>
  <c r="D229" i="26" s="1"/>
  <c r="C226" i="26"/>
  <c r="C225" i="26"/>
  <c r="C224" i="26"/>
  <c r="D223" i="26"/>
  <c r="C223" i="26"/>
  <c r="D214" i="26"/>
  <c r="D40" i="26"/>
  <c r="D219" i="26"/>
  <c r="M20" i="29" s="1"/>
  <c r="M106" i="21" s="1"/>
  <c r="D213" i="26"/>
  <c r="D212" i="26"/>
  <c r="D211" i="26"/>
  <c r="D217" i="26" s="1"/>
  <c r="M16" i="29" s="1"/>
  <c r="M47" i="21" s="1"/>
  <c r="C212" i="26"/>
  <c r="C213" i="26"/>
  <c r="C211" i="26"/>
  <c r="D210" i="26"/>
  <c r="C210" i="26"/>
  <c r="D207" i="26"/>
  <c r="M12" i="29" s="1"/>
  <c r="M38" i="21" s="1"/>
  <c r="D204" i="26"/>
  <c r="B2" i="24"/>
  <c r="B2" i="23"/>
  <c r="B2" i="21"/>
  <c r="B2" i="20"/>
  <c r="B2" i="19"/>
  <c r="B2" i="18"/>
  <c r="B2" i="17"/>
  <c r="B2" i="6"/>
  <c r="B802" i="11"/>
  <c r="B801" i="11"/>
  <c r="B800" i="11"/>
  <c r="B799" i="11"/>
  <c r="B798" i="11"/>
  <c r="B797" i="11"/>
  <c r="B796" i="11"/>
  <c r="B795" i="11"/>
  <c r="B794" i="11"/>
  <c r="B793" i="11"/>
  <c r="B792" i="11"/>
  <c r="B791" i="11"/>
  <c r="B790" i="11"/>
  <c r="B789" i="11"/>
  <c r="B788" i="11"/>
  <c r="B787" i="11"/>
  <c r="B786" i="11"/>
  <c r="B785" i="11"/>
  <c r="B784" i="11"/>
  <c r="B783" i="11"/>
  <c r="B782" i="11"/>
  <c r="B781" i="11"/>
  <c r="B780" i="11"/>
  <c r="B779" i="11"/>
  <c r="B778" i="11"/>
  <c r="B777" i="11"/>
  <c r="B776" i="11"/>
  <c r="B775" i="11"/>
  <c r="B774" i="11"/>
  <c r="B773" i="11"/>
  <c r="B772" i="11"/>
  <c r="B771" i="11"/>
  <c r="B770" i="11"/>
  <c r="B769" i="11"/>
  <c r="B768" i="11"/>
  <c r="B767" i="11"/>
  <c r="B766" i="11"/>
  <c r="B765" i="11"/>
  <c r="B764" i="11"/>
  <c r="B763" i="11"/>
  <c r="B762" i="11"/>
  <c r="B761" i="11"/>
  <c r="B760" i="11"/>
  <c r="B759" i="11"/>
  <c r="B758" i="11"/>
  <c r="B757" i="11"/>
  <c r="B756" i="11"/>
  <c r="B755" i="11"/>
  <c r="B754" i="11"/>
  <c r="B753" i="11"/>
  <c r="B752" i="11"/>
  <c r="B751" i="11"/>
  <c r="B750" i="11"/>
  <c r="B749" i="11"/>
  <c r="B748" i="11"/>
  <c r="B747" i="11"/>
  <c r="B746" i="11"/>
  <c r="B745" i="11"/>
  <c r="B744" i="11"/>
  <c r="B743" i="11"/>
  <c r="B742" i="11"/>
  <c r="B741" i="11"/>
  <c r="B740" i="11"/>
  <c r="B739" i="11"/>
  <c r="B738" i="11"/>
  <c r="B737" i="11"/>
  <c r="B736" i="11"/>
  <c r="B735" i="11"/>
  <c r="B734" i="11"/>
  <c r="B733" i="11"/>
  <c r="B732" i="11"/>
  <c r="B731" i="11"/>
  <c r="B730" i="11"/>
  <c r="B729" i="11"/>
  <c r="B728" i="11"/>
  <c r="B727" i="11"/>
  <c r="B726" i="11"/>
  <c r="B725" i="11"/>
  <c r="B724" i="11"/>
  <c r="B723" i="11"/>
  <c r="B722" i="11"/>
  <c r="B721" i="11"/>
  <c r="B720" i="11"/>
  <c r="B719" i="11"/>
  <c r="B718" i="11"/>
  <c r="B717" i="11"/>
  <c r="B716" i="11"/>
  <c r="B715" i="11"/>
  <c r="B714" i="11"/>
  <c r="B713" i="11"/>
  <c r="B712" i="11"/>
  <c r="B711" i="11"/>
  <c r="B710" i="11"/>
  <c r="B709" i="11"/>
  <c r="B708" i="11"/>
  <c r="B707" i="11"/>
  <c r="B706" i="11"/>
  <c r="B705" i="11"/>
  <c r="B704" i="11"/>
  <c r="B703" i="11"/>
  <c r="B702" i="11"/>
  <c r="B701" i="11"/>
  <c r="B700" i="11"/>
  <c r="B699" i="11"/>
  <c r="B698" i="11"/>
  <c r="B697" i="11"/>
  <c r="B696" i="11"/>
  <c r="B695" i="11"/>
  <c r="B694" i="11"/>
  <c r="B693" i="11"/>
  <c r="B692" i="11"/>
  <c r="B691" i="11"/>
  <c r="B690" i="11"/>
  <c r="B689" i="11"/>
  <c r="B688" i="11"/>
  <c r="B687" i="11"/>
  <c r="B686" i="11"/>
  <c r="B685" i="11"/>
  <c r="B684" i="11"/>
  <c r="B683" i="11"/>
  <c r="B682" i="11"/>
  <c r="B681" i="11"/>
  <c r="B680" i="11"/>
  <c r="B679" i="11"/>
  <c r="B678" i="11"/>
  <c r="B677" i="11"/>
  <c r="B676" i="11"/>
  <c r="B675" i="11"/>
  <c r="B674" i="11"/>
  <c r="B673" i="11"/>
  <c r="B672" i="11"/>
  <c r="B671" i="11"/>
  <c r="B670" i="11"/>
  <c r="B669" i="11"/>
  <c r="B668" i="11"/>
  <c r="B667" i="11"/>
  <c r="B666" i="11"/>
  <c r="B665" i="11"/>
  <c r="B664" i="11"/>
  <c r="B663" i="11"/>
  <c r="B662" i="11"/>
  <c r="B661" i="11"/>
  <c r="B660" i="11"/>
  <c r="B659" i="11"/>
  <c r="B658" i="11"/>
  <c r="B657" i="11"/>
  <c r="B656" i="11"/>
  <c r="B655" i="11"/>
  <c r="B654" i="11"/>
  <c r="B653" i="11"/>
  <c r="B652" i="11"/>
  <c r="B651" i="11"/>
  <c r="B650" i="11"/>
  <c r="B649" i="11"/>
  <c r="B648" i="11"/>
  <c r="B647" i="11"/>
  <c r="B646" i="11"/>
  <c r="B645" i="11"/>
  <c r="B644" i="11"/>
  <c r="B643" i="11"/>
  <c r="B642" i="11"/>
  <c r="B641" i="11"/>
  <c r="B640" i="11"/>
  <c r="B639" i="11"/>
  <c r="B638" i="11"/>
  <c r="B637" i="11"/>
  <c r="B636" i="11"/>
  <c r="B635" i="11"/>
  <c r="B634" i="11"/>
  <c r="B633" i="11"/>
  <c r="B632" i="11"/>
  <c r="B631" i="11"/>
  <c r="B630" i="11"/>
  <c r="B629" i="11"/>
  <c r="B628" i="11"/>
  <c r="B627" i="11"/>
  <c r="B626" i="11"/>
  <c r="B625" i="11"/>
  <c r="B624" i="11"/>
  <c r="B623" i="11"/>
  <c r="B622" i="11"/>
  <c r="B621" i="11"/>
  <c r="B620" i="11"/>
  <c r="B619" i="11"/>
  <c r="B618" i="11"/>
  <c r="B617" i="11"/>
  <c r="B616" i="11"/>
  <c r="B615" i="11"/>
  <c r="B614" i="11"/>
  <c r="B613" i="11"/>
  <c r="B612" i="11"/>
  <c r="B611" i="11"/>
  <c r="B610" i="11"/>
  <c r="B609" i="11"/>
  <c r="B608" i="11"/>
  <c r="B607" i="11"/>
  <c r="B606" i="11"/>
  <c r="B605" i="11"/>
  <c r="B604" i="11"/>
  <c r="B603" i="11"/>
  <c r="B602" i="11"/>
  <c r="B601" i="11"/>
  <c r="B600" i="11"/>
  <c r="B599" i="11"/>
  <c r="B598" i="11"/>
  <c r="B597" i="11"/>
  <c r="B596" i="11"/>
  <c r="B595" i="11"/>
  <c r="B594" i="11"/>
  <c r="B593" i="11"/>
  <c r="B592" i="11"/>
  <c r="B591" i="11"/>
  <c r="B590" i="11"/>
  <c r="B589" i="11"/>
  <c r="B588" i="11"/>
  <c r="B587" i="11"/>
  <c r="B586" i="11"/>
  <c r="B585" i="11"/>
  <c r="B584" i="11"/>
  <c r="B583" i="11"/>
  <c r="B582" i="11"/>
  <c r="B581" i="11"/>
  <c r="B580" i="11"/>
  <c r="B579" i="11"/>
  <c r="B578" i="11"/>
  <c r="B577" i="11"/>
  <c r="B576" i="11"/>
  <c r="B575" i="11"/>
  <c r="B574" i="11"/>
  <c r="B573" i="11"/>
  <c r="B572" i="11"/>
  <c r="B571" i="11"/>
  <c r="B570" i="11"/>
  <c r="B569" i="11"/>
  <c r="B568" i="11"/>
  <c r="B567" i="11"/>
  <c r="B566" i="11"/>
  <c r="B565" i="11"/>
  <c r="B564" i="11"/>
  <c r="B563" i="11"/>
  <c r="B562" i="11"/>
  <c r="B561" i="11"/>
  <c r="B560" i="11"/>
  <c r="B559" i="11"/>
  <c r="B558" i="11"/>
  <c r="B557" i="11"/>
  <c r="B556" i="11"/>
  <c r="B555" i="11"/>
  <c r="B554" i="11"/>
  <c r="B553" i="11"/>
  <c r="B552" i="11"/>
  <c r="B551" i="11"/>
  <c r="B550" i="11"/>
  <c r="B549" i="11"/>
  <c r="B548" i="11"/>
  <c r="B547" i="11"/>
  <c r="B546" i="11"/>
  <c r="B545" i="11"/>
  <c r="B544" i="11"/>
  <c r="B543" i="11"/>
  <c r="B542" i="11"/>
  <c r="B541" i="11"/>
  <c r="B540" i="11"/>
  <c r="B539" i="11"/>
  <c r="B538" i="11"/>
  <c r="B537" i="11"/>
  <c r="B536" i="11"/>
  <c r="B535" i="11"/>
  <c r="B534" i="11"/>
  <c r="B533" i="11"/>
  <c r="B532" i="11"/>
  <c r="B531" i="11"/>
  <c r="B530" i="11"/>
  <c r="B529" i="11"/>
  <c r="B528" i="11"/>
  <c r="B527" i="11"/>
  <c r="B526" i="11"/>
  <c r="B525" i="11"/>
  <c r="B524" i="11"/>
  <c r="B523" i="11"/>
  <c r="B522" i="11"/>
  <c r="B521" i="11"/>
  <c r="B520" i="11"/>
  <c r="B519" i="11"/>
  <c r="B518" i="11"/>
  <c r="B517" i="11"/>
  <c r="B516" i="11"/>
  <c r="B515" i="11"/>
  <c r="B514" i="11"/>
  <c r="B513" i="11"/>
  <c r="B512" i="11"/>
  <c r="B511" i="11"/>
  <c r="B510" i="11"/>
  <c r="B509" i="11"/>
  <c r="B508" i="11"/>
  <c r="B507" i="11"/>
  <c r="B506" i="11"/>
  <c r="B505" i="11"/>
  <c r="B504" i="11"/>
  <c r="B503" i="11"/>
  <c r="B502" i="11"/>
  <c r="B501" i="11"/>
  <c r="B500" i="11"/>
  <c r="B499" i="11"/>
  <c r="B498" i="11"/>
  <c r="B497" i="11"/>
  <c r="B496" i="11"/>
  <c r="B495" i="11"/>
  <c r="B494" i="11"/>
  <c r="B493" i="11"/>
  <c r="B492" i="11"/>
  <c r="B491" i="11"/>
  <c r="B490" i="11"/>
  <c r="B489" i="11"/>
  <c r="B488" i="11"/>
  <c r="B487" i="11"/>
  <c r="B486" i="11"/>
  <c r="B485" i="11"/>
  <c r="B484" i="11"/>
  <c r="B483" i="11"/>
  <c r="B482" i="11"/>
  <c r="B481" i="11"/>
  <c r="B480" i="11"/>
  <c r="B479" i="11"/>
  <c r="B478" i="11"/>
  <c r="B477" i="11"/>
  <c r="B476" i="11"/>
  <c r="B475" i="11"/>
  <c r="B474" i="11"/>
  <c r="B473" i="11"/>
  <c r="B472" i="11"/>
  <c r="B471" i="11"/>
  <c r="B470" i="11"/>
  <c r="B469" i="11"/>
  <c r="B468" i="11"/>
  <c r="B467" i="11"/>
  <c r="B466" i="11"/>
  <c r="B465" i="11"/>
  <c r="B464" i="11"/>
  <c r="B463" i="11"/>
  <c r="B462" i="11"/>
  <c r="B461" i="11"/>
  <c r="B460" i="11"/>
  <c r="B459" i="11"/>
  <c r="B458" i="11"/>
  <c r="B457" i="11"/>
  <c r="B456" i="11"/>
  <c r="B455" i="11"/>
  <c r="B454" i="11"/>
  <c r="B453" i="11"/>
  <c r="B452" i="11"/>
  <c r="B451" i="11"/>
  <c r="B450" i="11"/>
  <c r="B449" i="11"/>
  <c r="B448" i="11"/>
  <c r="B447" i="11"/>
  <c r="B446" i="11"/>
  <c r="B445" i="11"/>
  <c r="B444" i="11"/>
  <c r="B443" i="11"/>
  <c r="B442" i="11"/>
  <c r="B441" i="11"/>
  <c r="B440" i="11"/>
  <c r="B439" i="11"/>
  <c r="B438" i="11"/>
  <c r="B437" i="11"/>
  <c r="B436" i="11"/>
  <c r="B435" i="11"/>
  <c r="B434" i="11"/>
  <c r="B433" i="11"/>
  <c r="B432" i="11"/>
  <c r="B431" i="11"/>
  <c r="B430" i="11"/>
  <c r="B429" i="11"/>
  <c r="B428" i="11"/>
  <c r="B427" i="11"/>
  <c r="B426" i="11"/>
  <c r="B425" i="11"/>
  <c r="B424" i="11"/>
  <c r="B423" i="11"/>
  <c r="B422" i="11"/>
  <c r="B421" i="11"/>
  <c r="B420" i="11"/>
  <c r="B419" i="11"/>
  <c r="B418" i="11"/>
  <c r="B417" i="11"/>
  <c r="B416" i="11"/>
  <c r="B415" i="11"/>
  <c r="B414" i="11"/>
  <c r="B413" i="11"/>
  <c r="B412" i="11"/>
  <c r="B411" i="11"/>
  <c r="B410" i="11"/>
  <c r="B409" i="11"/>
  <c r="B408" i="11"/>
  <c r="B407" i="11"/>
  <c r="B406" i="11"/>
  <c r="B405" i="11"/>
  <c r="B404" i="11"/>
  <c r="B403" i="11"/>
  <c r="B402" i="11"/>
  <c r="B401" i="11"/>
  <c r="B400" i="11"/>
  <c r="B399" i="11"/>
  <c r="B398" i="11"/>
  <c r="B397" i="11"/>
  <c r="B396" i="11"/>
  <c r="B395" i="11"/>
  <c r="B394" i="11"/>
  <c r="B393" i="11"/>
  <c r="B392" i="11"/>
  <c r="B391" i="11"/>
  <c r="B390" i="11"/>
  <c r="B389" i="11"/>
  <c r="B388" i="11"/>
  <c r="B387" i="11"/>
  <c r="B386" i="11"/>
  <c r="B385" i="11"/>
  <c r="B384" i="11"/>
  <c r="B383" i="11"/>
  <c r="B382" i="11"/>
  <c r="B381" i="11"/>
  <c r="B380" i="11"/>
  <c r="B379" i="11"/>
  <c r="B378" i="11"/>
  <c r="B377" i="11"/>
  <c r="B376" i="11"/>
  <c r="B375" i="11"/>
  <c r="B374" i="11"/>
  <c r="B373" i="11"/>
  <c r="B372" i="11"/>
  <c r="B371" i="11"/>
  <c r="B370" i="11"/>
  <c r="B369" i="11"/>
  <c r="B368" i="11"/>
  <c r="B367" i="11"/>
  <c r="B366" i="11"/>
  <c r="B365" i="11"/>
  <c r="B364" i="11"/>
  <c r="B363" i="11"/>
  <c r="B362" i="11"/>
  <c r="B361" i="11"/>
  <c r="B360" i="11"/>
  <c r="B359" i="11"/>
  <c r="B358" i="11"/>
  <c r="B357" i="11"/>
  <c r="B356" i="11"/>
  <c r="B355" i="11"/>
  <c r="B354" i="11"/>
  <c r="B353" i="11"/>
  <c r="B352" i="11"/>
  <c r="B351" i="11"/>
  <c r="B350" i="11"/>
  <c r="B349" i="11"/>
  <c r="B348" i="11"/>
  <c r="B347" i="11"/>
  <c r="B346" i="11"/>
  <c r="B345" i="11"/>
  <c r="B344" i="11"/>
  <c r="B343" i="11"/>
  <c r="B342" i="11"/>
  <c r="B341" i="11"/>
  <c r="B340" i="11"/>
  <c r="B339" i="11"/>
  <c r="B338" i="11"/>
  <c r="B337" i="11"/>
  <c r="B336" i="11"/>
  <c r="B335" i="11"/>
  <c r="B334" i="11"/>
  <c r="B333" i="11"/>
  <c r="B332" i="11"/>
  <c r="B331" i="11"/>
  <c r="B330" i="11"/>
  <c r="B329" i="11"/>
  <c r="B328" i="11"/>
  <c r="B327" i="11"/>
  <c r="B326" i="11"/>
  <c r="B325" i="11"/>
  <c r="B324" i="11"/>
  <c r="B323" i="11"/>
  <c r="B322" i="11"/>
  <c r="B321" i="11"/>
  <c r="B320" i="11"/>
  <c r="B319" i="11"/>
  <c r="B318" i="11"/>
  <c r="B317" i="11"/>
  <c r="B316" i="11"/>
  <c r="B315" i="11"/>
  <c r="B314" i="11"/>
  <c r="B313" i="11"/>
  <c r="B312" i="11"/>
  <c r="B311" i="11"/>
  <c r="B310" i="11"/>
  <c r="B309" i="11"/>
  <c r="B308" i="11"/>
  <c r="B307" i="11"/>
  <c r="B306" i="11"/>
  <c r="B305" i="11"/>
  <c r="B304" i="11"/>
  <c r="B303" i="11"/>
  <c r="B302" i="11"/>
  <c r="B301" i="11"/>
  <c r="B300" i="11"/>
  <c r="B299" i="11"/>
  <c r="B298" i="11"/>
  <c r="B297" i="11"/>
  <c r="B296" i="11"/>
  <c r="B295" i="11"/>
  <c r="B294" i="11"/>
  <c r="B293" i="11"/>
  <c r="B292" i="11"/>
  <c r="B291" i="11"/>
  <c r="B290" i="11"/>
  <c r="B289" i="11"/>
  <c r="B288" i="11"/>
  <c r="B287" i="11"/>
  <c r="B286" i="11"/>
  <c r="B285" i="11"/>
  <c r="B284" i="11"/>
  <c r="B283" i="11"/>
  <c r="B282" i="11"/>
  <c r="B281" i="11"/>
  <c r="B280" i="11"/>
  <c r="B279" i="11"/>
  <c r="B278" i="11"/>
  <c r="B277" i="11"/>
  <c r="B276" i="11"/>
  <c r="B275" i="11"/>
  <c r="B274" i="11"/>
  <c r="B273" i="11"/>
  <c r="B272" i="11"/>
  <c r="B271" i="11"/>
  <c r="B270" i="11"/>
  <c r="B269" i="11"/>
  <c r="B268" i="11"/>
  <c r="B267" i="11"/>
  <c r="B266" i="11"/>
  <c r="B265" i="11"/>
  <c r="B264" i="11"/>
  <c r="B263" i="11"/>
  <c r="B262" i="11"/>
  <c r="B261" i="11"/>
  <c r="B260" i="11"/>
  <c r="B259" i="11"/>
  <c r="B258" i="11"/>
  <c r="B257" i="11"/>
  <c r="B256" i="11"/>
  <c r="B255" i="11"/>
  <c r="B254" i="11"/>
  <c r="B253" i="11"/>
  <c r="B252" i="11"/>
  <c r="B251" i="11"/>
  <c r="B250" i="11"/>
  <c r="B249" i="11"/>
  <c r="B248" i="11"/>
  <c r="B247" i="11"/>
  <c r="B246" i="11"/>
  <c r="B245" i="11"/>
  <c r="B244" i="11"/>
  <c r="B243" i="11"/>
  <c r="B242" i="11"/>
  <c r="B241" i="11"/>
  <c r="B240" i="11"/>
  <c r="B239" i="11"/>
  <c r="B238" i="11"/>
  <c r="B237" i="11"/>
  <c r="B236" i="11"/>
  <c r="B235" i="11"/>
  <c r="B234" i="11"/>
  <c r="B233" i="11"/>
  <c r="B232" i="11"/>
  <c r="B231" i="11"/>
  <c r="B230" i="11"/>
  <c r="B229" i="11"/>
  <c r="B228" i="11"/>
  <c r="B227" i="11"/>
  <c r="B226" i="11"/>
  <c r="B225" i="11"/>
  <c r="B224" i="11"/>
  <c r="B223" i="11"/>
  <c r="B222" i="11"/>
  <c r="B221" i="11"/>
  <c r="B220" i="11"/>
  <c r="B219" i="11"/>
  <c r="B218" i="11"/>
  <c r="B217" i="11"/>
  <c r="B216" i="11"/>
  <c r="B215" i="11"/>
  <c r="B214" i="11"/>
  <c r="B213" i="11"/>
  <c r="B212" i="11"/>
  <c r="B211" i="11"/>
  <c r="B210" i="11"/>
  <c r="B209" i="11"/>
  <c r="B208" i="11"/>
  <c r="B207" i="11"/>
  <c r="B206" i="11"/>
  <c r="B205" i="11"/>
  <c r="B204" i="11"/>
  <c r="B203" i="11"/>
  <c r="B202" i="11"/>
  <c r="B201" i="11"/>
  <c r="B200" i="11"/>
  <c r="B199" i="11"/>
  <c r="B198" i="11"/>
  <c r="B197" i="11"/>
  <c r="B196" i="11"/>
  <c r="B195" i="11"/>
  <c r="B194" i="11"/>
  <c r="B193" i="11"/>
  <c r="B192" i="11"/>
  <c r="B191" i="11"/>
  <c r="B190" i="11"/>
  <c r="B189" i="11"/>
  <c r="B188" i="11"/>
  <c r="B187" i="11"/>
  <c r="B186" i="11"/>
  <c r="B185" i="11"/>
  <c r="B184" i="11"/>
  <c r="B183" i="11"/>
  <c r="B182" i="11"/>
  <c r="B181" i="11"/>
  <c r="B180" i="11"/>
  <c r="B179" i="11"/>
  <c r="B178" i="11"/>
  <c r="B177" i="11"/>
  <c r="B176" i="11"/>
  <c r="B175" i="11"/>
  <c r="B174" i="11"/>
  <c r="B173" i="11"/>
  <c r="B172" i="11"/>
  <c r="B171" i="11"/>
  <c r="B170" i="11"/>
  <c r="B169" i="11"/>
  <c r="B168" i="11"/>
  <c r="B167" i="11"/>
  <c r="B166" i="11"/>
  <c r="B165" i="11"/>
  <c r="B164" i="11"/>
  <c r="B163" i="11"/>
  <c r="B162" i="11"/>
  <c r="B161" i="11"/>
  <c r="B160" i="11"/>
  <c r="B159" i="11"/>
  <c r="B158" i="11"/>
  <c r="B157" i="11"/>
  <c r="B156" i="11"/>
  <c r="B155" i="11"/>
  <c r="B154" i="11"/>
  <c r="B153" i="11"/>
  <c r="B152" i="11"/>
  <c r="B151" i="11"/>
  <c r="B150" i="11"/>
  <c r="B149" i="11"/>
  <c r="B148" i="11"/>
  <c r="B147" i="11"/>
  <c r="B146" i="11"/>
  <c r="B145" i="11"/>
  <c r="B144" i="11"/>
  <c r="B143" i="11"/>
  <c r="B142" i="11"/>
  <c r="B141" i="11"/>
  <c r="B140" i="11"/>
  <c r="B139" i="11"/>
  <c r="B138" i="11"/>
  <c r="B137" i="11"/>
  <c r="B136" i="11"/>
  <c r="B135" i="11"/>
  <c r="B134" i="11"/>
  <c r="B133" i="11"/>
  <c r="B132" i="11"/>
  <c r="B131" i="11"/>
  <c r="B130" i="11"/>
  <c r="B129" i="11"/>
  <c r="B128" i="11"/>
  <c r="B127" i="11"/>
  <c r="B126" i="11"/>
  <c r="B125" i="11"/>
  <c r="B124" i="11"/>
  <c r="B123" i="11"/>
  <c r="B122" i="11"/>
  <c r="B121" i="11"/>
  <c r="B120" i="11"/>
  <c r="B119" i="11"/>
  <c r="B118" i="11"/>
  <c r="B117" i="11"/>
  <c r="B116" i="11"/>
  <c r="B115" i="11"/>
  <c r="B114" i="11"/>
  <c r="B113" i="11"/>
  <c r="B112" i="11"/>
  <c r="B111" i="11"/>
  <c r="B110" i="11"/>
  <c r="B109" i="11"/>
  <c r="B108" i="11"/>
  <c r="B107" i="11"/>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B6" i="11"/>
  <c r="B5" i="11"/>
  <c r="B4" i="11"/>
  <c r="B3" i="11"/>
  <c r="B2" i="11"/>
  <c r="L26" i="18" l="1"/>
  <c r="L27" i="18"/>
  <c r="I33" i="18"/>
  <c r="V57" i="20"/>
  <c r="O124" i="21"/>
  <c r="N183" i="29"/>
  <c r="N86" i="29" s="1"/>
  <c r="O133" i="21"/>
  <c r="N231" i="29"/>
  <c r="N128" i="29" s="1"/>
  <c r="N458" i="29" s="1"/>
  <c r="O236" i="29"/>
  <c r="O129" i="29" s="1"/>
  <c r="O459" i="29" s="1"/>
  <c r="P134" i="21"/>
  <c r="O135" i="21"/>
  <c r="P135" i="21" s="1"/>
  <c r="O241" i="29"/>
  <c r="O130" i="29" s="1"/>
  <c r="O460" i="29" s="1"/>
  <c r="O246" i="29"/>
  <c r="O131" i="29" s="1"/>
  <c r="O461" i="29" s="1"/>
  <c r="P136" i="21"/>
  <c r="O137" i="21"/>
  <c r="P137" i="21" s="1"/>
  <c r="N251" i="29"/>
  <c r="N132" i="29" s="1"/>
  <c r="N462" i="29" s="1"/>
  <c r="O251" i="29"/>
  <c r="O132" i="29" s="1"/>
  <c r="O462" i="29" s="1"/>
  <c r="L30" i="29"/>
  <c r="L71" i="21" s="1"/>
  <c r="E237" i="26"/>
  <c r="K30" i="29"/>
  <c r="K71" i="21" s="1"/>
  <c r="F237" i="26"/>
  <c r="J30" i="29"/>
  <c r="G237" i="26"/>
  <c r="I30" i="29"/>
  <c r="H237" i="26"/>
  <c r="H52" i="34"/>
  <c r="P236" i="29"/>
  <c r="P129" i="29" s="1"/>
  <c r="P459" i="29" s="1"/>
  <c r="Q134" i="21"/>
  <c r="Q136" i="21"/>
  <c r="P246" i="29"/>
  <c r="P131" i="29" s="1"/>
  <c r="P461" i="29" s="1"/>
  <c r="Q137" i="21"/>
  <c r="P251" i="29"/>
  <c r="P132" i="29" s="1"/>
  <c r="P462" i="29" s="1"/>
  <c r="N246" i="29"/>
  <c r="N131" i="29" s="1"/>
  <c r="N461" i="29" s="1"/>
  <c r="N241" i="29"/>
  <c r="N130" i="29" s="1"/>
  <c r="N460" i="29" s="1"/>
  <c r="N236" i="29"/>
  <c r="I32" i="18"/>
  <c r="F149" i="21"/>
  <c r="F299" i="29" s="1"/>
  <c r="N53" i="21"/>
  <c r="F11" i="17"/>
  <c r="M237" i="29"/>
  <c r="N235" i="29" s="1"/>
  <c r="M28" i="19"/>
  <c r="M242" i="29"/>
  <c r="N240" i="29" s="1"/>
  <c r="M29" i="19"/>
  <c r="M247" i="29"/>
  <c r="N245" i="29" s="1"/>
  <c r="M30" i="19"/>
  <c r="M252" i="29"/>
  <c r="N250" i="29" s="1"/>
  <c r="M31" i="19"/>
  <c r="M258" i="29"/>
  <c r="M32" i="19"/>
  <c r="N27" i="6"/>
  <c r="O7" i="6"/>
  <c r="O483" i="29"/>
  <c r="P483" i="29"/>
  <c r="R483" i="29"/>
  <c r="Q483" i="29"/>
  <c r="N483" i="29"/>
  <c r="P473" i="29"/>
  <c r="O473" i="29"/>
  <c r="Q473" i="29"/>
  <c r="R473" i="29"/>
  <c r="N473" i="29"/>
  <c r="O141" i="29"/>
  <c r="P141" i="29"/>
  <c r="Q141" i="29"/>
  <c r="R141" i="29"/>
  <c r="N141" i="29"/>
  <c r="J320" i="29"/>
  <c r="M318" i="29" s="1"/>
  <c r="N32" i="21"/>
  <c r="R32" i="21"/>
  <c r="Q32" i="21"/>
  <c r="P32" i="21"/>
  <c r="O32" i="21"/>
  <c r="Q325" i="29"/>
  <c r="N325" i="29"/>
  <c r="M410" i="29"/>
  <c r="N407" i="29" s="1"/>
  <c r="M395" i="29"/>
  <c r="N392" i="29" s="1"/>
  <c r="M380" i="29"/>
  <c r="N377" i="29" s="1"/>
  <c r="M365" i="29"/>
  <c r="N362" i="29" s="1"/>
  <c r="M333" i="29"/>
  <c r="P356" i="29"/>
  <c r="O356" i="29"/>
  <c r="N356" i="29"/>
  <c r="Q447" i="29"/>
  <c r="N387" i="29"/>
  <c r="N447" i="29"/>
  <c r="Q432" i="29"/>
  <c r="P387" i="29"/>
  <c r="O387" i="29"/>
  <c r="R372" i="29"/>
  <c r="P372" i="29"/>
  <c r="O372" i="29"/>
  <c r="N372" i="29"/>
  <c r="R356" i="29"/>
  <c r="Q356" i="29"/>
  <c r="R447" i="29"/>
  <c r="P447" i="29"/>
  <c r="O447" i="29"/>
  <c r="R432" i="29"/>
  <c r="P432" i="29"/>
  <c r="O432" i="29"/>
  <c r="N432" i="29"/>
  <c r="R417" i="29"/>
  <c r="Q417" i="29"/>
  <c r="P417" i="29"/>
  <c r="O417" i="29"/>
  <c r="N417" i="29"/>
  <c r="R402" i="29"/>
  <c r="Q402" i="29"/>
  <c r="P402" i="29"/>
  <c r="O402" i="29"/>
  <c r="N402" i="29"/>
  <c r="R387" i="29"/>
  <c r="Q387" i="29"/>
  <c r="Q372" i="29"/>
  <c r="N283" i="29"/>
  <c r="N437" i="29"/>
  <c r="M425" i="29"/>
  <c r="N422" i="29" s="1"/>
  <c r="M349" i="29"/>
  <c r="N346" i="29" s="1"/>
  <c r="R340" i="29"/>
  <c r="P340" i="29"/>
  <c r="N340" i="29"/>
  <c r="O325" i="29"/>
  <c r="Q340" i="29"/>
  <c r="O340" i="29"/>
  <c r="P325" i="29"/>
  <c r="R325" i="29"/>
  <c r="D27" i="18"/>
  <c r="D26" i="18"/>
  <c r="P14" i="21"/>
  <c r="E26" i="18"/>
  <c r="F26" i="18"/>
  <c r="G26" i="18"/>
  <c r="H26" i="18"/>
  <c r="I26" i="18"/>
  <c r="J26" i="18"/>
  <c r="E27" i="18"/>
  <c r="F27" i="18"/>
  <c r="G27" i="18"/>
  <c r="H27" i="18"/>
  <c r="I27" i="18"/>
  <c r="J27" i="18"/>
  <c r="F63" i="19"/>
  <c r="I36" i="18" s="1"/>
  <c r="F47" i="17"/>
  <c r="D228" i="26"/>
  <c r="L11" i="29"/>
  <c r="E232" i="26"/>
  <c r="K11" i="29"/>
  <c r="F232" i="26"/>
  <c r="J11" i="29"/>
  <c r="G232" i="26"/>
  <c r="O35" i="17"/>
  <c r="P35" i="17" s="1"/>
  <c r="Q35" i="17" s="1"/>
  <c r="R35" i="17" s="1"/>
  <c r="E289" i="27"/>
  <c r="K276" i="27"/>
  <c r="I39" i="23"/>
  <c r="J39" i="23" s="1"/>
  <c r="I26" i="23"/>
  <c r="J26" i="23" s="1"/>
  <c r="I35" i="23"/>
  <c r="J35" i="23" s="1"/>
  <c r="I38" i="23"/>
  <c r="J38" i="23" s="1"/>
  <c r="I20" i="23"/>
  <c r="J20" i="23" s="1"/>
  <c r="I22" i="23"/>
  <c r="J22" i="23" s="1"/>
  <c r="I24" i="23"/>
  <c r="J24" i="23" s="1"/>
  <c r="I27" i="23"/>
  <c r="J27" i="23" s="1"/>
  <c r="I31" i="23"/>
  <c r="J31" i="23" s="1"/>
  <c r="I33" i="23"/>
  <c r="J33" i="23" s="1"/>
  <c r="I36" i="23"/>
  <c r="J36" i="23" s="1"/>
  <c r="I21" i="23"/>
  <c r="J21" i="23" s="1"/>
  <c r="I23" i="23"/>
  <c r="J23" i="23" s="1"/>
  <c r="I25" i="23"/>
  <c r="J25" i="23" s="1"/>
  <c r="I28" i="23"/>
  <c r="J28" i="23" s="1"/>
  <c r="I30" i="23"/>
  <c r="J30" i="23" s="1"/>
  <c r="I32" i="23"/>
  <c r="J32" i="23" s="1"/>
  <c r="I34" i="23"/>
  <c r="J34" i="23" s="1"/>
  <c r="I37" i="23"/>
  <c r="J37" i="23" s="1"/>
  <c r="I29" i="23"/>
  <c r="J29" i="23" s="1"/>
  <c r="H230" i="26"/>
  <c r="H232" i="26" s="1"/>
  <c r="K329" i="27"/>
  <c r="K331" i="27" s="1"/>
  <c r="E331" i="27"/>
  <c r="J329" i="27"/>
  <c r="J331" i="27" s="1"/>
  <c r="D331" i="27"/>
  <c r="K312" i="27"/>
  <c r="E314" i="27"/>
  <c r="J312" i="27"/>
  <c r="D314" i="27"/>
  <c r="M30" i="29"/>
  <c r="D237" i="26"/>
  <c r="M24" i="29"/>
  <c r="D208" i="26"/>
  <c r="D209" i="26" s="1"/>
  <c r="M11" i="29"/>
  <c r="N11" i="29" s="1"/>
  <c r="O11" i="29" s="1"/>
  <c r="P11" i="29" s="1"/>
  <c r="Q11" i="29" s="1"/>
  <c r="R11" i="29" s="1"/>
  <c r="L101" i="29"/>
  <c r="M138" i="29"/>
  <c r="F44" i="17"/>
  <c r="L32" i="29"/>
  <c r="L73" i="21" s="1"/>
  <c r="K32" i="29"/>
  <c r="K73" i="21" s="1"/>
  <c r="J32" i="29"/>
  <c r="D62" i="21"/>
  <c r="D113" i="29"/>
  <c r="O48" i="19"/>
  <c r="P48" i="19" s="1"/>
  <c r="Q48" i="19" s="1"/>
  <c r="R48" i="19" s="1"/>
  <c r="E14" i="23"/>
  <c r="E15" i="23" s="1"/>
  <c r="Q57" i="20" s="1"/>
  <c r="F15" i="19"/>
  <c r="F61" i="19" s="1"/>
  <c r="F46" i="17"/>
  <c r="O36" i="6"/>
  <c r="P36" i="6" s="1"/>
  <c r="Q36" i="6" s="1"/>
  <c r="R36" i="6" s="1"/>
  <c r="L81" i="29"/>
  <c r="N221" i="29"/>
  <c r="N226" i="29"/>
  <c r="M232" i="29"/>
  <c r="N230" i="29" s="1"/>
  <c r="N232" i="29" s="1"/>
  <c r="M101" i="29"/>
  <c r="O177" i="29"/>
  <c r="N78" i="29"/>
  <c r="O158" i="29"/>
  <c r="N53" i="29"/>
  <c r="O160" i="29"/>
  <c r="N55" i="29"/>
  <c r="N252" i="29"/>
  <c r="N242" i="29"/>
  <c r="N247" i="29"/>
  <c r="M186" i="29"/>
  <c r="M173" i="29"/>
  <c r="M81" i="29"/>
  <c r="M210" i="29"/>
  <c r="N208" i="29" s="1"/>
  <c r="N210" i="29" s="1"/>
  <c r="M107" i="21"/>
  <c r="L107" i="21"/>
  <c r="K107" i="21"/>
  <c r="J107" i="21"/>
  <c r="I107" i="21"/>
  <c r="F41" i="6"/>
  <c r="F8" i="24"/>
  <c r="F15" i="24" s="1"/>
  <c r="F17" i="24" s="1"/>
  <c r="G16" i="24" s="1"/>
  <c r="D47" i="21"/>
  <c r="D151" i="29"/>
  <c r="D38" i="21"/>
  <c r="D150" i="29"/>
  <c r="D26" i="21"/>
  <c r="D149" i="29"/>
  <c r="I32" i="29"/>
  <c r="K26" i="29"/>
  <c r="J26" i="29"/>
  <c r="L26" i="29"/>
  <c r="I26" i="29"/>
  <c r="M125" i="21"/>
  <c r="N125" i="21" s="1"/>
  <c r="O125" i="21" s="1"/>
  <c r="P125" i="21" s="1"/>
  <c r="Q125" i="21" s="1"/>
  <c r="R125" i="21" s="1"/>
  <c r="S125" i="21" s="1"/>
  <c r="M100" i="21"/>
  <c r="L100" i="21"/>
  <c r="N100" i="21" s="1"/>
  <c r="L125" i="21"/>
  <c r="M94" i="21"/>
  <c r="M99" i="21"/>
  <c r="M126" i="21"/>
  <c r="M88" i="21"/>
  <c r="N88" i="21" s="1"/>
  <c r="O88" i="21" s="1"/>
  <c r="P88" i="21" s="1"/>
  <c r="Q88" i="21" s="1"/>
  <c r="R88" i="21" s="1"/>
  <c r="M113" i="21"/>
  <c r="M85" i="21"/>
  <c r="L88" i="21"/>
  <c r="L113" i="21"/>
  <c r="N113" i="21" s="1"/>
  <c r="L94" i="21"/>
  <c r="N94" i="21" s="1"/>
  <c r="L126" i="21"/>
  <c r="N126" i="21" s="1"/>
  <c r="L99" i="21"/>
  <c r="N99" i="21" s="1"/>
  <c r="L85" i="21"/>
  <c r="N85" i="21" s="1"/>
  <c r="I26" i="21"/>
  <c r="I13" i="29"/>
  <c r="N87" i="21"/>
  <c r="O87" i="21" s="1"/>
  <c r="P87" i="21" s="1"/>
  <c r="Q87" i="21" s="1"/>
  <c r="R87" i="21" s="1"/>
  <c r="J323" i="27"/>
  <c r="D325" i="27"/>
  <c r="E325" i="27"/>
  <c r="K323" i="27"/>
  <c r="K318" i="27"/>
  <c r="E320" i="27"/>
  <c r="D320" i="27"/>
  <c r="J318" i="27"/>
  <c r="E309" i="27"/>
  <c r="K307" i="27"/>
  <c r="D309" i="27"/>
  <c r="J307" i="27"/>
  <c r="K24" i="6"/>
  <c r="L24" i="6"/>
  <c r="E250" i="27"/>
  <c r="D289" i="27"/>
  <c r="D250" i="27"/>
  <c r="J250" i="27" s="1"/>
  <c r="J39" i="21"/>
  <c r="K39" i="21"/>
  <c r="L39" i="21"/>
  <c r="M39" i="21"/>
  <c r="P133" i="21" l="1"/>
  <c r="O231" i="29"/>
  <c r="O128" i="29" s="1"/>
  <c r="O458" i="29" s="1"/>
  <c r="N107" i="21"/>
  <c r="O100" i="21"/>
  <c r="O183" i="29"/>
  <c r="O86" i="29" s="1"/>
  <c r="P124" i="21"/>
  <c r="P241" i="29"/>
  <c r="P130" i="29" s="1"/>
  <c r="P460" i="29" s="1"/>
  <c r="Q135" i="21"/>
  <c r="O107" i="21"/>
  <c r="P107" i="21" s="1"/>
  <c r="P100" i="21"/>
  <c r="O126" i="21"/>
  <c r="O94" i="21"/>
  <c r="O99" i="21"/>
  <c r="O113" i="21"/>
  <c r="Q236" i="29"/>
  <c r="Q129" i="29" s="1"/>
  <c r="Q459" i="29" s="1"/>
  <c r="R134" i="21"/>
  <c r="Q246" i="29"/>
  <c r="Q131" i="29" s="1"/>
  <c r="Q461" i="29" s="1"/>
  <c r="R136" i="21"/>
  <c r="Q251" i="29"/>
  <c r="Q132" i="29" s="1"/>
  <c r="Q462" i="29" s="1"/>
  <c r="R137" i="21"/>
  <c r="N129" i="29"/>
  <c r="N459" i="29" s="1"/>
  <c r="N237" i="29"/>
  <c r="O85" i="21"/>
  <c r="F13" i="19"/>
  <c r="F21" i="6"/>
  <c r="N51" i="21"/>
  <c r="O53" i="21"/>
  <c r="M24" i="19"/>
  <c r="N255" i="29"/>
  <c r="N21" i="19" s="1"/>
  <c r="N137" i="29"/>
  <c r="M464" i="29"/>
  <c r="N453" i="29" s="1"/>
  <c r="M11" i="19"/>
  <c r="F59" i="19" s="1"/>
  <c r="M33" i="19"/>
  <c r="O27" i="6"/>
  <c r="P7" i="6"/>
  <c r="N322" i="29"/>
  <c r="N317" i="29" s="1"/>
  <c r="N321" i="29"/>
  <c r="N316" i="29" s="1"/>
  <c r="O283" i="29"/>
  <c r="N443" i="29"/>
  <c r="N438" i="29" s="1"/>
  <c r="N444" i="29"/>
  <c r="N439" i="29" s="1"/>
  <c r="N428" i="29"/>
  <c r="N423" i="29" s="1"/>
  <c r="N429" i="29"/>
  <c r="N424" i="29" s="1"/>
  <c r="N413" i="29"/>
  <c r="N408" i="29" s="1"/>
  <c r="N414" i="29"/>
  <c r="N409" i="29" s="1"/>
  <c r="N398" i="29"/>
  <c r="N393" i="29" s="1"/>
  <c r="N399" i="29"/>
  <c r="N394" i="29" s="1"/>
  <c r="N383" i="29"/>
  <c r="N378" i="29" s="1"/>
  <c r="N384" i="29"/>
  <c r="N379" i="29" s="1"/>
  <c r="N368" i="29"/>
  <c r="N363" i="29" s="1"/>
  <c r="N369" i="29"/>
  <c r="N364" i="29" s="1"/>
  <c r="N352" i="29"/>
  <c r="N347" i="29" s="1"/>
  <c r="N353" i="29"/>
  <c r="N348" i="29" s="1"/>
  <c r="N336" i="29"/>
  <c r="N331" i="29" s="1"/>
  <c r="N337" i="29"/>
  <c r="N332" i="29" s="1"/>
  <c r="N330" i="29"/>
  <c r="N315" i="29"/>
  <c r="M189" i="29"/>
  <c r="M180" i="29"/>
  <c r="Q14" i="21"/>
  <c r="R14" i="21" s="1"/>
  <c r="J289" i="27"/>
  <c r="D299" i="27"/>
  <c r="J299" i="27" s="1"/>
  <c r="M25" i="29"/>
  <c r="M26" i="29" s="1"/>
  <c r="D230" i="26"/>
  <c r="D232" i="26" s="1"/>
  <c r="K250" i="27"/>
  <c r="L26" i="21"/>
  <c r="L13" i="29"/>
  <c r="K26" i="21"/>
  <c r="K13" i="29"/>
  <c r="J26" i="21"/>
  <c r="J13" i="29"/>
  <c r="E248" i="26"/>
  <c r="E241" i="26"/>
  <c r="F248" i="26"/>
  <c r="F241" i="26"/>
  <c r="G248" i="26"/>
  <c r="G241" i="26"/>
  <c r="K289" i="27"/>
  <c r="E299" i="27"/>
  <c r="K299" i="27" s="1"/>
  <c r="I16" i="24"/>
  <c r="M71" i="21"/>
  <c r="M32" i="29"/>
  <c r="M73" i="21" s="1"/>
  <c r="M26" i="21"/>
  <c r="N26" i="21" s="1"/>
  <c r="O26" i="21" s="1"/>
  <c r="P26" i="21" s="1"/>
  <c r="Q26" i="21" s="1"/>
  <c r="R26" i="21" s="1"/>
  <c r="M13" i="29"/>
  <c r="F12" i="6"/>
  <c r="H248" i="26"/>
  <c r="H241" i="26"/>
  <c r="M121" i="21"/>
  <c r="M83" i="29"/>
  <c r="M294" i="29" s="1"/>
  <c r="L121" i="21"/>
  <c r="L83" i="29"/>
  <c r="L91" i="29" s="1"/>
  <c r="L92" i="29" s="1"/>
  <c r="L102" i="29" s="1"/>
  <c r="K314" i="27"/>
  <c r="M52" i="29"/>
  <c r="J314" i="27"/>
  <c r="L52" i="29"/>
  <c r="J325" i="27"/>
  <c r="L95" i="21" s="1"/>
  <c r="L62" i="29"/>
  <c r="K325" i="27"/>
  <c r="M95" i="21" s="1"/>
  <c r="N95" i="21" s="1"/>
  <c r="M62" i="29"/>
  <c r="M216" i="29" s="1"/>
  <c r="N214" i="29" s="1"/>
  <c r="K320" i="27"/>
  <c r="M60" i="29"/>
  <c r="J320" i="27"/>
  <c r="L60" i="29"/>
  <c r="K309" i="27"/>
  <c r="M90" i="21" s="1"/>
  <c r="N90" i="21" s="1"/>
  <c r="O90" i="21" s="1"/>
  <c r="P90" i="21" s="1"/>
  <c r="Q90" i="21" s="1"/>
  <c r="R90" i="21" s="1"/>
  <c r="M56" i="29"/>
  <c r="M161" i="29" s="1"/>
  <c r="N161" i="29" s="1"/>
  <c r="J309" i="27"/>
  <c r="L90" i="21" s="1"/>
  <c r="L56" i="29"/>
  <c r="L161" i="29" s="1"/>
  <c r="O219" i="29"/>
  <c r="O221" i="29" s="1"/>
  <c r="N63" i="29"/>
  <c r="N121" i="29"/>
  <c r="O224" i="29"/>
  <c r="O226" i="29" s="1"/>
  <c r="N65" i="29"/>
  <c r="H15" i="24"/>
  <c r="O78" i="29"/>
  <c r="P177" i="29"/>
  <c r="O53" i="29"/>
  <c r="P158" i="29"/>
  <c r="O55" i="29"/>
  <c r="P160" i="29"/>
  <c r="N173" i="29"/>
  <c r="N99" i="29"/>
  <c r="N31" i="19" s="1"/>
  <c r="O250" i="29"/>
  <c r="O252" i="29" s="1"/>
  <c r="N97" i="29"/>
  <c r="N29" i="19" s="1"/>
  <c r="O240" i="29"/>
  <c r="O242" i="29" s="1"/>
  <c r="N98" i="29"/>
  <c r="N30" i="19" s="1"/>
  <c r="O245" i="29"/>
  <c r="O247" i="29" s="1"/>
  <c r="N95" i="29"/>
  <c r="N27" i="19" s="1"/>
  <c r="O230" i="29"/>
  <c r="O208" i="29"/>
  <c r="O210" i="29" s="1"/>
  <c r="N59" i="29"/>
  <c r="I14" i="29"/>
  <c r="I40" i="21"/>
  <c r="I41" i="21" s="1"/>
  <c r="G15" i="24"/>
  <c r="I17" i="29"/>
  <c r="I39" i="29" s="1"/>
  <c r="I48" i="21"/>
  <c r="Q133" i="21" l="1"/>
  <c r="P231" i="29"/>
  <c r="P128" i="29" s="1"/>
  <c r="P458" i="29" s="1"/>
  <c r="O232" i="29"/>
  <c r="Q100" i="21"/>
  <c r="R100" i="21" s="1"/>
  <c r="N410" i="29"/>
  <c r="N96" i="29"/>
  <c r="N28" i="19" s="1"/>
  <c r="O235" i="29"/>
  <c r="O237" i="29" s="1"/>
  <c r="Q124" i="21"/>
  <c r="P183" i="29"/>
  <c r="P86" i="29" s="1"/>
  <c r="Q241" i="29"/>
  <c r="Q130" i="29" s="1"/>
  <c r="Q460" i="29" s="1"/>
  <c r="R135" i="21"/>
  <c r="P126" i="21"/>
  <c r="Q126" i="21" s="1"/>
  <c r="P94" i="21"/>
  <c r="Q94" i="21" s="1"/>
  <c r="P99" i="21"/>
  <c r="Q99" i="21" s="1"/>
  <c r="P113" i="21"/>
  <c r="Q113" i="21" s="1"/>
  <c r="Q107" i="21"/>
  <c r="R107" i="21" s="1"/>
  <c r="N215" i="29"/>
  <c r="O95" i="21"/>
  <c r="R236" i="29"/>
  <c r="R129" i="29" s="1"/>
  <c r="R459" i="29" s="1"/>
  <c r="S134" i="21"/>
  <c r="R246" i="29"/>
  <c r="R131" i="29" s="1"/>
  <c r="R461" i="29" s="1"/>
  <c r="S136" i="21"/>
  <c r="S137" i="21"/>
  <c r="R251" i="29"/>
  <c r="R132" i="29" s="1"/>
  <c r="R462" i="29" s="1"/>
  <c r="P85" i="21"/>
  <c r="Q85" i="21" s="1"/>
  <c r="R85" i="21" s="1"/>
  <c r="N395" i="29"/>
  <c r="O392" i="29" s="1"/>
  <c r="O403" i="29" s="1"/>
  <c r="N440" i="29"/>
  <c r="O437" i="29" s="1"/>
  <c r="O448" i="29" s="1"/>
  <c r="O38" i="19"/>
  <c r="Q38" i="19"/>
  <c r="N38" i="19"/>
  <c r="N39" i="19" s="1"/>
  <c r="M38" i="19"/>
  <c r="P38" i="19"/>
  <c r="R38" i="19"/>
  <c r="N425" i="29"/>
  <c r="N433" i="29" s="1"/>
  <c r="N365" i="29"/>
  <c r="O362" i="29" s="1"/>
  <c r="O373" i="29" s="1"/>
  <c r="N349" i="29"/>
  <c r="N403" i="29"/>
  <c r="N448" i="29"/>
  <c r="N287" i="29"/>
  <c r="N125" i="29" s="1"/>
  <c r="N456" i="29" s="1"/>
  <c r="N24" i="6"/>
  <c r="N28" i="6" s="1"/>
  <c r="N30" i="6" s="1"/>
  <c r="N37" i="6" s="1"/>
  <c r="N257" i="29"/>
  <c r="O51" i="21"/>
  <c r="P53" i="21"/>
  <c r="P27" i="6"/>
  <c r="Q7" i="6"/>
  <c r="N294" i="29"/>
  <c r="O294" i="29" s="1"/>
  <c r="M303" i="29"/>
  <c r="M306" i="29" s="1"/>
  <c r="N380" i="29"/>
  <c r="O337" i="29"/>
  <c r="O332" i="29" s="1"/>
  <c r="O336" i="29"/>
  <c r="O331" i="29" s="1"/>
  <c r="O353" i="29"/>
  <c r="O348" i="29" s="1"/>
  <c r="O352" i="29"/>
  <c r="O347" i="29" s="1"/>
  <c r="O369" i="29"/>
  <c r="O364" i="29" s="1"/>
  <c r="O368" i="29"/>
  <c r="O363" i="29" s="1"/>
  <c r="O384" i="29"/>
  <c r="O379" i="29" s="1"/>
  <c r="O383" i="29"/>
  <c r="O378" i="29" s="1"/>
  <c r="O399" i="29"/>
  <c r="O394" i="29" s="1"/>
  <c r="O398" i="29"/>
  <c r="O393" i="29" s="1"/>
  <c r="O414" i="29"/>
  <c r="O409" i="29" s="1"/>
  <c r="O413" i="29"/>
  <c r="O408" i="29" s="1"/>
  <c r="O429" i="29"/>
  <c r="O424" i="29" s="1"/>
  <c r="O428" i="29"/>
  <c r="O423" i="29" s="1"/>
  <c r="O444" i="29"/>
  <c r="O439" i="29" s="1"/>
  <c r="O443" i="29"/>
  <c r="O438" i="29" s="1"/>
  <c r="O321" i="29"/>
  <c r="O316" i="29" s="1"/>
  <c r="O322" i="29"/>
  <c r="O317" i="29" s="1"/>
  <c r="P283" i="29"/>
  <c r="N288" i="29"/>
  <c r="N126" i="29" s="1"/>
  <c r="N333" i="29"/>
  <c r="O330" i="29" s="1"/>
  <c r="N318" i="29"/>
  <c r="N326" i="29" s="1"/>
  <c r="M91" i="29"/>
  <c r="M92" i="29" s="1"/>
  <c r="M102" i="29" s="1"/>
  <c r="N286" i="29"/>
  <c r="D241" i="26"/>
  <c r="D248" i="26"/>
  <c r="M86" i="21"/>
  <c r="L86" i="21"/>
  <c r="N86" i="21" s="1"/>
  <c r="L69" i="29"/>
  <c r="L27" i="21"/>
  <c r="L97" i="21"/>
  <c r="L115" i="21"/>
  <c r="L48" i="21"/>
  <c r="L114" i="21"/>
  <c r="L123" i="21"/>
  <c r="L14" i="29"/>
  <c r="L40" i="21"/>
  <c r="L41" i="21" s="1"/>
  <c r="L17" i="29"/>
  <c r="K27" i="21"/>
  <c r="K48" i="21"/>
  <c r="K14" i="29"/>
  <c r="K17" i="29"/>
  <c r="K40" i="21"/>
  <c r="K41" i="21" s="1"/>
  <c r="J27" i="21"/>
  <c r="J48" i="21"/>
  <c r="J40" i="21"/>
  <c r="J41" i="21" s="1"/>
  <c r="J42" i="21" s="1"/>
  <c r="J14" i="29"/>
  <c r="J17" i="29"/>
  <c r="M115" i="21"/>
  <c r="M123" i="21"/>
  <c r="N123" i="21" s="1"/>
  <c r="O123" i="21" s="1"/>
  <c r="P123" i="21" s="1"/>
  <c r="Q123" i="21" s="1"/>
  <c r="R123" i="21" s="1"/>
  <c r="S123" i="21" s="1"/>
  <c r="M97" i="21"/>
  <c r="M114" i="21"/>
  <c r="M48" i="21"/>
  <c r="M27" i="21"/>
  <c r="M14" i="29"/>
  <c r="M40" i="21"/>
  <c r="M41" i="21" s="1"/>
  <c r="M17" i="29"/>
  <c r="M57" i="29"/>
  <c r="M157" i="29"/>
  <c r="L57" i="29"/>
  <c r="L157" i="29"/>
  <c r="M69" i="29"/>
  <c r="M205" i="29"/>
  <c r="N202" i="29" s="1"/>
  <c r="O161" i="29"/>
  <c r="N56" i="29"/>
  <c r="P219" i="29"/>
  <c r="P221" i="29" s="1"/>
  <c r="O63" i="29"/>
  <c r="O121" i="29"/>
  <c r="P224" i="29"/>
  <c r="P226" i="29" s="1"/>
  <c r="O65" i="29"/>
  <c r="N74" i="29"/>
  <c r="O173" i="29"/>
  <c r="P78" i="29"/>
  <c r="Q177" i="29"/>
  <c r="P53" i="29"/>
  <c r="Q158" i="29"/>
  <c r="P55" i="29"/>
  <c r="Q160" i="29"/>
  <c r="O99" i="29"/>
  <c r="O31" i="19" s="1"/>
  <c r="P250" i="29"/>
  <c r="P252" i="29" s="1"/>
  <c r="O97" i="29"/>
  <c r="O29" i="19" s="1"/>
  <c r="P240" i="29"/>
  <c r="P242" i="29" s="1"/>
  <c r="O98" i="29"/>
  <c r="O30" i="19" s="1"/>
  <c r="P245" i="29"/>
  <c r="P247" i="29" s="1"/>
  <c r="O59" i="29"/>
  <c r="P208" i="29"/>
  <c r="P210" i="29" s="1"/>
  <c r="I21" i="29"/>
  <c r="I41" i="29" s="1"/>
  <c r="I18" i="29"/>
  <c r="I15" i="24"/>
  <c r="I17" i="24" s="1"/>
  <c r="Q56" i="20" s="1"/>
  <c r="G17" i="24"/>
  <c r="Q231" i="29" l="1"/>
  <c r="Q128" i="29" s="1"/>
  <c r="Q458" i="29" s="1"/>
  <c r="R133" i="21"/>
  <c r="O95" i="29"/>
  <c r="O27" i="19" s="1"/>
  <c r="P230" i="29"/>
  <c r="P232" i="29" s="1"/>
  <c r="O407" i="29"/>
  <c r="N418" i="29"/>
  <c r="N357" i="29"/>
  <c r="O346" i="29"/>
  <c r="O440" i="29"/>
  <c r="P437" i="29" s="1"/>
  <c r="P448" i="29" s="1"/>
  <c r="O96" i="29"/>
  <c r="O28" i="19" s="1"/>
  <c r="P235" i="29"/>
  <c r="P237" i="29" s="1"/>
  <c r="N119" i="29"/>
  <c r="N216" i="29"/>
  <c r="N97" i="21"/>
  <c r="N115" i="21"/>
  <c r="N114" i="21"/>
  <c r="Q183" i="29"/>
  <c r="Q86" i="29" s="1"/>
  <c r="R124" i="21"/>
  <c r="S135" i="21"/>
  <c r="R241" i="29"/>
  <c r="R130" i="29" s="1"/>
  <c r="R460" i="29" s="1"/>
  <c r="O215" i="29"/>
  <c r="O119" i="29" s="1"/>
  <c r="P95" i="21"/>
  <c r="R126" i="21"/>
  <c r="S126" i="21" s="1"/>
  <c r="R94" i="21"/>
  <c r="R99" i="21"/>
  <c r="R113" i="21"/>
  <c r="S113" i="21" s="1"/>
  <c r="O86" i="21"/>
  <c r="P86" i="21" s="1"/>
  <c r="Q86" i="21" s="1"/>
  <c r="R86" i="21" s="1"/>
  <c r="N296" i="29"/>
  <c r="F10" i="17"/>
  <c r="N373" i="29"/>
  <c r="O422" i="29"/>
  <c r="O433" i="29" s="1"/>
  <c r="O377" i="29"/>
  <c r="O388" i="29" s="1"/>
  <c r="N388" i="29"/>
  <c r="N341" i="29"/>
  <c r="O395" i="29"/>
  <c r="P392" i="29" s="1"/>
  <c r="P403" i="29" s="1"/>
  <c r="N23" i="19"/>
  <c r="N133" i="29"/>
  <c r="N463" i="29" s="1"/>
  <c r="O257" i="29"/>
  <c r="O24" i="6"/>
  <c r="O28" i="6" s="1"/>
  <c r="O30" i="6" s="1"/>
  <c r="O37" i="6" s="1"/>
  <c r="P51" i="21"/>
  <c r="Q53" i="21"/>
  <c r="Q27" i="6"/>
  <c r="R7" i="6"/>
  <c r="R27" i="6" s="1"/>
  <c r="N289" i="29"/>
  <c r="N457" i="29"/>
  <c r="P294" i="29"/>
  <c r="O296" i="29"/>
  <c r="O365" i="29"/>
  <c r="O288" i="29"/>
  <c r="O126" i="29" s="1"/>
  <c r="O457" i="29" s="1"/>
  <c r="O287" i="29"/>
  <c r="P337" i="29"/>
  <c r="P332" i="29" s="1"/>
  <c r="P336" i="29"/>
  <c r="P331" i="29" s="1"/>
  <c r="P353" i="29"/>
  <c r="P348" i="29" s="1"/>
  <c r="P352" i="29"/>
  <c r="P347" i="29" s="1"/>
  <c r="P369" i="29"/>
  <c r="P364" i="29" s="1"/>
  <c r="P368" i="29"/>
  <c r="P363" i="29" s="1"/>
  <c r="P384" i="29"/>
  <c r="P379" i="29" s="1"/>
  <c r="P383" i="29"/>
  <c r="P378" i="29" s="1"/>
  <c r="P399" i="29"/>
  <c r="P394" i="29" s="1"/>
  <c r="P398" i="29"/>
  <c r="P393" i="29" s="1"/>
  <c r="P414" i="29"/>
  <c r="P409" i="29" s="1"/>
  <c r="P413" i="29"/>
  <c r="P408" i="29" s="1"/>
  <c r="P429" i="29"/>
  <c r="P424" i="29" s="1"/>
  <c r="P428" i="29"/>
  <c r="P423" i="29" s="1"/>
  <c r="P444" i="29"/>
  <c r="P439" i="29" s="1"/>
  <c r="P443" i="29"/>
  <c r="P438" i="29" s="1"/>
  <c r="P322" i="29"/>
  <c r="P317" i="29" s="1"/>
  <c r="P321" i="29"/>
  <c r="P316" i="29" s="1"/>
  <c r="Q283" i="29"/>
  <c r="R283" i="29"/>
  <c r="R322" i="29" s="1"/>
  <c r="R317" i="29" s="1"/>
  <c r="O333" i="29"/>
  <c r="P330" i="29" s="1"/>
  <c r="O341" i="29"/>
  <c r="O315" i="29"/>
  <c r="M70" i="29"/>
  <c r="M168" i="29"/>
  <c r="M191" i="29" s="1"/>
  <c r="M162" i="29"/>
  <c r="M193" i="29" s="1"/>
  <c r="M42" i="21"/>
  <c r="N42" i="21" s="1"/>
  <c r="L70" i="29"/>
  <c r="L104" i="29" s="1"/>
  <c r="L42" i="21"/>
  <c r="K42" i="21"/>
  <c r="L40" i="29"/>
  <c r="L39" i="29"/>
  <c r="L21" i="29"/>
  <c r="L18" i="29"/>
  <c r="K40" i="29"/>
  <c r="K39" i="29"/>
  <c r="K21" i="29"/>
  <c r="K18" i="29"/>
  <c r="J39" i="29"/>
  <c r="J40" i="29"/>
  <c r="J21" i="29"/>
  <c r="J18" i="29"/>
  <c r="N48" i="21"/>
  <c r="N149" i="29"/>
  <c r="M21" i="29"/>
  <c r="M40" i="29"/>
  <c r="M39" i="29"/>
  <c r="M18" i="29"/>
  <c r="P161" i="29"/>
  <c r="O56" i="29"/>
  <c r="P63" i="29"/>
  <c r="Q219" i="29"/>
  <c r="Q221" i="29" s="1"/>
  <c r="P121" i="29"/>
  <c r="P65" i="29"/>
  <c r="Q224" i="29"/>
  <c r="Q226" i="29" s="1"/>
  <c r="O74" i="29"/>
  <c r="P173" i="29"/>
  <c r="R177" i="29"/>
  <c r="R78" i="29" s="1"/>
  <c r="Q78" i="29"/>
  <c r="R158" i="29"/>
  <c r="R53" i="29" s="1"/>
  <c r="Q53" i="29"/>
  <c r="Q55" i="29"/>
  <c r="R160" i="29"/>
  <c r="R55" i="29" s="1"/>
  <c r="P99" i="29"/>
  <c r="P31" i="19" s="1"/>
  <c r="Q250" i="29"/>
  <c r="Q252" i="29" s="1"/>
  <c r="P97" i="29"/>
  <c r="P29" i="19" s="1"/>
  <c r="Q240" i="29"/>
  <c r="Q242" i="29" s="1"/>
  <c r="P98" i="29"/>
  <c r="P30" i="19" s="1"/>
  <c r="Q245" i="29"/>
  <c r="Q247" i="29" s="1"/>
  <c r="P59" i="29"/>
  <c r="Q208" i="29"/>
  <c r="Q210" i="29" s="1"/>
  <c r="I22" i="29"/>
  <c r="I28" i="29"/>
  <c r="Q230" i="29" l="1"/>
  <c r="Q232" i="29" s="1"/>
  <c r="P95" i="29"/>
  <c r="P27" i="19" s="1"/>
  <c r="R231" i="29"/>
  <c r="R128" i="29" s="1"/>
  <c r="R458" i="29" s="1"/>
  <c r="S133" i="21"/>
  <c r="O418" i="29"/>
  <c r="O410" i="29"/>
  <c r="P407" i="29" s="1"/>
  <c r="O357" i="29"/>
  <c r="O349" i="29"/>
  <c r="P346" i="29" s="1"/>
  <c r="O115" i="21"/>
  <c r="P115" i="21" s="1"/>
  <c r="Q115" i="21" s="1"/>
  <c r="R115" i="21" s="1"/>
  <c r="S115" i="21" s="1"/>
  <c r="O214" i="29"/>
  <c r="O216" i="29" s="1"/>
  <c r="N62" i="29"/>
  <c r="O114" i="21"/>
  <c r="P114" i="21" s="1"/>
  <c r="Q114" i="21" s="1"/>
  <c r="R114" i="21" s="1"/>
  <c r="S114" i="21" s="1"/>
  <c r="P96" i="29"/>
  <c r="P28" i="19" s="1"/>
  <c r="Q235" i="29"/>
  <c r="Q237" i="29" s="1"/>
  <c r="O97" i="21"/>
  <c r="P97" i="21" s="1"/>
  <c r="Q97" i="21" s="1"/>
  <c r="R97" i="21" s="1"/>
  <c r="R183" i="29"/>
  <c r="R86" i="29" s="1"/>
  <c r="S124" i="21"/>
  <c r="Q95" i="21"/>
  <c r="P215" i="29"/>
  <c r="P119" i="29" s="1"/>
  <c r="N291" i="29"/>
  <c r="N305" i="29" s="1"/>
  <c r="N308" i="29" s="1"/>
  <c r="O380" i="29"/>
  <c r="P377" i="29" s="1"/>
  <c r="O425" i="29"/>
  <c r="P422" i="29" s="1"/>
  <c r="O23" i="19"/>
  <c r="O133" i="29"/>
  <c r="O463" i="29" s="1"/>
  <c r="P24" i="6"/>
  <c r="P28" i="6" s="1"/>
  <c r="P30" i="6" s="1"/>
  <c r="P37" i="6" s="1"/>
  <c r="P257" i="29"/>
  <c r="Q51" i="21"/>
  <c r="R53" i="21"/>
  <c r="R51" i="21" s="1"/>
  <c r="O286" i="29"/>
  <c r="O289" i="29" s="1"/>
  <c r="N303" i="29"/>
  <c r="N83" i="29" s="1"/>
  <c r="P288" i="29"/>
  <c r="P126" i="29" s="1"/>
  <c r="P457" i="29" s="1"/>
  <c r="O125" i="29"/>
  <c r="P287" i="29"/>
  <c r="P125" i="29" s="1"/>
  <c r="P296" i="29"/>
  <c r="Q294" i="29"/>
  <c r="P440" i="29"/>
  <c r="Q437" i="29" s="1"/>
  <c r="Q448" i="29" s="1"/>
  <c r="P362" i="29"/>
  <c r="P395" i="29"/>
  <c r="Q392" i="29" s="1"/>
  <c r="Q403" i="29" s="1"/>
  <c r="Q322" i="29"/>
  <c r="Q317" i="29" s="1"/>
  <c r="Q337" i="29"/>
  <c r="Q332" i="29" s="1"/>
  <c r="Q336" i="29"/>
  <c r="Q331" i="29" s="1"/>
  <c r="Q353" i="29"/>
  <c r="Q348" i="29" s="1"/>
  <c r="Q352" i="29"/>
  <c r="Q347" i="29" s="1"/>
  <c r="Q369" i="29"/>
  <c r="Q364" i="29" s="1"/>
  <c r="Q368" i="29"/>
  <c r="Q363" i="29" s="1"/>
  <c r="Q384" i="29"/>
  <c r="Q379" i="29" s="1"/>
  <c r="Q383" i="29"/>
  <c r="Q378" i="29" s="1"/>
  <c r="Q399" i="29"/>
  <c r="Q394" i="29" s="1"/>
  <c r="Q398" i="29"/>
  <c r="Q393" i="29" s="1"/>
  <c r="Q414" i="29"/>
  <c r="Q409" i="29" s="1"/>
  <c r="Q413" i="29"/>
  <c r="Q408" i="29" s="1"/>
  <c r="Q429" i="29"/>
  <c r="Q424" i="29" s="1"/>
  <c r="Q428" i="29"/>
  <c r="Q423" i="29" s="1"/>
  <c r="Q444" i="29"/>
  <c r="Q439" i="29" s="1"/>
  <c r="Q443" i="29"/>
  <c r="Q438" i="29" s="1"/>
  <c r="Q321" i="29"/>
  <c r="Q316" i="29" s="1"/>
  <c r="R337" i="29"/>
  <c r="R332" i="29" s="1"/>
  <c r="R336" i="29"/>
  <c r="R331" i="29" s="1"/>
  <c r="R353" i="29"/>
  <c r="R348" i="29" s="1"/>
  <c r="R352" i="29"/>
  <c r="R347" i="29" s="1"/>
  <c r="R369" i="29"/>
  <c r="R364" i="29" s="1"/>
  <c r="R368" i="29"/>
  <c r="R363" i="29" s="1"/>
  <c r="R384" i="29"/>
  <c r="R379" i="29" s="1"/>
  <c r="R383" i="29"/>
  <c r="R378" i="29" s="1"/>
  <c r="R399" i="29"/>
  <c r="R394" i="29" s="1"/>
  <c r="R398" i="29"/>
  <c r="R393" i="29" s="1"/>
  <c r="R414" i="29"/>
  <c r="R409" i="29" s="1"/>
  <c r="R413" i="29"/>
  <c r="R408" i="29" s="1"/>
  <c r="R429" i="29"/>
  <c r="R424" i="29" s="1"/>
  <c r="R428" i="29"/>
  <c r="R423" i="29" s="1"/>
  <c r="R444" i="29"/>
  <c r="R439" i="29" s="1"/>
  <c r="R443" i="29"/>
  <c r="R438" i="29" s="1"/>
  <c r="R321" i="29"/>
  <c r="R316" i="29" s="1"/>
  <c r="P341" i="29"/>
  <c r="P333" i="29"/>
  <c r="Q330" i="29" s="1"/>
  <c r="O326" i="29"/>
  <c r="O318" i="29"/>
  <c r="P315" i="29" s="1"/>
  <c r="M104" i="29"/>
  <c r="F13" i="6"/>
  <c r="N41" i="21"/>
  <c r="N38" i="21" s="1"/>
  <c r="N12" i="29" s="1"/>
  <c r="O42" i="21"/>
  <c r="P42" i="21" s="1"/>
  <c r="Q42" i="21" s="1"/>
  <c r="R42" i="21" s="1"/>
  <c r="L42" i="29"/>
  <c r="L41" i="29"/>
  <c r="L22" i="29"/>
  <c r="L28" i="29"/>
  <c r="K42" i="29"/>
  <c r="K41" i="29"/>
  <c r="K22" i="29"/>
  <c r="K28" i="29"/>
  <c r="J42" i="29"/>
  <c r="J41" i="29"/>
  <c r="J22" i="29"/>
  <c r="J28" i="29"/>
  <c r="J36" i="29" s="1"/>
  <c r="N47" i="21"/>
  <c r="N16" i="29" s="1"/>
  <c r="N151" i="29" s="1"/>
  <c r="O48" i="21"/>
  <c r="M42" i="29"/>
  <c r="M41" i="29"/>
  <c r="M22" i="29"/>
  <c r="M28" i="29"/>
  <c r="N182" i="29"/>
  <c r="N85" i="29" s="1"/>
  <c r="N165" i="29"/>
  <c r="N64" i="29" s="1"/>
  <c r="N175" i="29"/>
  <c r="N76" i="29" s="1"/>
  <c r="N176" i="29"/>
  <c r="N77" i="29" s="1"/>
  <c r="N157" i="29"/>
  <c r="N52" i="29" s="1"/>
  <c r="O149" i="29"/>
  <c r="Q161" i="29"/>
  <c r="P56" i="29"/>
  <c r="Q63" i="29"/>
  <c r="R219" i="29"/>
  <c r="R221" i="29" s="1"/>
  <c r="R63" i="29" s="1"/>
  <c r="Q121" i="29"/>
  <c r="Q65" i="29"/>
  <c r="R224" i="29"/>
  <c r="R226" i="29" s="1"/>
  <c r="I36" i="29"/>
  <c r="P74" i="29"/>
  <c r="Q173" i="29"/>
  <c r="Q99" i="29"/>
  <c r="Q31" i="19" s="1"/>
  <c r="R250" i="29"/>
  <c r="R252" i="29" s="1"/>
  <c r="R99" i="29" s="1"/>
  <c r="R31" i="19" s="1"/>
  <c r="Q97" i="29"/>
  <c r="Q29" i="19" s="1"/>
  <c r="R240" i="29"/>
  <c r="R242" i="29" s="1"/>
  <c r="R97" i="29" s="1"/>
  <c r="R29" i="19" s="1"/>
  <c r="Q98" i="29"/>
  <c r="Q30" i="19" s="1"/>
  <c r="R245" i="29"/>
  <c r="R247" i="29" s="1"/>
  <c r="R98" i="29" s="1"/>
  <c r="R30" i="19" s="1"/>
  <c r="Q59" i="29"/>
  <c r="R208" i="29"/>
  <c r="R210" i="29" s="1"/>
  <c r="R59" i="29" s="1"/>
  <c r="Q95" i="29" l="1"/>
  <c r="Q27" i="19" s="1"/>
  <c r="R230" i="29"/>
  <c r="R232" i="29"/>
  <c r="R95" i="29" s="1"/>
  <c r="R27" i="19" s="1"/>
  <c r="P418" i="29"/>
  <c r="P410" i="29"/>
  <c r="Q407" i="29" s="1"/>
  <c r="O291" i="29"/>
  <c r="O305" i="29" s="1"/>
  <c r="O308" i="29" s="1"/>
  <c r="P357" i="29"/>
  <c r="P349" i="29"/>
  <c r="Q346" i="29" s="1"/>
  <c r="P388" i="29"/>
  <c r="P380" i="29"/>
  <c r="Q377" i="29" s="1"/>
  <c r="Q96" i="29"/>
  <c r="Q28" i="19" s="1"/>
  <c r="R235" i="29"/>
  <c r="R237" i="29" s="1"/>
  <c r="R96" i="29" s="1"/>
  <c r="R28" i="19" s="1"/>
  <c r="R95" i="21"/>
  <c r="R215" i="29" s="1"/>
  <c r="R119" i="29" s="1"/>
  <c r="Q215" i="29"/>
  <c r="Q119" i="29" s="1"/>
  <c r="O62" i="29"/>
  <c r="P214" i="29"/>
  <c r="P216" i="29" s="1"/>
  <c r="P433" i="29"/>
  <c r="P425" i="29"/>
  <c r="Q422" i="29" s="1"/>
  <c r="O303" i="29"/>
  <c r="O83" i="29" s="1"/>
  <c r="P286" i="29"/>
  <c r="P289" i="29" s="1"/>
  <c r="R24" i="6"/>
  <c r="R257" i="29"/>
  <c r="R23" i="19" s="1"/>
  <c r="P23" i="19"/>
  <c r="P133" i="29"/>
  <c r="P463" i="29" s="1"/>
  <c r="Q257" i="29"/>
  <c r="Q24" i="6"/>
  <c r="Q28" i="6" s="1"/>
  <c r="Q30" i="6" s="1"/>
  <c r="Q37" i="6" s="1"/>
  <c r="Q395" i="29"/>
  <c r="R392" i="29" s="1"/>
  <c r="R403" i="29" s="1"/>
  <c r="O456" i="29"/>
  <c r="P456" i="29"/>
  <c r="Q440" i="29"/>
  <c r="R437" i="29" s="1"/>
  <c r="Q296" i="29"/>
  <c r="R294" i="29"/>
  <c r="P365" i="29"/>
  <c r="P373" i="29"/>
  <c r="Q287" i="29"/>
  <c r="Q125" i="29" s="1"/>
  <c r="Q456" i="29" s="1"/>
  <c r="R287" i="29"/>
  <c r="R125" i="29" s="1"/>
  <c r="R456" i="29" s="1"/>
  <c r="Q288" i="29"/>
  <c r="Q126" i="29" s="1"/>
  <c r="Q457" i="29" s="1"/>
  <c r="R288" i="29"/>
  <c r="R126" i="29" s="1"/>
  <c r="R457" i="29" s="1"/>
  <c r="Q341" i="29"/>
  <c r="Q333" i="29"/>
  <c r="R330" i="29" s="1"/>
  <c r="P318" i="29"/>
  <c r="Q315" i="29" s="1"/>
  <c r="P326" i="29"/>
  <c r="O41" i="21"/>
  <c r="N167" i="29"/>
  <c r="N67" i="29" s="1"/>
  <c r="N185" i="29"/>
  <c r="N87" i="29" s="1"/>
  <c r="P48" i="21"/>
  <c r="O47" i="21"/>
  <c r="O16" i="29" s="1"/>
  <c r="O151" i="29" s="1"/>
  <c r="L70" i="21"/>
  <c r="L75" i="21" s="1"/>
  <c r="L76" i="21" s="1"/>
  <c r="L77" i="21" s="1"/>
  <c r="L117" i="21"/>
  <c r="L128" i="21"/>
  <c r="L36" i="29"/>
  <c r="L118" i="21"/>
  <c r="K36" i="29"/>
  <c r="K70" i="21"/>
  <c r="K75" i="21" s="1"/>
  <c r="K76" i="21" s="1"/>
  <c r="K77" i="21" s="1"/>
  <c r="M70" i="21"/>
  <c r="M75" i="21" s="1"/>
  <c r="M76" i="21" s="1"/>
  <c r="M77" i="21" s="1"/>
  <c r="M118" i="21"/>
  <c r="N118" i="21" s="1"/>
  <c r="O118" i="21" s="1"/>
  <c r="P118" i="21" s="1"/>
  <c r="Q118" i="21" s="1"/>
  <c r="R118" i="21" s="1"/>
  <c r="S118" i="21" s="1"/>
  <c r="M128" i="21"/>
  <c r="M36" i="29"/>
  <c r="M117" i="21"/>
  <c r="N117" i="21" s="1"/>
  <c r="O117" i="21" s="1"/>
  <c r="P117" i="21" s="1"/>
  <c r="Q117" i="21" s="1"/>
  <c r="R117" i="21" s="1"/>
  <c r="S117" i="21" s="1"/>
  <c r="P149" i="29"/>
  <c r="O182" i="29"/>
  <c r="O85" i="29" s="1"/>
  <c r="O165" i="29"/>
  <c r="O64" i="29" s="1"/>
  <c r="O157" i="29"/>
  <c r="O52" i="29" s="1"/>
  <c r="O175" i="29"/>
  <c r="O76" i="29" s="1"/>
  <c r="O176" i="29"/>
  <c r="O77" i="29" s="1"/>
  <c r="R161" i="29"/>
  <c r="R56" i="29" s="1"/>
  <c r="Q56" i="29"/>
  <c r="R65" i="29"/>
  <c r="R121" i="29"/>
  <c r="J52" i="21"/>
  <c r="J25" i="6" s="1"/>
  <c r="J43" i="29"/>
  <c r="I52" i="21"/>
  <c r="I25" i="6" s="1"/>
  <c r="I43" i="29"/>
  <c r="J44" i="29"/>
  <c r="N13" i="29"/>
  <c r="N150" i="29"/>
  <c r="Q74" i="29"/>
  <c r="R173" i="29"/>
  <c r="Q418" i="29" l="1"/>
  <c r="Q410" i="29"/>
  <c r="R407" i="29" s="1"/>
  <c r="Q357" i="29"/>
  <c r="Q349" i="29"/>
  <c r="R346" i="29" s="1"/>
  <c r="Q388" i="29"/>
  <c r="Q380" i="29"/>
  <c r="R377" i="29" s="1"/>
  <c r="P62" i="29"/>
  <c r="Q214" i="29"/>
  <c r="Q216" i="29" s="1"/>
  <c r="Q433" i="29"/>
  <c r="Q425" i="29"/>
  <c r="R422" i="29" s="1"/>
  <c r="N128" i="21"/>
  <c r="O128" i="21" s="1"/>
  <c r="P128" i="21" s="1"/>
  <c r="R440" i="29"/>
  <c r="R448" i="29"/>
  <c r="R133" i="29"/>
  <c r="R463" i="29" s="1"/>
  <c r="R395" i="29"/>
  <c r="R28" i="6"/>
  <c r="Q133" i="29"/>
  <c r="Q463" i="29" s="1"/>
  <c r="Q23" i="19"/>
  <c r="Q286" i="29"/>
  <c r="Q289" i="29" s="1"/>
  <c r="P303" i="29"/>
  <c r="P83" i="29" s="1"/>
  <c r="P291" i="29"/>
  <c r="P305" i="29" s="1"/>
  <c r="P308" i="29" s="1"/>
  <c r="R296" i="29"/>
  <c r="Q362" i="29"/>
  <c r="R341" i="29"/>
  <c r="R333" i="29"/>
  <c r="Q318" i="29"/>
  <c r="R315" i="29" s="1"/>
  <c r="Q326" i="29"/>
  <c r="R74" i="29"/>
  <c r="O38" i="21"/>
  <c r="O12" i="29" s="1"/>
  <c r="P41" i="21"/>
  <c r="O167" i="29"/>
  <c r="O67" i="29" s="1"/>
  <c r="O185" i="29"/>
  <c r="O87" i="29" s="1"/>
  <c r="Q48" i="21"/>
  <c r="P47" i="21"/>
  <c r="P16" i="29" s="1"/>
  <c r="P151" i="29" s="1"/>
  <c r="L43" i="29"/>
  <c r="L44" i="29"/>
  <c r="L52" i="21"/>
  <c r="L25" i="6" s="1"/>
  <c r="C101" i="28"/>
  <c r="K43" i="29"/>
  <c r="K44" i="29"/>
  <c r="D101" i="28"/>
  <c r="K52" i="21"/>
  <c r="K25" i="6" s="1"/>
  <c r="M10" i="19"/>
  <c r="M12" i="19" s="1"/>
  <c r="M37" i="19" s="1"/>
  <c r="M43" i="29"/>
  <c r="M44" i="29"/>
  <c r="F11" i="6"/>
  <c r="F14" i="6" s="1"/>
  <c r="M14" i="18" s="1"/>
  <c r="B101" i="28"/>
  <c r="M52" i="21"/>
  <c r="P182" i="29"/>
  <c r="P85" i="29" s="1"/>
  <c r="P165" i="29"/>
  <c r="P64" i="29" s="1"/>
  <c r="P175" i="29"/>
  <c r="P76" i="29" s="1"/>
  <c r="P176" i="29"/>
  <c r="P77" i="29" s="1"/>
  <c r="P157" i="29"/>
  <c r="P52" i="29" s="1"/>
  <c r="Q149" i="29"/>
  <c r="N17" i="29"/>
  <c r="N14" i="29"/>
  <c r="N159" i="29"/>
  <c r="N54" i="29" s="1"/>
  <c r="N186" i="29"/>
  <c r="N88" i="29" s="1"/>
  <c r="N166" i="29"/>
  <c r="N66" i="29" s="1"/>
  <c r="N164" i="29"/>
  <c r="N61" i="29" s="1"/>
  <c r="N174" i="29"/>
  <c r="N156" i="29"/>
  <c r="R418" i="29" l="1"/>
  <c r="R410" i="29"/>
  <c r="M23" i="18"/>
  <c r="M26" i="18"/>
  <c r="D31" i="18" s="1" a="1"/>
  <c r="R388" i="29"/>
  <c r="R380" i="29"/>
  <c r="Q62" i="29"/>
  <c r="R214" i="29"/>
  <c r="R216" i="29" s="1"/>
  <c r="R62" i="29" s="1"/>
  <c r="R425" i="29"/>
  <c r="R433" i="29"/>
  <c r="Q128" i="21"/>
  <c r="R128" i="21" s="1"/>
  <c r="S128" i="21" s="1"/>
  <c r="R286" i="29"/>
  <c r="R289" i="29" s="1"/>
  <c r="R303" i="29" s="1"/>
  <c r="R83" i="29" s="1"/>
  <c r="Q303" i="29"/>
  <c r="Q83" i="29" s="1"/>
  <c r="Q373" i="29"/>
  <c r="Q291" i="29" s="1"/>
  <c r="Q305" i="29" s="1"/>
  <c r="Q308" i="29" s="1"/>
  <c r="Q365" i="29"/>
  <c r="R357" i="29"/>
  <c r="R349" i="29"/>
  <c r="R326" i="29"/>
  <c r="R318" i="29"/>
  <c r="N168" i="29"/>
  <c r="N162" i="29"/>
  <c r="N75" i="29"/>
  <c r="O13" i="29"/>
  <c r="O150" i="29"/>
  <c r="Q41" i="21"/>
  <c r="P38" i="21"/>
  <c r="P12" i="29" s="1"/>
  <c r="R48" i="21"/>
  <c r="R47" i="21" s="1"/>
  <c r="R16" i="29" s="1"/>
  <c r="R151" i="29" s="1"/>
  <c r="Q47" i="21"/>
  <c r="Q16" i="29" s="1"/>
  <c r="Q151" i="29" s="1"/>
  <c r="P185" i="29"/>
  <c r="P87" i="29" s="1"/>
  <c r="P167" i="29"/>
  <c r="P67" i="29" s="1"/>
  <c r="M25" i="6"/>
  <c r="F15" i="6"/>
  <c r="F16" i="6" s="1"/>
  <c r="F17" i="6" s="1"/>
  <c r="Q58" i="20" s="1"/>
  <c r="Q165" i="29"/>
  <c r="Q64" i="29" s="1"/>
  <c r="Q182" i="29"/>
  <c r="Q85" i="29" s="1"/>
  <c r="Q157" i="29"/>
  <c r="Q52" i="29" s="1"/>
  <c r="Q175" i="29"/>
  <c r="Q76" i="29" s="1"/>
  <c r="Q176" i="29"/>
  <c r="Q77" i="29" s="1"/>
  <c r="R149" i="29"/>
  <c r="N40" i="29"/>
  <c r="N39" i="29"/>
  <c r="N18" i="29"/>
  <c r="N51" i="29"/>
  <c r="F22" i="6" l="1"/>
  <c r="S24" i="6" s="1"/>
  <c r="R29" i="6" s="1"/>
  <c r="R30" i="6" s="1"/>
  <c r="R37" i="6" s="1"/>
  <c r="F40" i="6" s="1"/>
  <c r="F43" i="6" s="1"/>
  <c r="F70" i="20" s="1"/>
  <c r="F14" i="19"/>
  <c r="R362" i="29"/>
  <c r="O14" i="29"/>
  <c r="O17" i="29"/>
  <c r="O164" i="29"/>
  <c r="O61" i="29" s="1"/>
  <c r="O186" i="29"/>
  <c r="O88" i="29" s="1"/>
  <c r="O166" i="29"/>
  <c r="O174" i="29"/>
  <c r="O156" i="29"/>
  <c r="O159" i="29"/>
  <c r="O54" i="29" s="1"/>
  <c r="R41" i="21"/>
  <c r="R38" i="21" s="1"/>
  <c r="R12" i="29" s="1"/>
  <c r="Q38" i="21"/>
  <c r="Q12" i="29" s="1"/>
  <c r="P150" i="29"/>
  <c r="P156" i="29" s="1"/>
  <c r="P13" i="29"/>
  <c r="Q167" i="29"/>
  <c r="Q67" i="29" s="1"/>
  <c r="Q185" i="29"/>
  <c r="Q87" i="29" s="1"/>
  <c r="R182" i="29"/>
  <c r="R85" i="29" s="1"/>
  <c r="R165" i="29"/>
  <c r="R64" i="29" s="1"/>
  <c r="R157" i="29"/>
  <c r="R52" i="29" s="1"/>
  <c r="R176" i="29"/>
  <c r="R77" i="29" s="1"/>
  <c r="R175" i="29"/>
  <c r="R76" i="29" s="1"/>
  <c r="R185" i="29"/>
  <c r="R87" i="29" s="1"/>
  <c r="R167" i="29"/>
  <c r="R67" i="29" s="1"/>
  <c r="F45" i="6" l="1"/>
  <c r="F56" i="20"/>
  <c r="R373" i="29"/>
  <c r="R291" i="29" s="1"/>
  <c r="R305" i="29" s="1"/>
  <c r="R308" i="29" s="1"/>
  <c r="R365" i="29"/>
  <c r="O162" i="29"/>
  <c r="O75" i="29"/>
  <c r="O51" i="29"/>
  <c r="O168" i="29"/>
  <c r="O18" i="29"/>
  <c r="P14" i="29"/>
  <c r="P17" i="29"/>
  <c r="R150" i="29"/>
  <c r="R13" i="29"/>
  <c r="Q150" i="29"/>
  <c r="Q13" i="29"/>
  <c r="O66" i="29"/>
  <c r="P159" i="29"/>
  <c r="P162" i="29" s="1"/>
  <c r="P166" i="29"/>
  <c r="P66" i="29" s="1"/>
  <c r="P186" i="29"/>
  <c r="P88" i="29" s="1"/>
  <c r="P164" i="29"/>
  <c r="P61" i="29" s="1"/>
  <c r="P174" i="29"/>
  <c r="O40" i="29"/>
  <c r="O39" i="29"/>
  <c r="P51" i="29"/>
  <c r="P75" i="29" l="1"/>
  <c r="P168" i="29"/>
  <c r="P40" i="29"/>
  <c r="P39" i="29"/>
  <c r="P18" i="29"/>
  <c r="R159" i="29"/>
  <c r="R54" i="29" s="1"/>
  <c r="R186" i="29"/>
  <c r="R88" i="29" s="1"/>
  <c r="R166" i="29"/>
  <c r="R66" i="29" s="1"/>
  <c r="R164" i="29"/>
  <c r="R61" i="29" s="1"/>
  <c r="R156" i="29"/>
  <c r="R174" i="29"/>
  <c r="R14" i="29"/>
  <c r="R17" i="29"/>
  <c r="R18" i="29" s="1"/>
  <c r="Q159" i="29"/>
  <c r="Q54" i="29" s="1"/>
  <c r="Q186" i="29"/>
  <c r="Q88" i="29" s="1"/>
  <c r="Q166" i="29"/>
  <c r="Q66" i="29" s="1"/>
  <c r="Q164" i="29"/>
  <c r="Q61" i="29" s="1"/>
  <c r="Q156" i="29"/>
  <c r="Q174" i="29"/>
  <c r="Q14" i="29"/>
  <c r="Q17" i="29"/>
  <c r="P54" i="29"/>
  <c r="R162" i="29" l="1"/>
  <c r="Q162" i="29"/>
  <c r="R168" i="29"/>
  <c r="Q168" i="29"/>
  <c r="R75" i="29"/>
  <c r="Q75" i="29"/>
  <c r="R40" i="29"/>
  <c r="R39" i="29"/>
  <c r="Q40" i="29"/>
  <c r="Q39" i="29"/>
  <c r="R51" i="29"/>
  <c r="Q51" i="29"/>
  <c r="Q18" i="29"/>
  <c r="R203" i="29"/>
  <c r="R118" i="29" s="1"/>
  <c r="R122" i="29" s="1"/>
  <c r="N105" i="21"/>
  <c r="N104" i="21" s="1"/>
  <c r="R106" i="21"/>
  <c r="R204" i="29" l="1"/>
  <c r="R20" i="29"/>
  <c r="N106" i="21"/>
  <c r="N203" i="29"/>
  <c r="O104" i="21"/>
  <c r="R455" i="29"/>
  <c r="R21" i="17"/>
  <c r="S21" i="17" s="1"/>
  <c r="R111" i="29" l="1"/>
  <c r="R19" i="17" s="1"/>
  <c r="S19" i="17" s="1"/>
  <c r="R21" i="29"/>
  <c r="N118" i="29"/>
  <c r="N122" i="29" s="1"/>
  <c r="O203" i="29"/>
  <c r="O118" i="29" s="1"/>
  <c r="O122" i="29" s="1"/>
  <c r="O106" i="21"/>
  <c r="P104" i="21"/>
  <c r="N20" i="29"/>
  <c r="N204" i="29"/>
  <c r="N205" i="29" s="1"/>
  <c r="R22" i="29" l="1"/>
  <c r="R15" i="17"/>
  <c r="R41" i="29"/>
  <c r="N60" i="29"/>
  <c r="O202" i="29"/>
  <c r="O21" i="17"/>
  <c r="O455" i="29"/>
  <c r="N455" i="29"/>
  <c r="N21" i="17"/>
  <c r="N21" i="29"/>
  <c r="N111" i="29"/>
  <c r="N19" i="17" s="1"/>
  <c r="P203" i="29"/>
  <c r="P118" i="29" s="1"/>
  <c r="P122" i="29" s="1"/>
  <c r="P106" i="21"/>
  <c r="Q104" i="21"/>
  <c r="O20" i="29"/>
  <c r="O204" i="29"/>
  <c r="R16" i="17" l="1"/>
  <c r="S15" i="17"/>
  <c r="P20" i="29"/>
  <c r="P204" i="29"/>
  <c r="O21" i="29"/>
  <c r="O111" i="29"/>
  <c r="O19" i="17" s="1"/>
  <c r="Q203" i="29"/>
  <c r="Q118" i="29" s="1"/>
  <c r="Q122" i="29" s="1"/>
  <c r="Q106" i="21"/>
  <c r="N15" i="17"/>
  <c r="N41" i="29"/>
  <c r="N22" i="29"/>
  <c r="N42" i="29"/>
  <c r="O205" i="29"/>
  <c r="P21" i="17"/>
  <c r="P455" i="29"/>
  <c r="S16" i="17" l="1"/>
  <c r="R18" i="17"/>
  <c r="S18" i="17" s="1"/>
  <c r="Q455" i="29"/>
  <c r="Q21" i="17"/>
  <c r="O60" i="29"/>
  <c r="P202" i="29"/>
  <c r="P205" i="29" s="1"/>
  <c r="Q204" i="29"/>
  <c r="Q20" i="29"/>
  <c r="O42" i="29"/>
  <c r="O15" i="17"/>
  <c r="O41" i="29"/>
  <c r="O22" i="29"/>
  <c r="N16" i="17"/>
  <c r="N18" i="17" s="1"/>
  <c r="P111" i="29"/>
  <c r="P19" i="17" s="1"/>
  <c r="P21" i="29"/>
  <c r="Q111" i="29" l="1"/>
  <c r="Q19" i="17" s="1"/>
  <c r="Q21" i="29"/>
  <c r="O16" i="17"/>
  <c r="O18" i="17" s="1"/>
  <c r="P60" i="29"/>
  <c r="Q202" i="29"/>
  <c r="Q205" i="29" s="1"/>
  <c r="P42" i="29"/>
  <c r="P15" i="17"/>
  <c r="P41" i="29"/>
  <c r="P22" i="29"/>
  <c r="Q60" i="29" l="1"/>
  <c r="R202" i="29"/>
  <c r="R205" i="29" s="1"/>
  <c r="R60" i="29" s="1"/>
  <c r="P16" i="17"/>
  <c r="P18" i="17" s="1"/>
  <c r="Q22" i="29"/>
  <c r="Q42" i="29"/>
  <c r="Q15" i="17"/>
  <c r="Q41" i="29"/>
  <c r="R42" i="29"/>
  <c r="Q16" i="17" l="1"/>
  <c r="Q18" i="17" s="1"/>
  <c r="C5" i="29" l="1"/>
  <c r="N24" i="29"/>
  <c r="O24" i="29"/>
  <c r="P24" i="29"/>
  <c r="Q24" i="29"/>
  <c r="R24" i="29"/>
  <c r="N25" i="29"/>
  <c r="O25" i="29"/>
  <c r="P25" i="29"/>
  <c r="Q25" i="29"/>
  <c r="R25" i="29"/>
  <c r="N26" i="29"/>
  <c r="O26" i="29"/>
  <c r="P26" i="29"/>
  <c r="Q26" i="29"/>
  <c r="R26" i="29"/>
  <c r="N28" i="29"/>
  <c r="O28" i="29"/>
  <c r="P28" i="29"/>
  <c r="Q28" i="29"/>
  <c r="R28" i="29"/>
  <c r="N30" i="29"/>
  <c r="O30" i="29"/>
  <c r="P30" i="29"/>
  <c r="Q30" i="29"/>
  <c r="R30" i="29"/>
  <c r="N31" i="29"/>
  <c r="O31" i="29"/>
  <c r="P31" i="29"/>
  <c r="Q31" i="29"/>
  <c r="R31" i="29"/>
  <c r="N32" i="29"/>
  <c r="O32" i="29"/>
  <c r="P32" i="29"/>
  <c r="Q32" i="29"/>
  <c r="R32" i="29"/>
  <c r="N36" i="29"/>
  <c r="O36" i="29"/>
  <c r="P36" i="29"/>
  <c r="Q36" i="29"/>
  <c r="R36" i="29"/>
  <c r="N43" i="29"/>
  <c r="O43" i="29"/>
  <c r="P43" i="29"/>
  <c r="Q43" i="29"/>
  <c r="R43" i="29"/>
  <c r="N44" i="29"/>
  <c r="O44" i="29"/>
  <c r="P44" i="29"/>
  <c r="Q44" i="29"/>
  <c r="R44" i="29"/>
  <c r="N50" i="29"/>
  <c r="O50" i="29"/>
  <c r="P50" i="29"/>
  <c r="Q50" i="29"/>
  <c r="R50" i="29"/>
  <c r="N57" i="29"/>
  <c r="O57" i="29"/>
  <c r="P57" i="29"/>
  <c r="Q57" i="29"/>
  <c r="R57" i="29"/>
  <c r="N68" i="29"/>
  <c r="O68" i="29"/>
  <c r="P68" i="29"/>
  <c r="Q68" i="29"/>
  <c r="R68" i="29"/>
  <c r="N69" i="29"/>
  <c r="O69" i="29"/>
  <c r="P69" i="29"/>
  <c r="Q69" i="29"/>
  <c r="R69" i="29"/>
  <c r="N70" i="29"/>
  <c r="O70" i="29"/>
  <c r="P70" i="29"/>
  <c r="Q70" i="29"/>
  <c r="R70" i="29"/>
  <c r="N73" i="29"/>
  <c r="O73" i="29"/>
  <c r="P73" i="29"/>
  <c r="Q73" i="29"/>
  <c r="R73" i="29"/>
  <c r="N79" i="29"/>
  <c r="O79" i="29"/>
  <c r="P79" i="29"/>
  <c r="Q79" i="29"/>
  <c r="R79" i="29"/>
  <c r="N80" i="29"/>
  <c r="O80" i="29"/>
  <c r="P80" i="29"/>
  <c r="Q80" i="29"/>
  <c r="R80" i="29"/>
  <c r="N81" i="29"/>
  <c r="O81" i="29"/>
  <c r="P81" i="29"/>
  <c r="Q81" i="29"/>
  <c r="R81" i="29"/>
  <c r="N89" i="29"/>
  <c r="O89" i="29"/>
  <c r="P89" i="29"/>
  <c r="Q89" i="29"/>
  <c r="R89" i="29"/>
  <c r="N90" i="29"/>
  <c r="O90" i="29"/>
  <c r="P90" i="29"/>
  <c r="Q90" i="29"/>
  <c r="R90" i="29"/>
  <c r="N91" i="29"/>
  <c r="O91" i="29"/>
  <c r="P91" i="29"/>
  <c r="Q91" i="29"/>
  <c r="R91" i="29"/>
  <c r="N92" i="29"/>
  <c r="O92" i="29"/>
  <c r="P92" i="29"/>
  <c r="Q92" i="29"/>
  <c r="R92" i="29"/>
  <c r="N100" i="29"/>
  <c r="O100" i="29"/>
  <c r="P100" i="29"/>
  <c r="Q100" i="29"/>
  <c r="R100" i="29"/>
  <c r="N101" i="29"/>
  <c r="O101" i="29"/>
  <c r="P101" i="29"/>
  <c r="Q101" i="29"/>
  <c r="R101" i="29"/>
  <c r="N102" i="29"/>
  <c r="O102" i="29"/>
  <c r="P102" i="29"/>
  <c r="Q102" i="29"/>
  <c r="R102" i="29"/>
  <c r="F104" i="29"/>
  <c r="N104" i="29"/>
  <c r="O104" i="29"/>
  <c r="P104" i="29"/>
  <c r="Q104" i="29"/>
  <c r="R104" i="29"/>
  <c r="N110" i="29"/>
  <c r="O110" i="29"/>
  <c r="P110" i="29"/>
  <c r="Q110" i="29"/>
  <c r="R110" i="29"/>
  <c r="N112" i="29"/>
  <c r="O112" i="29"/>
  <c r="P112" i="29"/>
  <c r="Q112" i="29"/>
  <c r="R112" i="29"/>
  <c r="N114" i="29"/>
  <c r="O114" i="29"/>
  <c r="P114" i="29"/>
  <c r="Q114" i="29"/>
  <c r="R114" i="29"/>
  <c r="N115" i="29"/>
  <c r="O115" i="29"/>
  <c r="P115" i="29"/>
  <c r="Q115" i="29"/>
  <c r="R115" i="29"/>
  <c r="N127" i="29"/>
  <c r="O127" i="29"/>
  <c r="P127" i="29"/>
  <c r="Q127" i="29"/>
  <c r="R127" i="29"/>
  <c r="N134" i="29"/>
  <c r="O134" i="29"/>
  <c r="P134" i="29"/>
  <c r="Q134" i="29"/>
  <c r="R134" i="29"/>
  <c r="N136" i="29"/>
  <c r="O136" i="29"/>
  <c r="P136" i="29"/>
  <c r="Q136" i="29"/>
  <c r="R136" i="29"/>
  <c r="O137" i="29"/>
  <c r="P137" i="29"/>
  <c r="Q137" i="29"/>
  <c r="R137" i="29"/>
  <c r="N138" i="29"/>
  <c r="O138" i="29"/>
  <c r="P138" i="29"/>
  <c r="Q138" i="29"/>
  <c r="R138" i="29"/>
  <c r="N142" i="29"/>
  <c r="O142" i="29"/>
  <c r="P142" i="29"/>
  <c r="Q142" i="29"/>
  <c r="R142" i="29"/>
  <c r="N152" i="29"/>
  <c r="O152" i="29"/>
  <c r="P152" i="29"/>
  <c r="Q152" i="29"/>
  <c r="R152" i="29"/>
  <c r="N178" i="29"/>
  <c r="O178" i="29"/>
  <c r="P178" i="29"/>
  <c r="Q178" i="29"/>
  <c r="R178" i="29"/>
  <c r="N179" i="29"/>
  <c r="O179" i="29"/>
  <c r="P179" i="29"/>
  <c r="Q179" i="29"/>
  <c r="R179" i="29"/>
  <c r="N180" i="29"/>
  <c r="O180" i="29"/>
  <c r="P180" i="29"/>
  <c r="Q180" i="29"/>
  <c r="R180" i="29"/>
  <c r="N184" i="29"/>
  <c r="O184" i="29"/>
  <c r="P184" i="29"/>
  <c r="Q184" i="29"/>
  <c r="R184" i="29"/>
  <c r="N189" i="29"/>
  <c r="O189" i="29"/>
  <c r="P189" i="29"/>
  <c r="Q189" i="29"/>
  <c r="R189" i="29"/>
  <c r="N191" i="29"/>
  <c r="O191" i="29"/>
  <c r="P191" i="29"/>
  <c r="Q191" i="29"/>
  <c r="R191" i="29"/>
  <c r="N192" i="29"/>
  <c r="O192" i="29"/>
  <c r="P192" i="29"/>
  <c r="Q192" i="29"/>
  <c r="R192" i="29"/>
  <c r="N193" i="29"/>
  <c r="O193" i="29"/>
  <c r="P193" i="29"/>
  <c r="Q193" i="29"/>
  <c r="R193" i="29"/>
  <c r="N194" i="29"/>
  <c r="O194" i="29"/>
  <c r="P194" i="29"/>
  <c r="Q194" i="29"/>
  <c r="R194" i="29"/>
  <c r="O255" i="29"/>
  <c r="P255" i="29"/>
  <c r="Q255" i="29"/>
  <c r="R255" i="29"/>
  <c r="N256" i="29"/>
  <c r="O256" i="29"/>
  <c r="P256" i="29"/>
  <c r="Q256" i="29"/>
  <c r="R256" i="29"/>
  <c r="N258" i="29"/>
  <c r="O258" i="29"/>
  <c r="P258" i="29"/>
  <c r="Q258" i="29"/>
  <c r="R258" i="29"/>
  <c r="N268" i="29"/>
  <c r="O268" i="29"/>
  <c r="P268" i="29"/>
  <c r="Q268" i="29"/>
  <c r="R268" i="29"/>
  <c r="N273" i="29"/>
  <c r="O273" i="29"/>
  <c r="P273" i="29"/>
  <c r="Q273" i="29"/>
  <c r="R273" i="29"/>
  <c r="N275" i="29"/>
  <c r="O275" i="29"/>
  <c r="P275" i="29"/>
  <c r="Q275" i="29"/>
  <c r="R275" i="29"/>
  <c r="N276" i="29"/>
  <c r="O276" i="29"/>
  <c r="P276" i="29"/>
  <c r="Q276" i="29"/>
  <c r="R276" i="29"/>
  <c r="N277" i="29"/>
  <c r="O277" i="29"/>
  <c r="P277" i="29"/>
  <c r="Q277" i="29"/>
  <c r="R277" i="29"/>
  <c r="N309" i="29"/>
  <c r="O309" i="29"/>
  <c r="P309" i="29"/>
  <c r="Q309" i="29"/>
  <c r="R309" i="29"/>
  <c r="N310" i="29"/>
  <c r="O310" i="29"/>
  <c r="P310" i="29"/>
  <c r="Q310" i="29"/>
  <c r="R310" i="29"/>
  <c r="N311" i="29"/>
  <c r="O311" i="29"/>
  <c r="P311" i="29"/>
  <c r="Q311" i="29"/>
  <c r="R311" i="29"/>
  <c r="O453" i="29"/>
  <c r="P453" i="29"/>
  <c r="Q453" i="29"/>
  <c r="R453" i="29"/>
  <c r="N454" i="29"/>
  <c r="O454" i="29"/>
  <c r="P454" i="29"/>
  <c r="Q454" i="29"/>
  <c r="R454" i="29"/>
  <c r="N464" i="29"/>
  <c r="O464" i="29"/>
  <c r="P464" i="29"/>
  <c r="Q464" i="29"/>
  <c r="R464" i="29"/>
  <c r="O468" i="29"/>
  <c r="P468" i="29"/>
  <c r="Q468" i="29"/>
  <c r="R468" i="29"/>
  <c r="N469" i="29"/>
  <c r="O469" i="29"/>
  <c r="P469" i="29"/>
  <c r="Q469" i="29"/>
  <c r="R469" i="29"/>
  <c r="N470" i="29"/>
  <c r="O470" i="29"/>
  <c r="P470" i="29"/>
  <c r="Q470" i="29"/>
  <c r="R470" i="29"/>
  <c r="N474" i="29"/>
  <c r="O474" i="29"/>
  <c r="P474" i="29"/>
  <c r="Q474" i="29"/>
  <c r="R474" i="29"/>
  <c r="O478" i="29"/>
  <c r="P478" i="29"/>
  <c r="Q478" i="29"/>
  <c r="R478" i="29"/>
  <c r="N479" i="29"/>
  <c r="O479" i="29"/>
  <c r="P479" i="29"/>
  <c r="Q479" i="29"/>
  <c r="R479" i="29"/>
  <c r="N480" i="29"/>
  <c r="O480" i="29"/>
  <c r="P480" i="29"/>
  <c r="Q480" i="29"/>
  <c r="R480" i="29"/>
  <c r="N484" i="29"/>
  <c r="O484" i="29"/>
  <c r="P484" i="29"/>
  <c r="Q484" i="29"/>
  <c r="R484" i="29"/>
  <c r="N488" i="29"/>
  <c r="O488" i="29"/>
  <c r="P488" i="29"/>
  <c r="Q488" i="29"/>
  <c r="R488" i="29"/>
  <c r="I31" i="18"/>
  <c r="I34" i="18"/>
  <c r="I35" i="18"/>
  <c r="I37" i="18"/>
  <c r="C5" i="24"/>
  <c r="C5" i="23"/>
  <c r="F18" i="1"/>
  <c r="C5" i="6"/>
  <c r="N25" i="6"/>
  <c r="O25" i="6"/>
  <c r="P25" i="6"/>
  <c r="Q25" i="6"/>
  <c r="R25" i="6"/>
  <c r="C5" i="17"/>
  <c r="N20" i="17"/>
  <c r="O20" i="17"/>
  <c r="P20" i="17"/>
  <c r="Q20" i="17"/>
  <c r="R20" i="17"/>
  <c r="S20" i="17"/>
  <c r="N22" i="17"/>
  <c r="O22" i="17"/>
  <c r="P22" i="17"/>
  <c r="Q22" i="17"/>
  <c r="R22" i="17"/>
  <c r="S22" i="17"/>
  <c r="N29" i="17"/>
  <c r="O29" i="17"/>
  <c r="P29" i="17"/>
  <c r="Q29" i="17"/>
  <c r="R29" i="17"/>
  <c r="R30" i="17"/>
  <c r="N31" i="17"/>
  <c r="O31" i="17"/>
  <c r="P31" i="17"/>
  <c r="Q31" i="17"/>
  <c r="R31" i="17"/>
  <c r="N37" i="17"/>
  <c r="O37" i="17"/>
  <c r="P37" i="17"/>
  <c r="Q37" i="17"/>
  <c r="R37" i="17"/>
  <c r="R38" i="17"/>
  <c r="N39" i="17"/>
  <c r="O39" i="17"/>
  <c r="P39" i="17"/>
  <c r="Q39" i="17"/>
  <c r="R39" i="17"/>
  <c r="F42" i="17"/>
  <c r="F45" i="17"/>
  <c r="F48" i="17"/>
  <c r="F49" i="17"/>
  <c r="J2" i="27"/>
  <c r="C5" i="21"/>
  <c r="N52" i="21"/>
  <c r="O52" i="21"/>
  <c r="P52" i="21"/>
  <c r="Q52" i="21"/>
  <c r="R52" i="21"/>
  <c r="Z47" i="20"/>
  <c r="AA47" i="20"/>
  <c r="AB47" i="20"/>
  <c r="W56" i="20"/>
  <c r="F57" i="20"/>
  <c r="W57" i="20"/>
  <c r="F58" i="20"/>
  <c r="W58" i="20"/>
  <c r="F59" i="20"/>
  <c r="V59" i="20"/>
  <c r="N70" i="20"/>
  <c r="V70" i="20"/>
  <c r="C5" i="19"/>
  <c r="N10" i="19"/>
  <c r="O10" i="19"/>
  <c r="P10" i="19"/>
  <c r="Q10" i="19"/>
  <c r="R10" i="19"/>
  <c r="N11" i="19"/>
  <c r="O11" i="19"/>
  <c r="P11" i="19"/>
  <c r="Q11" i="19"/>
  <c r="R11" i="19"/>
  <c r="N12" i="19"/>
  <c r="O12" i="19"/>
  <c r="P12" i="19"/>
  <c r="Q12" i="19"/>
  <c r="R12" i="19"/>
  <c r="O21" i="19"/>
  <c r="P21" i="19"/>
  <c r="Q21" i="19"/>
  <c r="R21" i="19"/>
  <c r="N22" i="19"/>
  <c r="O22" i="19"/>
  <c r="P22" i="19"/>
  <c r="Q22" i="19"/>
  <c r="R22" i="19"/>
  <c r="N24" i="19"/>
  <c r="O24" i="19"/>
  <c r="P24" i="19"/>
  <c r="Q24" i="19"/>
  <c r="R24" i="19"/>
  <c r="N32" i="19"/>
  <c r="O32" i="19"/>
  <c r="P32" i="19"/>
  <c r="Q32" i="19"/>
  <c r="R32" i="19"/>
  <c r="N33" i="19"/>
  <c r="O33" i="19"/>
  <c r="P33" i="19"/>
  <c r="Q33" i="19"/>
  <c r="R33" i="19"/>
  <c r="N37" i="19"/>
  <c r="O37" i="19"/>
  <c r="P37" i="19"/>
  <c r="Q37" i="19"/>
  <c r="R37" i="19"/>
  <c r="O39" i="19"/>
  <c r="P39" i="19"/>
  <c r="Q39" i="19"/>
  <c r="R39" i="19"/>
  <c r="N40" i="19"/>
  <c r="O40" i="19"/>
  <c r="P40" i="19"/>
  <c r="Q40" i="19"/>
  <c r="R40" i="19"/>
  <c r="S40" i="19"/>
  <c r="N50" i="19"/>
  <c r="O50" i="19"/>
  <c r="P50" i="19"/>
  <c r="Q50" i="19"/>
  <c r="R50" i="19"/>
  <c r="R51" i="19"/>
  <c r="N52" i="19"/>
  <c r="O52" i="19"/>
  <c r="P52" i="19"/>
  <c r="Q52" i="19"/>
  <c r="R52" i="19"/>
  <c r="N54" i="19"/>
  <c r="O54" i="19"/>
  <c r="P54" i="19"/>
  <c r="Q54" i="19"/>
  <c r="R54" i="19"/>
  <c r="F58" i="19"/>
  <c r="F60" i="19"/>
  <c r="F62" i="19"/>
  <c r="F64" i="1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<sst xmlns="http://schemas.openxmlformats.org/spreadsheetml/2006/main" count="2820" uniqueCount="1303">
  <si>
    <t>BT GROUP PLC</t>
  </si>
  <si>
    <t>BT.L</t>
  </si>
  <si>
    <t>Author:</t>
  </si>
  <si>
    <t>School ID:</t>
  </si>
  <si>
    <t>Course:</t>
  </si>
  <si>
    <t>Opeoluwa Kuku</t>
  </si>
  <si>
    <t>H00529768</t>
  </si>
  <si>
    <t>Corporate Finance</t>
  </si>
  <si>
    <t>C31CF</t>
  </si>
  <si>
    <t>Course Code:</t>
  </si>
  <si>
    <t>Exchange Date</t>
  </si>
  <si>
    <t>Close</t>
  </si>
  <si>
    <t>Net</t>
  </si>
  <si>
    <t>R_FTSE100</t>
  </si>
  <si>
    <t>Cost of Equity using the Capital Asset Pricing Model (CAPM)</t>
  </si>
  <si>
    <t>Risk Free Rate</t>
  </si>
  <si>
    <t>Beta</t>
  </si>
  <si>
    <t>Equity Risk Premium</t>
  </si>
  <si>
    <t>Cost of Equity</t>
  </si>
  <si>
    <t>observation_date</t>
  </si>
  <si>
    <t>m_date</t>
  </si>
  <si>
    <t>IRLTLT01GBM156N</t>
  </si>
  <si>
    <t>Risk - Free Rate</t>
  </si>
  <si>
    <t>09/2026</t>
  </si>
  <si>
    <t>06/2026</t>
  </si>
  <si>
    <t>03/2026</t>
  </si>
  <si>
    <t>12/2025</t>
  </si>
  <si>
    <t>09/2025</t>
  </si>
  <si>
    <t>06/2025</t>
  </si>
  <si>
    <t>03/2025</t>
  </si>
  <si>
    <t>12/2024</t>
  </si>
  <si>
    <t>09/2024</t>
  </si>
  <si>
    <t>06/2024</t>
  </si>
  <si>
    <t>03/2024</t>
  </si>
  <si>
    <t>12/2023</t>
  </si>
  <si>
    <t>09/2023</t>
  </si>
  <si>
    <t>06/2023</t>
  </si>
  <si>
    <t>03/2023</t>
  </si>
  <si>
    <t>12/2022</t>
  </si>
  <si>
    <t>09/2022</t>
  </si>
  <si>
    <t>06/2022</t>
  </si>
  <si>
    <t>03/2022</t>
  </si>
  <si>
    <t>12/2021</t>
  </si>
  <si>
    <t>09/2021</t>
  </si>
  <si>
    <t>Notes</t>
  </si>
  <si>
    <t>Values</t>
  </si>
  <si>
    <t>Variables</t>
  </si>
  <si>
    <t>Expected Market Return</t>
  </si>
  <si>
    <t>Description</t>
  </si>
  <si>
    <t>Units</t>
  </si>
  <si>
    <t>Inputs</t>
  </si>
  <si>
    <t>Hist</t>
  </si>
  <si>
    <t>Forecast</t>
  </si>
  <si>
    <t>Term</t>
  </si>
  <si>
    <t>Valuation Date:</t>
  </si>
  <si>
    <t>Current Share Price:</t>
  </si>
  <si>
    <t>Company Fundamentals - Income Statement</t>
  </si>
  <si>
    <t>Company Name</t>
  </si>
  <si>
    <t>BT Group PLC (BT.L)</t>
  </si>
  <si>
    <t>Country of Exchange</t>
  </si>
  <si>
    <t>United Kingdom</t>
  </si>
  <si>
    <t>Country of Headquarters</t>
  </si>
  <si>
    <t>TRBC Industry Group</t>
  </si>
  <si>
    <t>Telecommunications Services</t>
  </si>
  <si>
    <t>CF Template</t>
  </si>
  <si>
    <t>IND</t>
  </si>
  <si>
    <t>Consolidation Basis</t>
  </si>
  <si>
    <t>Consolidated</t>
  </si>
  <si>
    <t>Scaling</t>
  </si>
  <si>
    <t>Millions</t>
  </si>
  <si>
    <t>Period</t>
  </si>
  <si>
    <t>Annual</t>
  </si>
  <si>
    <t>Export Date</t>
  </si>
  <si>
    <t>Statement Data</t>
  </si>
  <si>
    <t>2026</t>
  </si>
  <si>
    <t>2025</t>
  </si>
  <si>
    <t>2024</t>
  </si>
  <si>
    <t>2023</t>
  </si>
  <si>
    <t>2022</t>
  </si>
  <si>
    <t>Period End Date</t>
  </si>
  <si>
    <t>Statement Date</t>
  </si>
  <si>
    <t>Standardized Currency</t>
  </si>
  <si>
    <t>GBP</t>
  </si>
  <si>
    <t>Template Type</t>
  </si>
  <si>
    <t>Industrial - Operating</t>
  </si>
  <si>
    <t>Income Statement - Standardized (Currency: Standardized)</t>
  </si>
  <si>
    <t>Field Name</t>
  </si>
  <si>
    <t>31-03-2026</t>
  </si>
  <si>
    <t>31-03-2025</t>
  </si>
  <si>
    <t>31-03-2024</t>
  </si>
  <si>
    <t>31-03-2023</t>
  </si>
  <si>
    <t>31-03-2022</t>
  </si>
  <si>
    <t>Revenues</t>
  </si>
  <si>
    <t>Revenue from Goods &amp; Services</t>
  </si>
  <si>
    <t>Sales of Goods &amp; Services - Net - Unclassified</t>
  </si>
  <si>
    <t>Revenue from Business Activities - Total</t>
  </si>
  <si>
    <t>Operating Expenses</t>
  </si>
  <si>
    <t>Cost of Operating Revenue</t>
  </si>
  <si>
    <t>Cost of Revenues - Total</t>
  </si>
  <si>
    <t>Cost of Revenues - Unclassified</t>
  </si>
  <si>
    <t>Amortization in Cost of Revenues</t>
  </si>
  <si>
    <t>Depreciation in Cost of Revenues</t>
  </si>
  <si>
    <t>Gross Profit - Industrials/Property - Total</t>
  </si>
  <si>
    <t>Selling, General &amp; Administrative Expenses - Total</t>
  </si>
  <si>
    <t>Selling, General &amp; Administrative Expenses - Unclassified</t>
  </si>
  <si>
    <t>Labor &amp; Related Expenses including Stock-Based Compensation in Selling, General &amp; Administrative Expenses</t>
  </si>
  <si>
    <t>Selling, General &amp; Administrative Expenses - Other - Total</t>
  </si>
  <si>
    <t>Provision for Doubtful Accounts &amp; Write-off</t>
  </si>
  <si>
    <t>Other Operating Expense/(Income) - Net</t>
  </si>
  <si>
    <t>Other Operating Income - Total</t>
  </si>
  <si>
    <t>Other Operating Expense</t>
  </si>
  <si>
    <t>Operating Provisions - Increase/(Decrease)</t>
  </si>
  <si>
    <t>Operating Expenses - Total</t>
  </si>
  <si>
    <t>Operating Profit</t>
  </si>
  <si>
    <t>Operating Profit before Non-Recurring Income/Expense</t>
  </si>
  <si>
    <t>Non-Operating Expenses</t>
  </si>
  <si>
    <t>Financing Income/(Expense) - Net - Total</t>
  </si>
  <si>
    <t>Interest Expense - Net of (Interest Income)</t>
  </si>
  <si>
    <t>Interest Income - Non-Bank</t>
  </si>
  <si>
    <t>Interest Expense - Net of Capitalized Interest</t>
  </si>
  <si>
    <t>Non-Interest Financial Income/(Expense) - Total</t>
  </si>
  <si>
    <t>Non-Interest Financial Income/(Expense) - Other - Net</t>
  </si>
  <si>
    <t>Other Non-Operating Income/(Expense) - Total</t>
  </si>
  <si>
    <t>Normalized Pre-tax Profit</t>
  </si>
  <si>
    <t>Non-Recurring Income/Expense</t>
  </si>
  <si>
    <t>Non-Recurring Income/(Expense) - Total</t>
  </si>
  <si>
    <t>Impairment - Tangible &amp; Intangible Fixed Assets</t>
  </si>
  <si>
    <t>Impairment - Fixed Assets</t>
  </si>
  <si>
    <t>Impairment - Goodwill</t>
  </si>
  <si>
    <t>Impairment - Intangibles excluding Goodwill</t>
  </si>
  <si>
    <t>Impairment - Financial Investments</t>
  </si>
  <si>
    <t>Restructuring Charges</t>
  </si>
  <si>
    <t>Litigation Expenses/Settlements</t>
  </si>
  <si>
    <t>Unrealized Adjustments on Derivatives for Hedging</t>
  </si>
  <si>
    <t>Fair Value Adjustments - Financial Investments</t>
  </si>
  <si>
    <t>Sale &amp; Acquisition of Group Companies - Gain/(Loss)</t>
  </si>
  <si>
    <t>COVID-19 Non-Recurring Income/(Expense) - Total</t>
  </si>
  <si>
    <t>COVID-19 Non-Recurring Income/(Expense) - Other</t>
  </si>
  <si>
    <t>Non-Recurring Income/(Expense) - Other - Total</t>
  </si>
  <si>
    <t>Pre-Tax Income</t>
  </si>
  <si>
    <t>Income before Taxes</t>
  </si>
  <si>
    <t>Taxes</t>
  </si>
  <si>
    <t>Income Taxes</t>
  </si>
  <si>
    <t>Income Taxes for the Year - Current</t>
  </si>
  <si>
    <t>Income Taxes - Domestic - Current</t>
  </si>
  <si>
    <t>Income Taxes - Foreign - Current</t>
  </si>
  <si>
    <t>Income Taxes - Other (KFAS/NLST) - Current</t>
  </si>
  <si>
    <t>Income Taxes - Deferred</t>
  </si>
  <si>
    <t>Income Taxes - Domestic - Deferred</t>
  </si>
  <si>
    <t>Income Taxes - Other - Deferred</t>
  </si>
  <si>
    <t>Net Income After Tax</t>
  </si>
  <si>
    <t>Net Income after Tax</t>
  </si>
  <si>
    <t>After Tax Income/Expense</t>
  </si>
  <si>
    <t>Equity in Earnings/(Loss) of Affiliates (after Taxes)</t>
  </si>
  <si>
    <t>Income before Discontinued Operations &amp; Extraordinary Items</t>
  </si>
  <si>
    <t>Net Income before Minority Interest</t>
  </si>
  <si>
    <t>Net Income after Minority Interest</t>
  </si>
  <si>
    <t>Net Income</t>
  </si>
  <si>
    <t>Income Available to Common Shares</t>
  </si>
  <si>
    <t>Other Comprehensive Income</t>
  </si>
  <si>
    <t>Other Comprehensive Income - Starting Line</t>
  </si>
  <si>
    <t>Other Comprehensive Income - Foreign Currency</t>
  </si>
  <si>
    <t>Other Comprehensive Income - Unrealized Investment Gain/(Loss)</t>
  </si>
  <si>
    <t>Other Comprehensive Income - Hedging Gain/(Loss)</t>
  </si>
  <si>
    <t>Other Comprehensive Income - Associated Companies</t>
  </si>
  <si>
    <t>Other Comprehensive Income - Pension Related</t>
  </si>
  <si>
    <t>Other Comprehensive Income - Income Tax</t>
  </si>
  <si>
    <t>Other Comprehensive Income - Net of Tax - Total</t>
  </si>
  <si>
    <t>Comprehensive Income before Minority Interest - Total</t>
  </si>
  <si>
    <t>Comprehensive Income - Attributable to Parent Company Equity Holders - Total</t>
  </si>
  <si>
    <t>Share/Per Share - Basic</t>
  </si>
  <si>
    <t>Net Income - Basic - including Extraordinary Items Applicable to Common - Total</t>
  </si>
  <si>
    <t>Income available to Common excluding Extraordinary Items</t>
  </si>
  <si>
    <t>Shares used to calculate Basic EPS - Total</t>
  </si>
  <si>
    <t>EPS - Basic - including Extraordinary Items Applicable to Common - Total</t>
  </si>
  <si>
    <t>EPS - Basic - excluding Extraordinary Items Applicable to Common - Total</t>
  </si>
  <si>
    <t>EPS - Basic - excluding Extraordinary Items - Normalized - Total</t>
  </si>
  <si>
    <t>Allocated Net Income including Extraordinary Items Applicable to Common - Issue Specific</t>
  </si>
  <si>
    <t>Earnings Allocation Factor - Basic - Issue Specific</t>
  </si>
  <si>
    <t>Shares used to calculate Basic EPS - Issue Specific</t>
  </si>
  <si>
    <t>EPS - Basic - including Extraordinary Items Applicable to Common - Issue Specific</t>
  </si>
  <si>
    <t>EPS - Basic - excluding Extraordinary Items Applicable to Common - Issue Specific</t>
  </si>
  <si>
    <t>EPS - Basic - excluding Extraordinary Items - Normalized - Issue Specific</t>
  </si>
  <si>
    <t>Shares used to calculate Basic EPS - Issue Specific - DR</t>
  </si>
  <si>
    <t>EPS - Basic - including Extraordinary Items Applicable to Common - Issue Specific - DR</t>
  </si>
  <si>
    <t>EPS - Basic - excluding Extraordinary Items Applicable to Common - Issue Specific - DR</t>
  </si>
  <si>
    <t>EPS - Basic - excluding Extraordinary Items - Normalized - Issue Specific - DR</t>
  </si>
  <si>
    <t>EPS - Basic from Discontinued Operations &amp; Extraordinary Items</t>
  </si>
  <si>
    <t>Comprehensive Earnings Per Share - Basic - Issue Specific</t>
  </si>
  <si>
    <t>Comprehensive Earnings Per Share - Basic - Issue Specific - DR</t>
  </si>
  <si>
    <t>Share/Per Share - Diluted</t>
  </si>
  <si>
    <t>Net Income - Diluted - including Extraordinary Items Applicable to Common - Total</t>
  </si>
  <si>
    <t>Diluted Income available to Common excluding Extraordinary Items</t>
  </si>
  <si>
    <t>Shares used to calculate Diluted EPS - Total</t>
  </si>
  <si>
    <t>EPS - Diluted - including Extraordinary Items Applicable to Common - Total</t>
  </si>
  <si>
    <t>EPS - Diluted - excluding Extraordinary Items Applicable to Common - Total</t>
  </si>
  <si>
    <t>EPS - Diluted - excluding Extraordinary Items - Normalized - Total</t>
  </si>
  <si>
    <t>Allocated Diluted Net Income including Extraordinary Items Applicable to Common - Issue Specific</t>
  </si>
  <si>
    <t>Earnings Allocation Factor - Diluted - Issue Specific</t>
  </si>
  <si>
    <t>Shares used to calculate Diluted EPS - Issue Specific</t>
  </si>
  <si>
    <t>EPS - Diluted - including Extraordinary Items Applicable to Common - Issue Specific</t>
  </si>
  <si>
    <t>EPS - Diluted - excluding Extraordinary Items Applicable to Common - Issue Specific</t>
  </si>
  <si>
    <t>EPS - Diluted - excluding Extraordinary Items - Normalized - Issue Specific</t>
  </si>
  <si>
    <t>Shares used to calculate Diluted EPS - Issue Specific - DR</t>
  </si>
  <si>
    <t>EPS - Diluted - including Extraordinary Items Applicable to Common - Issue Specific - DR</t>
  </si>
  <si>
    <t>EPS - Diluted - excluding Extraordinary Items Applicable to Common - Issue Specific - DR</t>
  </si>
  <si>
    <t>EPS - Diluted - excluding Extraordinary Items - Normalized - Issue Specific - DR</t>
  </si>
  <si>
    <t>EPS - Diluted from Discontinued Operations &amp; Extraordinary Items</t>
  </si>
  <si>
    <t>Comprehensive Earnings Per Share - Diluted - Issue Specific</t>
  </si>
  <si>
    <t>Comprehensive Earnings Per Share - Diluted - Issue Specific - DR</t>
  </si>
  <si>
    <t>Share/Per Share - Dividends</t>
  </si>
  <si>
    <t>DPS - Common - Gross - Issue - By Announcement Date</t>
  </si>
  <si>
    <t>DPS - Common - Net - Issue - By Announcement Date</t>
  </si>
  <si>
    <t>DPS - Common - Gross - Issue - DR - By Announcement Date</t>
  </si>
  <si>
    <t>DPS - Common - Net - Issue - DR - By Announcement Date</t>
  </si>
  <si>
    <t>EBIT/EBITDA &amp; related</t>
  </si>
  <si>
    <t>Earnings before Interest &amp; Taxes (EBIT)</t>
  </si>
  <si>
    <t>Earnings before Interest, Taxes, Depreciation &amp; Amortization (EBITDA)</t>
  </si>
  <si>
    <t>Depreciation/Amortization - Income Statement</t>
  </si>
  <si>
    <t>Depreciation &amp; Amortization - Supplemental</t>
  </si>
  <si>
    <t>Depreciation Expense - Total - Supplemental</t>
  </si>
  <si>
    <t>Depreciation - Fin Lease Right-of-Use Assets - Total - Suppl</t>
  </si>
  <si>
    <t>Amortization - Total - Supplemental</t>
  </si>
  <si>
    <t>Intangible Amortization - Other - Supplemental</t>
  </si>
  <si>
    <t>Amortization of Licenses, Copyrights, Property Rights &amp; Designs - Supplemental</t>
  </si>
  <si>
    <t>Amortization of Computer Software - Supplemental</t>
  </si>
  <si>
    <t>Depreciation/Amortization - Total</t>
  </si>
  <si>
    <t>Depreciation, Depletion &amp; Amortization - Total</t>
  </si>
  <si>
    <t>Depreciation - Total</t>
  </si>
  <si>
    <t>Amortization of Intangible Assets excluding Goodwill - Total</t>
  </si>
  <si>
    <t>Research &amp; Development</t>
  </si>
  <si>
    <t>Research &amp; Development Expense - Expensed &amp; Capitalized - Total - Supplemental</t>
  </si>
  <si>
    <t>Research &amp; Development Expense - Supplemental</t>
  </si>
  <si>
    <t>Labor &amp; Related Expenses</t>
  </si>
  <si>
    <t>Labor &amp; Related Expenses - Total</t>
  </si>
  <si>
    <t>Labor &amp; Related Expenses - Supplemental</t>
  </si>
  <si>
    <t>Stock-Based Compensation Expense - Net of Tax - Supplemental</t>
  </si>
  <si>
    <t>Stock-Based Compensation Expense - Pre-tax - Supplemental</t>
  </si>
  <si>
    <t>Stock-Based Compensation - Tax Benefit - Supplemental</t>
  </si>
  <si>
    <t>Auditor Fees</t>
  </si>
  <si>
    <t>Audit-Related Fees</t>
  </si>
  <si>
    <t>Fees - Other</t>
  </si>
  <si>
    <t>Non-GAAP</t>
  </si>
  <si>
    <t>Non-GAAP Revenues - Company Reported</t>
  </si>
  <si>
    <t>Non-GAAP Income from Operations - Company Reported</t>
  </si>
  <si>
    <t>Non-GAAP Adjusted Net Earnings - Company Reported</t>
  </si>
  <si>
    <t>Non-GAAP Adjusted EBITDA - Company Reported</t>
  </si>
  <si>
    <t>Non-GAAP EPS Basic - Company Reported</t>
  </si>
  <si>
    <t>Non-GAAP EPS Diluted - Company Reported</t>
  </si>
  <si>
    <t>Non-Recurring/Unusual Items - Tax Impact</t>
  </si>
  <si>
    <t>Normalized</t>
  </si>
  <si>
    <t>Normalized after Tax Profit</t>
  </si>
  <si>
    <t>Normalized Net Income from Continuing Operations</t>
  </si>
  <si>
    <t>Normalized Net Income - Bottom Line</t>
  </si>
  <si>
    <t>Earnings before Interest &amp; Taxes (EBIT) - Normalized</t>
  </si>
  <si>
    <t>Earnings before Interest, Taxes, Depreciation &amp; Amortization (EBITDA) - Normalized</t>
  </si>
  <si>
    <t>Derivatives</t>
  </si>
  <si>
    <t>Derivatives - Hedging - Gain/(Loss) - Total - Supplemental</t>
  </si>
  <si>
    <t>Unrealized Adjustments on Derivatives for Hedging - Supplemental</t>
  </si>
  <si>
    <t>Lease Expenses</t>
  </si>
  <si>
    <t>Lease Expense -Total - Supplemental</t>
  </si>
  <si>
    <t>Variable Financial Lease Expenses - Supplemental</t>
  </si>
  <si>
    <t>Interest Expense on Financial Lease Liabilities - Supple</t>
  </si>
  <si>
    <t>Other</t>
  </si>
  <si>
    <t>Cost of Revenue including Operation &amp; Maintenance (Utility) - Total</t>
  </si>
  <si>
    <t>Cost of Revenues excluding Depreciation</t>
  </si>
  <si>
    <t>Interest Expense</t>
  </si>
  <si>
    <t>Selling, General &amp; Administrative Expenses excluding Research &amp; Development Expenses</t>
  </si>
  <si>
    <t>Employees</t>
  </si>
  <si>
    <t>Employees - Average</t>
  </si>
  <si>
    <t>Company Fundamentals - Balance Sheet</t>
  </si>
  <si>
    <t>Industrial - Differentiated</t>
  </si>
  <si>
    <t>Balance Sheet - Standardized (Currency: Standardized)</t>
  </si>
  <si>
    <t>Current Assets</t>
  </si>
  <si>
    <t>Cash &amp; Short-Term Investments</t>
  </si>
  <si>
    <t>Cash &amp; Cash Equivalents</t>
  </si>
  <si>
    <t>Short-Term Investments - Total</t>
  </si>
  <si>
    <t>Derivative Financial Instruments - Hedging - Short-Term</t>
  </si>
  <si>
    <t>Loans &amp; Receivables - Net - Short-Term</t>
  </si>
  <si>
    <t>Trade Accounts &amp; Trade Notes Receivable - Net</t>
  </si>
  <si>
    <t>Trade Accounts &amp; Trade Notes Receivable - Gross</t>
  </si>
  <si>
    <t>Provision - Trade Accounts &amp; Trade Notes Receivable</t>
  </si>
  <si>
    <t>Income Tax - Receivables - Short-Term</t>
  </si>
  <si>
    <t>Receivables - Other - Total</t>
  </si>
  <si>
    <t>Inventories - Total</t>
  </si>
  <si>
    <t>Prepaid Expenses - Short-Term</t>
  </si>
  <si>
    <t>Assets Held for Sale/Discontinued Operations - Short-Term</t>
  </si>
  <si>
    <t>Other Current Assets - Total</t>
  </si>
  <si>
    <t>Deferred Costs - Short-Term</t>
  </si>
  <si>
    <t>Restricted Accounts - Short-Term</t>
  </si>
  <si>
    <t>Other Current Assets</t>
  </si>
  <si>
    <t>Total Current Assets</t>
  </si>
  <si>
    <t>Non-Current Assets</t>
  </si>
  <si>
    <t>Investments - Long-Term</t>
  </si>
  <si>
    <t>Investments - Available for Sale/Held to Maturity - Long-Term</t>
  </si>
  <si>
    <t>Investments in Associates, Joint Ventures and Unconsolidated Subsidiaries</t>
  </si>
  <si>
    <t>Receivables &amp; Loans - Long-Term</t>
  </si>
  <si>
    <t>Finance Lease Receivables - Long-Term</t>
  </si>
  <si>
    <t>Receivables - Other - Net - Long-Term</t>
  </si>
  <si>
    <t>Derivative Financial Instruments - Hedging - Long-Term</t>
  </si>
  <si>
    <t>Property, Plant &amp; Equipment - Net - Total</t>
  </si>
  <si>
    <t>Property, Plant &amp; Equipment - excluding Assets Leased Out - Net - Total</t>
  </si>
  <si>
    <t>Land &amp; Buildings - Net</t>
  </si>
  <si>
    <t>Construction in Progress - Net</t>
  </si>
  <si>
    <t>Right of Use Tangible Assets - Total - Net</t>
  </si>
  <si>
    <t>Right of Use Tangible Assets - Capital/Finance Lease - Net</t>
  </si>
  <si>
    <t>Property, Plant &amp; Equipment - Other - Net</t>
  </si>
  <si>
    <t>Property, Plant &amp; Equipment - Gross - Total</t>
  </si>
  <si>
    <t>Property, Plant &amp; Equipment - excluding Assets Leased Out - Gross</t>
  </si>
  <si>
    <t>Land &amp; Buildings - Gross</t>
  </si>
  <si>
    <t>Construction in Progress - Gross</t>
  </si>
  <si>
    <t>Right of Use Tangible Assets - Total - Gross</t>
  </si>
  <si>
    <t>Right of Use Tangible Assets - Capital/Finance Lease - Gross</t>
  </si>
  <si>
    <t>Property, Plant &amp; Equipment - Other - Gross</t>
  </si>
  <si>
    <t>Property, Plant &amp; Equipment - Accumulated Depreciation &amp; Impairment - Total</t>
  </si>
  <si>
    <t>Property, Plant &amp; Equipment - excluding Assets Leased Out - Accumulated Depreciation &amp; Impairment - Total</t>
  </si>
  <si>
    <t>Land &amp; Buildings - Accumulated Depreciation &amp; Impairment</t>
  </si>
  <si>
    <t>Construction in Progress - Accumulated Depreciation &amp; Impairment</t>
  </si>
  <si>
    <t>Property, Plant &amp; Equipment - Other - Accumulated Depreciation &amp; Impairment</t>
  </si>
  <si>
    <t>Other Non-Current Assets - Total</t>
  </si>
  <si>
    <t>Deferred Tax - Asset - Long-Term</t>
  </si>
  <si>
    <t>Deferred Charges - Long-Term</t>
  </si>
  <si>
    <t>Prepaid Expenses - Long-Term</t>
  </si>
  <si>
    <t>Pension Assets - Long-Term</t>
  </si>
  <si>
    <t>Other Non-Current Assets</t>
  </si>
  <si>
    <t>Intangible Assets - Total - Net</t>
  </si>
  <si>
    <t>Goodwill/Cost in Excess of Assets Purchased - Net</t>
  </si>
  <si>
    <t>Intangible Assets - excluding Goodwill - Net - Total</t>
  </si>
  <si>
    <t>Computer Software - Intangible Assets - Net</t>
  </si>
  <si>
    <t>Licenses, Franchises, Copyrights, Property Rights, Prototypes, Contract Based, Models &amp; Designs - Net</t>
  </si>
  <si>
    <t>Intangible Assets - Other - Net</t>
  </si>
  <si>
    <t>Intangible Assets - Gross - Total</t>
  </si>
  <si>
    <t>Goodwill/Cost in Excess of Assets Purchased - Gross</t>
  </si>
  <si>
    <t>Intangible Assets - excluding Goodwill - Gross</t>
  </si>
  <si>
    <t>Computer Software - Intangible Assets - Gross</t>
  </si>
  <si>
    <t>Licenses, Franchises, Copyrights, Property Rights, Prototypes, Contract Based, Models &amp; Designs - Gross</t>
  </si>
  <si>
    <t>Intangible Assets - Other - Gross - Total</t>
  </si>
  <si>
    <t>Intangible Assets - Accumulated Amortization &amp; Impairment - Total</t>
  </si>
  <si>
    <t>Goodwill - Accumulated Amortization &amp; Impairment</t>
  </si>
  <si>
    <t>Intangible Assets - excluding Goodwill - Accumulated Amortization &amp; Impairment - Total</t>
  </si>
  <si>
    <t>Computer Software - Intangible Assets - Accumulated Amortization &amp; Impairment</t>
  </si>
  <si>
    <t>Licenses, Franchises, Copy/Property Rights, Prototypes, Contract Based, Models &amp; Designs - Accumulated Amortization &amp; Impairment</t>
  </si>
  <si>
    <t>Intangible Assets - Other - Accumulated Amortization &amp; Impairment</t>
  </si>
  <si>
    <t>Total Non-Current Assets</t>
  </si>
  <si>
    <t>Total Assets</t>
  </si>
  <si>
    <t>Current Liabilities</t>
  </si>
  <si>
    <t>Trade Accounts Payable &amp; Accruals - Short-Term</t>
  </si>
  <si>
    <t>Trade Accounts &amp; Trade Notes Payable - Short-Term</t>
  </si>
  <si>
    <t>Accrued Expenses - Short-Term</t>
  </si>
  <si>
    <t>Short-Term Debt &amp; Current Portion of Long-Term Debt</t>
  </si>
  <si>
    <t>Short-Term Debt &amp; Notes Payable</t>
  </si>
  <si>
    <t>Current Portion of Long-Term Debt including Capitalized Leases</t>
  </si>
  <si>
    <t>Current Portion of Long-Term Debt excluding Capitalized Leases</t>
  </si>
  <si>
    <t>Capitalized Leases - Current Portion</t>
  </si>
  <si>
    <t>Derivative Liabilities - Hedging - Short-Term</t>
  </si>
  <si>
    <t>Liabilities Held for Sale/Discontinued Operations - Short-Term</t>
  </si>
  <si>
    <t>Income Taxes - Payable - Short-Term</t>
  </si>
  <si>
    <t>Other Current Liabilities - Total</t>
  </si>
  <si>
    <t>Deferred Income - Short-Term</t>
  </si>
  <si>
    <t>Provisions - Short-Term</t>
  </si>
  <si>
    <t>Other Current Liabilities</t>
  </si>
  <si>
    <t>Total Current Liabilities</t>
  </si>
  <si>
    <t>Non-Current Liabilities</t>
  </si>
  <si>
    <t>Debt - Long-Term - Total</t>
  </si>
  <si>
    <t>Long-Term Debt excluding Capitalized Leases</t>
  </si>
  <si>
    <t>Debt - Non-Convertible - Long-Term</t>
  </si>
  <si>
    <t>Capitalized Lease Obligations - Long-Term</t>
  </si>
  <si>
    <t>Derivative Liabilities - Hedging - Long-Term</t>
  </si>
  <si>
    <t>Deferred Tax &amp; Investment Tax Credits - Long-Term</t>
  </si>
  <si>
    <t>Deferred Tax - Liability - Long-Term</t>
  </si>
  <si>
    <t>Other Non-Current Liabilities - Total</t>
  </si>
  <si>
    <t>Provisions - Long-Term</t>
  </si>
  <si>
    <t>Post Employment Benefits - Pension &amp; Other - Long-Term</t>
  </si>
  <si>
    <t>Provisions - Other - Long-Term</t>
  </si>
  <si>
    <t>Deferred Revenue - Long-Term</t>
  </si>
  <si>
    <t>Other Non-Current Liabilities</t>
  </si>
  <si>
    <t>Total Non-Current Liabilities</t>
  </si>
  <si>
    <t>Total Liabilities</t>
  </si>
  <si>
    <t>Shareholders' Equity</t>
  </si>
  <si>
    <t>Shareholders' Equity - Attributable to Parent Shareholders - Total</t>
  </si>
  <si>
    <t>Common Equity Attributable to Parent Shareholders</t>
  </si>
  <si>
    <t>Common Stock - Treasury/Repurchased</t>
  </si>
  <si>
    <t>Common Equity - Contributed</t>
  </si>
  <si>
    <t>Common Stock - Issued &amp; Paid</t>
  </si>
  <si>
    <t>Common Stock - Additional Paid in Capital including Option Reserve</t>
  </si>
  <si>
    <t>Equity - Non-Contributed - Reserves &amp; Retained Earnings</t>
  </si>
  <si>
    <t>Retained Earnings - Total</t>
  </si>
  <si>
    <t>Comprehensive Income - Accumulated - Total</t>
  </si>
  <si>
    <t>Investments - Unrealized Gain/Loss</t>
  </si>
  <si>
    <t>Hedging Reserves</t>
  </si>
  <si>
    <t>Foreign Currency Translation Adjustment - Accumulated</t>
  </si>
  <si>
    <t>Common Equity - Total</t>
  </si>
  <si>
    <t>Total Shareholders' Equity</t>
  </si>
  <si>
    <t>Total Shareholders' Equity - including Minority Interest &amp; Hybrid Debt</t>
  </si>
  <si>
    <t>Total Liabilities &amp; Shareholders' Equity</t>
  </si>
  <si>
    <t>Total Liabilities &amp; Equity</t>
  </si>
  <si>
    <t>Share/Per Share - Common</t>
  </si>
  <si>
    <t>Common Shares - Issued - Total</t>
  </si>
  <si>
    <t>Common Shares - Outstanding - Total</t>
  </si>
  <si>
    <t>Common Shares - Treasury - Total</t>
  </si>
  <si>
    <t>Common Shares - Issued - Issue Specific</t>
  </si>
  <si>
    <t>Common Shares - Outstanding - Issue Specific</t>
  </si>
  <si>
    <t>Common Shares - Treasury - Issue Specific</t>
  </si>
  <si>
    <t>Common Shares - Issued - Issue Specific - DR</t>
  </si>
  <si>
    <t>Common Shares - Outstanding - Issue Specific - DR</t>
  </si>
  <si>
    <t>Common Shares - Treasury - Issue Specific - DR</t>
  </si>
  <si>
    <t>Share/Per Share - Other</t>
  </si>
  <si>
    <t>Asset Allocation Factor - Issue Specific</t>
  </si>
  <si>
    <t>Right of Use Tangible Assets</t>
  </si>
  <si>
    <t>Right of Use Tangible Assets - Total - Net - Supplemental</t>
  </si>
  <si>
    <t>Right of Use Tangible Assets - Capital/Finance Lease - Net - Supplemental</t>
  </si>
  <si>
    <t>Property, Plant &amp; Equipment - excluding Right of Use Tangible Assets &amp; Capital Leases - Net</t>
  </si>
  <si>
    <t>Right of Use Liabilities</t>
  </si>
  <si>
    <t>Finance and Operating Lease Liabilities - Total</t>
  </si>
  <si>
    <t>Debt including Finance and Operating Lease Liabilities</t>
  </si>
  <si>
    <t>Long-Term &amp; Short-Term</t>
  </si>
  <si>
    <t>Derivative Financial Instruments - Hedging - Total</t>
  </si>
  <si>
    <t>Investments - Total</t>
  </si>
  <si>
    <t>Loans &amp; Receivables - Total</t>
  </si>
  <si>
    <t>Accounts &amp; Notes Receivable - Trade - Gross - Total</t>
  </si>
  <si>
    <t>Assets Held for Sale/Discontinued Operations - Long-Term &amp; Short-Term</t>
  </si>
  <si>
    <t>Other Assets - Total</t>
  </si>
  <si>
    <t>Income Taxes - Payable - Long-Term &amp; Short-Term</t>
  </si>
  <si>
    <t>Payables &amp; Accrued Expenses</t>
  </si>
  <si>
    <t>Trade Account Payables - Total</t>
  </si>
  <si>
    <t>Accrued Expenses</t>
  </si>
  <si>
    <t>Derivative Liabilities - Hedging</t>
  </si>
  <si>
    <t>Liabilities Held for Sale/Discontinued Operations - Long-term &amp; Short-Term</t>
  </si>
  <si>
    <t>Contract Assets - Short-Term - Unbilled Revenue in Excess of Advance Consideration &amp; Progress Billings</t>
  </si>
  <si>
    <t>Contract Assets - Long-Term - Unbilled Revenue in Excess of Advance Consideration &amp; Progress Billings</t>
  </si>
  <si>
    <t>Debt Related</t>
  </si>
  <si>
    <t>Net Debt</t>
  </si>
  <si>
    <t>Debt - Total</t>
  </si>
  <si>
    <t>Debt Maturity</t>
  </si>
  <si>
    <t>Debt - Long-Term - Maturities - Total</t>
  </si>
  <si>
    <t>Debt - Long-Term - Maturities - within 1 Year</t>
  </si>
  <si>
    <t>Debt - Long-Term - Maturities - Year 2</t>
  </si>
  <si>
    <t>Debt - Long-Term - Maturities - Year 3</t>
  </si>
  <si>
    <t>Debt - Long-Term - Maturities - Year 4</t>
  </si>
  <si>
    <t>Debt - Long-Term - Maturities - Year 5</t>
  </si>
  <si>
    <t>Debt - Long-Term - Maturities - Remaining</t>
  </si>
  <si>
    <t>Debt - Long-Term - Maturities - 2-3 Years</t>
  </si>
  <si>
    <t>Debt - Long-Term - Maturities - 4-5 Years</t>
  </si>
  <si>
    <t>Debt - Long-Term - Maturities - Year 6 &amp; Beyond</t>
  </si>
  <si>
    <t>Capital Lease Maturity</t>
  </si>
  <si>
    <t>Capital Lease Maturities - Total</t>
  </si>
  <si>
    <t>Capital Lease Maturities - Due within 1 Year</t>
  </si>
  <si>
    <t>Capital Lease Maturities - Due in Year 2</t>
  </si>
  <si>
    <t>Capital Lease Maturities - Due in Year 3</t>
  </si>
  <si>
    <t>Capital Lease Maturities - Due in Year 4</t>
  </si>
  <si>
    <t>Capital Lease Maturities - Due in Year 5</t>
  </si>
  <si>
    <t>Capital Lease Maturities - Remaining Maturities</t>
  </si>
  <si>
    <t>Capital Lease Maturities - Interest Costs</t>
  </si>
  <si>
    <t>Capital Lease Maturities - Due in 2-3 Years</t>
  </si>
  <si>
    <t>Capital Lease Maturities - Due in 4-5 Years</t>
  </si>
  <si>
    <t>Capital Lease Maturities - Due in Year 6 &amp; Beyond</t>
  </si>
  <si>
    <t>Contract Liabilities - Short-Term - Advance Consideration &amp; Progress Billings in Excess of Unbilled Revenue</t>
  </si>
  <si>
    <t>Contract Liabilities - Long-Term - Advance Consideration &amp; Progress Billings in Excess of Unbilled Revenue</t>
  </si>
  <si>
    <t>Accruals - Short-Term</t>
  </si>
  <si>
    <t>Asset Accruals</t>
  </si>
  <si>
    <t>Cash &amp; Cash Equivalents - Total</t>
  </si>
  <si>
    <t>Cash &amp; Short Term Investments - Total</t>
  </si>
  <si>
    <t>Debt - including Preferred Equity &amp; Minority Interest - Total</t>
  </si>
  <si>
    <t>Investments - Permanent</t>
  </si>
  <si>
    <t>Net Book Capital</t>
  </si>
  <si>
    <t>Net Operating Assets</t>
  </si>
  <si>
    <t>Provisions - Total</t>
  </si>
  <si>
    <t>Shareholders Equity - Common</t>
  </si>
  <si>
    <t>Tangible Total Equity</t>
  </si>
  <si>
    <t>Tangible Book Value</t>
  </si>
  <si>
    <t>Total Book Capital</t>
  </si>
  <si>
    <t>Total Capital</t>
  </si>
  <si>
    <t>Total Long Term Capital</t>
  </si>
  <si>
    <t>Total Fixed Assets - Net</t>
  </si>
  <si>
    <t>Unearned Revenue - Total</t>
  </si>
  <si>
    <t>Working Capital</t>
  </si>
  <si>
    <t>Working Capital - Non-Cash</t>
  </si>
  <si>
    <t>Working Capital excluding Other Current Assets &amp; Liabilities</t>
  </si>
  <si>
    <t>Book Value excluding Other Equity</t>
  </si>
  <si>
    <t>Shareholders</t>
  </si>
  <si>
    <t>Common Shareholders - Number</t>
  </si>
  <si>
    <t>Employees - Full-Time/Full-Time Equivalents - Period End</t>
  </si>
  <si>
    <t>Employees - Full-Time/Full-Time Equivalents - Current Date</t>
  </si>
  <si>
    <t>Company Fundamentals - Cash Flow</t>
  </si>
  <si>
    <t>Industrial - Indirect</t>
  </si>
  <si>
    <t>Cash Flow - Standardized (Currency: Standardized)</t>
  </si>
  <si>
    <t>Operating Cash Flow - Indirect</t>
  </si>
  <si>
    <t>Profit/(Loss) - Starting Line - Cash Flow</t>
  </si>
  <si>
    <t>Non-cash Items &amp; Reconciliation Adjustments - Cash Flow</t>
  </si>
  <si>
    <t>Equity Income/(Loss) in Net Earnings - Cash Flow - to Reconcile</t>
  </si>
  <si>
    <t>Financial Income/(Expense) - Cash Flow - to Reconcile</t>
  </si>
  <si>
    <t>Other Non-Cash Items &amp; Reconciliation Adjustments - Cash Flow - to Reconcile</t>
  </si>
  <si>
    <t>Depreciation, Depletion &amp; Amortization including Impairment - Cash Flow - to Reconcile</t>
  </si>
  <si>
    <t>Depreciation &amp; Depletion - Property, Plant &amp; Equipment - Cash Flow - to Reconcile</t>
  </si>
  <si>
    <t>Impairment - Property, Plant &amp; Equipment including Intangible Assets - Cash Flow - to Reconcile</t>
  </si>
  <si>
    <t>Assets Sale - Gain/(Loss) - Cash Flow - to Reconcile</t>
  </si>
  <si>
    <t>Financial Assets - Unrealized Gain/(Loss) - Cash Flow - to Reconcile</t>
  </si>
  <si>
    <t>Income Taxes - Paid/(Reimbursed) - Cash Flow</t>
  </si>
  <si>
    <t>Interest Paid - Cash</t>
  </si>
  <si>
    <t>Cash Flow from Operating Activities before Changes in Working Capital</t>
  </si>
  <si>
    <t>Working Capital - Increase/(Decrease) - Cash Flow</t>
  </si>
  <si>
    <t>Accounts Receivables - Decrease/(Increase) - Cash Flow</t>
  </si>
  <si>
    <t>Inventories - Decrease/(Increase) - Cash Flow</t>
  </si>
  <si>
    <t>Other Assets - Decrease/(Increase) - Cash Flow</t>
  </si>
  <si>
    <t>Accounts Payable and Accrued Expenses - Increase/(Decrease) - Cash Flow</t>
  </si>
  <si>
    <t>Other Liabilities - Increase/(Decrease) -Total - Cash Flow</t>
  </si>
  <si>
    <t>Net Cash Flow from Operating Activities</t>
  </si>
  <si>
    <t>Investing Cash Flow</t>
  </si>
  <si>
    <t>Capital Expenditures - Net - Cash Flow</t>
  </si>
  <si>
    <t>Property, Plant &amp; Equipment - Purchased/(Sold) - Net - Cash Flow</t>
  </si>
  <si>
    <t>Property, Plant &amp; Equipment - Purchased - Cash Flow</t>
  </si>
  <si>
    <t>Property, Plant &amp; Equipment Sold - Cash Flow</t>
  </si>
  <si>
    <t>Capital Expenditures - Total</t>
  </si>
  <si>
    <t>Acquisition &amp; Disposals of Business - Assets - Sold/(Acquired) - Net - Cash Flow</t>
  </si>
  <si>
    <t>Acquisition of Business - Cash Flow</t>
  </si>
  <si>
    <t>Business - Sold - Cash Flow</t>
  </si>
  <si>
    <t>Investments excluding Loans - Decrease/(Increase) - Cash Flow</t>
  </si>
  <si>
    <t>Investment Securities - Unclassified - Sold/(Purchased) - Net - Total - Cash Flow</t>
  </si>
  <si>
    <t>Investment Securities - Sold/Matured - Unclassified - Cash Flow</t>
  </si>
  <si>
    <t>Investment Securities - Purchased - Unclassified - Cash Flow</t>
  </si>
  <si>
    <t>Investments - Associated Companies &amp; Joint Ventures - Sold/(Purchased) - Cash Flow</t>
  </si>
  <si>
    <t>Other Investing Cash Flow - Decrease/(Increase)</t>
  </si>
  <si>
    <t>Net Cash Flow from Investing Activities</t>
  </si>
  <si>
    <t>Financing Cash Flow</t>
  </si>
  <si>
    <t>Dividends Paid - Cash - Total - Cash Flow</t>
  </si>
  <si>
    <t>Dividends - Common - Cash Paid</t>
  </si>
  <si>
    <t>Stock - Total - Issuance/(Retirement) - Net - Cash Flow</t>
  </si>
  <si>
    <t>Stock - Issuance/(Retirement) - Net - Excluding Options/Warrants - Cash Flow</t>
  </si>
  <si>
    <t>Stock - Common - Issuance/(Retirement) - Net - Cash Flow</t>
  </si>
  <si>
    <t>Stock - Common - Repurchased/Retired - Cash Flow</t>
  </si>
  <si>
    <t>Options Exercised - Cash Flow</t>
  </si>
  <si>
    <t>Debt - Long-Term &amp; Short-Term - Issuance/(Retirement) - Total - Cash Flow</t>
  </si>
  <si>
    <t>Debt - Issued/(Reduced) - Long-Term &amp; Short-Term - Cash Flow</t>
  </si>
  <si>
    <t>Debt - Issued - Long-Term &amp; Short-Term - Cash Flow</t>
  </si>
  <si>
    <t>Debt - Reduced - Long-Term &amp; Short-Term - Cash Flow</t>
  </si>
  <si>
    <t>Debt - Issued/(Reduced) - Long-Term - Cash Flow</t>
  </si>
  <si>
    <t>Lease liabilities - Issued/(Reduced) - Cash Flow</t>
  </si>
  <si>
    <t>Debt - Reduced - Long-Term - Cash Flow</t>
  </si>
  <si>
    <t>Lease liabilities - Reduced - Cash flow</t>
  </si>
  <si>
    <t>Other Financing Cash Flow - Increase/(Decrease)</t>
  </si>
  <si>
    <t>Net Cash Flow from Financing Activities</t>
  </si>
  <si>
    <t>Foreign Exchange Effects</t>
  </si>
  <si>
    <t>Foreign Exchange Effects - Cash Flow</t>
  </si>
  <si>
    <t>Change in Cash</t>
  </si>
  <si>
    <t>Net Change in Cash - Total</t>
  </si>
  <si>
    <t>Net Cash from Continuing Operations</t>
  </si>
  <si>
    <t>Net Cash - Beginning Balance</t>
  </si>
  <si>
    <t>Net Cash - Ending Balance</t>
  </si>
  <si>
    <t>Supplemental</t>
  </si>
  <si>
    <t>Income Taxes - Paid/(Reimbursed) - Cash Flow - Supplemental</t>
  </si>
  <si>
    <t>Interest Paid - Cash Flow - Supplemental</t>
  </si>
  <si>
    <t>Interest &amp; Dividends - Received - Cash Flow - Supplemental</t>
  </si>
  <si>
    <t>CF from Optg Activities before Change in WC &amp; Int Payments</t>
  </si>
  <si>
    <t>Non-GAAP Free Cash Flow - Company Reported</t>
  </si>
  <si>
    <t>Contract Assets - Decrease/(Increase) - Cash Flow</t>
  </si>
  <si>
    <t>Contract Liabilities - Increase/(Decrease) - Cash Flow</t>
  </si>
  <si>
    <t>Cash Dividends Paid &amp; Common Stock Buyback - Net</t>
  </si>
  <si>
    <t>Common Stock Buyback - Net</t>
  </si>
  <si>
    <t>Depreciation, Depletion &amp; Amortization - Cash Flow</t>
  </si>
  <si>
    <t>Free Cash Flow to Equity</t>
  </si>
  <si>
    <t>Free Cash Flow Net of Dividends</t>
  </si>
  <si>
    <t>Free Cash Flow</t>
  </si>
  <si>
    <t>Dividends Provided/Paid - Common</t>
  </si>
  <si>
    <t>Revenue</t>
  </si>
  <si>
    <t>Adjustments</t>
  </si>
  <si>
    <t>Cost of Sales</t>
  </si>
  <si>
    <t>SG&amp;A Adj</t>
  </si>
  <si>
    <t>SGA</t>
  </si>
  <si>
    <t>Depreciation &amp; Amortization</t>
  </si>
  <si>
    <t xml:space="preserve">Other Net Operating Expenses </t>
  </si>
  <si>
    <t>Net Interest Expense</t>
  </si>
  <si>
    <t>Interest Income</t>
  </si>
  <si>
    <t>EBT</t>
  </si>
  <si>
    <t>Total Taxes</t>
  </si>
  <si>
    <t>Gross Profit</t>
  </si>
  <si>
    <t>EBITDA</t>
  </si>
  <si>
    <t>Income Statement</t>
  </si>
  <si>
    <t>EBIT</t>
  </si>
  <si>
    <t>Current Taxes</t>
  </si>
  <si>
    <t>Deferred Taxes</t>
  </si>
  <si>
    <t>31/Mar/2022 - 31/Mar/2026</t>
  </si>
  <si>
    <t>Historicals</t>
  </si>
  <si>
    <t>Numbers</t>
  </si>
  <si>
    <t>Percent</t>
  </si>
  <si>
    <t>Sub total</t>
  </si>
  <si>
    <t>Total</t>
  </si>
  <si>
    <t>Multiples</t>
  </si>
  <si>
    <t>Heading 1</t>
  </si>
  <si>
    <t>Heading 2</t>
  </si>
  <si>
    <t>Heading 3</t>
  </si>
  <si>
    <t>BT</t>
  </si>
  <si>
    <t>Statement</t>
  </si>
  <si>
    <t>United Kingdom GDP Annual Growth Rate</t>
  </si>
  <si>
    <t>UK GDP Growth rate Q2 Y-o-Y</t>
  </si>
  <si>
    <t xml:space="preserve">My economic growth rate is based on "Trading Economics" data. I assume the UK's   economy will grow based on the average of the last two y-o-y growth rates </t>
  </si>
  <si>
    <t>Growth Rate</t>
  </si>
  <si>
    <t>Revenue contracting " mainly driven by lower International 
revenue including the impact of divesting entities in the year" - Q2 earnings report</t>
  </si>
  <si>
    <t xml:space="preserve">Due  to the structural changes, I assume that the contraction will continue and eventually BT.L will grow again in line with the economy based on the expected benefits from their transformation and the growth in the sale of FTTP service. This is also in line with their guidance  </t>
  </si>
  <si>
    <t>SG&amp;A</t>
  </si>
  <si>
    <t>Growth is expected from FY2028 as per BT.L's earnings report guidance</t>
  </si>
  <si>
    <t>Capital Expenditures</t>
  </si>
  <si>
    <t>Depreciation</t>
  </si>
  <si>
    <t>Dividends</t>
  </si>
  <si>
    <t>Payout ratio</t>
  </si>
  <si>
    <t>Balance Sheet from Earnings Report</t>
  </si>
  <si>
    <t>Non-current assets</t>
  </si>
  <si>
    <t>Current assets</t>
  </si>
  <si>
    <t>Current liabilities</t>
  </si>
  <si>
    <t>Non-current liabilities</t>
  </si>
  <si>
    <t>Equity</t>
  </si>
  <si>
    <t>Property, plant and equipment</t>
  </si>
  <si>
    <t>Right-of-use assets</t>
  </si>
  <si>
    <t>Derivative financial instruments</t>
  </si>
  <si>
    <t>Investments</t>
  </si>
  <si>
    <t>Joint ventures and associates</t>
  </si>
  <si>
    <t>Trade and other receivables</t>
  </si>
  <si>
    <t>Preference shares in joint</t>
  </si>
  <si>
    <t>Contract assets</t>
  </si>
  <si>
    <t>Retirement benefit surplus</t>
  </si>
  <si>
    <t>Deferred tax assets</t>
  </si>
  <si>
    <t>Inventories</t>
  </si>
  <si>
    <t>Assets classified as held</t>
  </si>
  <si>
    <t>Current tax receivable</t>
  </si>
  <si>
    <t>Cash and cash equivalents</t>
  </si>
  <si>
    <t>Loans and other borrowings</t>
  </si>
  <si>
    <t>Trade and other payables</t>
  </si>
  <si>
    <t>Contract liabilities</t>
  </si>
  <si>
    <t>Lease liabilities</t>
  </si>
  <si>
    <t>Liabilities held for sale</t>
  </si>
  <si>
    <t>Current tax liabilities</t>
  </si>
  <si>
    <t>Provisions</t>
  </si>
  <si>
    <t>Retirement benefit obligations</t>
  </si>
  <si>
    <t>Other payables</t>
  </si>
  <si>
    <t>Deferred tax liabilities</t>
  </si>
  <si>
    <t>Share capital</t>
  </si>
  <si>
    <t>Share premium</t>
  </si>
  <si>
    <t>Own shares</t>
  </si>
  <si>
    <t>Merger reserve</t>
  </si>
  <si>
    <t>Other reserves</t>
  </si>
  <si>
    <t>Retained earnings</t>
  </si>
  <si>
    <t>Total equity</t>
  </si>
  <si>
    <t>Balance Sheet Restruccturing</t>
  </si>
  <si>
    <t>Dividend</t>
  </si>
  <si>
    <t>Inputs and Assumptions</t>
  </si>
  <si>
    <t>Dividends Policy</t>
  </si>
  <si>
    <t>Pence/Sh</t>
  </si>
  <si>
    <t>Company Fundamentals - Financial Summary</t>
  </si>
  <si>
    <t>Financial Summary - Standardized (Currency: Standardized)</t>
  </si>
  <si>
    <t>Selected Income Statement Items</t>
  </si>
  <si>
    <t>Selected Balance Sheet Items</t>
  </si>
  <si>
    <t>Selected Cash Flow Items</t>
  </si>
  <si>
    <t>Selected Per Share Data</t>
  </si>
  <si>
    <t>Dividend Yield - Common Stock - Gross - Issue Specific - %</t>
  </si>
  <si>
    <t>Dividend Yield - Common Stock - Net - Issue Specific - %</t>
  </si>
  <si>
    <t>Company Reported Non-GAAP Measures</t>
  </si>
  <si>
    <t>Profitability / Return</t>
  </si>
  <si>
    <t>Gross Profit Margin - %</t>
  </si>
  <si>
    <t>EBITDA Margin - %</t>
  </si>
  <si>
    <t>Operating Margin - %</t>
  </si>
  <si>
    <t>Income before Tax Margin - %</t>
  </si>
  <si>
    <t>Income Tax Rate - %</t>
  </si>
  <si>
    <t>Net Margin - %</t>
  </si>
  <si>
    <t>Return on Average Common Equity - % (Income available to Common excluding Extraordinary Items)</t>
  </si>
  <si>
    <t>Return on Average Total Assets - % (Income before Discontinued Operations &amp; Extraordinary Items)</t>
  </si>
  <si>
    <t>Return on Invested Capital - %</t>
  </si>
  <si>
    <t>Growth</t>
  </si>
  <si>
    <t>Financial Strength / Leverage</t>
  </si>
  <si>
    <t>Total Debt Percentage of Total Assets</t>
  </si>
  <si>
    <t>Total Debt Percentage of Total Capital</t>
  </si>
  <si>
    <t>Total Debt Percentage of Total Equity</t>
  </si>
  <si>
    <t>Debt Service</t>
  </si>
  <si>
    <t>Debt Service Percentage of Normalized after Tax Profit</t>
  </si>
  <si>
    <t>Interest Coverage Ratio</t>
  </si>
  <si>
    <t>Dividend Coverage - %</t>
  </si>
  <si>
    <t>Earnings Retention Rate</t>
  </si>
  <si>
    <t>Dividend Payout Ratio - %</t>
  </si>
  <si>
    <t>Enterprise Value Breakdown</t>
  </si>
  <si>
    <t>Market Capitalization</t>
  </si>
  <si>
    <t>Enterprise Value</t>
  </si>
  <si>
    <t>Dupont / Earning Power</t>
  </si>
  <si>
    <t>Asset Turnover</t>
  </si>
  <si>
    <t>Pretax ROA - %</t>
  </si>
  <si>
    <t>Total Assets to Total Shareholders Equity - including Minority Interest &amp; Hybrid Debt</t>
  </si>
  <si>
    <t>Pretax ROE - %</t>
  </si>
  <si>
    <t>Tax Complement</t>
  </si>
  <si>
    <t>Reinvestment Rate - %</t>
  </si>
  <si>
    <t>Productivity</t>
  </si>
  <si>
    <t>Net Income after Tax per Employee</t>
  </si>
  <si>
    <t>Sales per Employee</t>
  </si>
  <si>
    <t>Total Assets per Employee</t>
  </si>
  <si>
    <t>Liquidity</t>
  </si>
  <si>
    <t>Current Ratio</t>
  </si>
  <si>
    <t>Quick Ratio</t>
  </si>
  <si>
    <t>Working Capital to Total Assets</t>
  </si>
  <si>
    <t>Operating</t>
  </si>
  <si>
    <t>Accounts Receivable Turnover</t>
  </si>
  <si>
    <t>Average Receivables Collection Days</t>
  </si>
  <si>
    <t>Payables Turnover</t>
  </si>
  <si>
    <t>Average Payables Payment Days</t>
  </si>
  <si>
    <t>Inventory Turnover</t>
  </si>
  <si>
    <t>Average Inventory Days</t>
  </si>
  <si>
    <t>Average Net Trade Cycle Days</t>
  </si>
  <si>
    <t>Valuation</t>
  </si>
  <si>
    <t>Shares Outstanding</t>
  </si>
  <si>
    <t>Current Share Price</t>
  </si>
  <si>
    <t>Unit</t>
  </si>
  <si>
    <t>Perpetual Growth Rate (G)</t>
  </si>
  <si>
    <t>Payout Ratio</t>
  </si>
  <si>
    <t>Retention Rate</t>
  </si>
  <si>
    <t>Return on Equity 2026</t>
  </si>
  <si>
    <t>Cost  of Equity</t>
  </si>
  <si>
    <t>%</t>
  </si>
  <si>
    <t>Dividend Discount Model</t>
  </si>
  <si>
    <t>Terminal Value</t>
  </si>
  <si>
    <t>Total Dividend</t>
  </si>
  <si>
    <t>Discounting Period</t>
  </si>
  <si>
    <t>Present Value of Dividends</t>
  </si>
  <si>
    <t>Intrinsic Equity Value</t>
  </si>
  <si>
    <t>Units in M</t>
  </si>
  <si>
    <t>Intrinsic Equity Value per share</t>
  </si>
  <si>
    <r>
      <t>[</t>
    </r>
    <r>
      <rPr>
        <sz val="11"/>
        <color theme="2" tint="-0.499984740745262"/>
        <rFont val="Aptos Narrow"/>
        <family val="2"/>
      </rPr>
      <t>£</t>
    </r>
    <r>
      <rPr>
        <sz val="11"/>
        <color theme="2" tint="-0.499984740745262"/>
        <rFont val="Aptos Narrow"/>
        <family val="2"/>
        <scheme val="minor"/>
      </rPr>
      <t>'M]</t>
    </r>
  </si>
  <si>
    <t>Pence/sh</t>
  </si>
  <si>
    <t>Net Profit Margin</t>
  </si>
  <si>
    <t>Financial Leverage</t>
  </si>
  <si>
    <t>Debt Structure</t>
  </si>
  <si>
    <t>Name</t>
  </si>
  <si>
    <t>Issues</t>
  </si>
  <si>
    <t>Outstanding</t>
  </si>
  <si>
    <t>Issued</t>
  </si>
  <si>
    <t>Bonds</t>
  </si>
  <si>
    <t>Bonds to Be Issued</t>
  </si>
  <si>
    <t>Bonds (as Borrower)</t>
  </si>
  <si>
    <t>Bonds (as Borrower) - to Be Issued</t>
  </si>
  <si>
    <t>Loans</t>
  </si>
  <si>
    <t>Inactive Bonds</t>
  </si>
  <si>
    <t>Maturity</t>
  </si>
  <si>
    <t>Outstanding (GBP)</t>
  </si>
  <si>
    <t>Issued (GBP)</t>
  </si>
  <si>
    <t>2027</t>
  </si>
  <si>
    <t>Asset Duplicated</t>
  </si>
  <si>
    <t>Maturity Date</t>
  </si>
  <si>
    <t>Amount Outstanding</t>
  </si>
  <si>
    <t>Issued Amount</t>
  </si>
  <si>
    <t>Coupon</t>
  </si>
  <si>
    <t>Coupon Class</t>
  </si>
  <si>
    <t>Country of Issue</t>
  </si>
  <si>
    <t>Currency</t>
  </si>
  <si>
    <t>ISIN</t>
  </si>
  <si>
    <t>RIC</t>
  </si>
  <si>
    <t>Cusip</t>
  </si>
  <si>
    <t>Issue Date</t>
  </si>
  <si>
    <t>Rank (Seniority)</t>
  </si>
  <si>
    <t>Seniority (Legacy)</t>
  </si>
  <si>
    <t>Instrument Type</t>
  </si>
  <si>
    <t>Principal Index Link Flag</t>
  </si>
  <si>
    <t>Modified Duration</t>
  </si>
  <si>
    <t>Option Adjusted Duration</t>
  </si>
  <si>
    <t>Option Adjusted Spread</t>
  </si>
  <si>
    <t>Yield</t>
  </si>
  <si>
    <t>Yield Type</t>
  </si>
  <si>
    <t>Yield Event</t>
  </si>
  <si>
    <t>Yield Date</t>
  </si>
  <si>
    <t>Last Price</t>
  </si>
  <si>
    <t>Capital Tier</t>
  </si>
  <si>
    <t>Government Bond Type</t>
  </si>
  <si>
    <t>Is Convertible</t>
  </si>
  <si>
    <t>Offering Type</t>
  </si>
  <si>
    <t>Program Type</t>
  </si>
  <si>
    <t>Domicile</t>
  </si>
  <si>
    <t>Asset Status</t>
  </si>
  <si>
    <t>Green Bonds</t>
  </si>
  <si>
    <t>Issuer</t>
  </si>
  <si>
    <t>Collateral</t>
  </si>
  <si>
    <t>BTBRT / BT 1.500  23-Jun-2027  '27 MTN</t>
  </si>
  <si>
    <t>--</t>
  </si>
  <si>
    <t>Fixed Coupon</t>
  </si>
  <si>
    <t>Eurobond</t>
  </si>
  <si>
    <t>Euro</t>
  </si>
  <si>
    <t>XS1637333748</t>
  </si>
  <si>
    <t>GB163733374=</t>
  </si>
  <si>
    <t>Senior Unsecured</t>
  </si>
  <si>
    <t>Note</t>
  </si>
  <si>
    <t>N</t>
  </si>
  <si>
    <t>IS</t>
  </si>
  <si>
    <t>MAT</t>
  </si>
  <si>
    <t>N/A</t>
  </si>
  <si>
    <t>Regulation S</t>
  </si>
  <si>
    <t>Medium Term Note Program</t>
  </si>
  <si>
    <t>BRITISH TELECOMMUNICATIONS LTD</t>
  </si>
  <si>
    <t>BTBRT / BT 2.125  26-Sep-2028  '26 MTN</t>
  </si>
  <si>
    <t>XS1886403200</t>
  </si>
  <si>
    <t>GB188640320=</t>
  </si>
  <si>
    <t>BTBRT / BT 5.125  04-Dec-2028  '28</t>
  </si>
  <si>
    <t>United States</t>
  </si>
  <si>
    <t>US Dollar</t>
  </si>
  <si>
    <t>US111021AL54</t>
  </si>
  <si>
    <t>111021AL5=</t>
  </si>
  <si>
    <t>111021AL5</t>
  </si>
  <si>
    <t>CB</t>
  </si>
  <si>
    <t>Underwritten</t>
  </si>
  <si>
    <t xml:space="preserve">BTBRT / BT 5.750  07-Dec-2028 </t>
  </si>
  <si>
    <t>British Pound</t>
  </si>
  <si>
    <t>XS0097283096</t>
  </si>
  <si>
    <t>GB009728309=</t>
  </si>
  <si>
    <t>Bond</t>
  </si>
  <si>
    <t>BTBRT / BT 1.125  12-Sep-2029  '29 MTN</t>
  </si>
  <si>
    <t>XS2051494495</t>
  </si>
  <si>
    <t>GB205149449=</t>
  </si>
  <si>
    <t>BTBRT / BT 3.250  08-Nov-2029  '29</t>
  </si>
  <si>
    <t>US11102AAE10</t>
  </si>
  <si>
    <t>11102AAE1=</t>
  </si>
  <si>
    <t>11102AAE1</t>
  </si>
  <si>
    <t>Private placement-144A no reg rights</t>
  </si>
  <si>
    <t xml:space="preserve">BTBRT / BT 9.625  15-Dec-2030 </t>
  </si>
  <si>
    <t>Variable Coupon</t>
  </si>
  <si>
    <t>US111021AE12</t>
  </si>
  <si>
    <t>GB012169353=</t>
  </si>
  <si>
    <t>111021AE1</t>
  </si>
  <si>
    <t>BTBRT / BT 3.750  13-May-2031  '31 MTN</t>
  </si>
  <si>
    <t>XS2582814039</t>
  </si>
  <si>
    <t>GB258281403=</t>
  </si>
  <si>
    <t>BTBRT / BT 3.125  21-Nov-2031  '31 MTN</t>
  </si>
  <si>
    <t>XS1720922415</t>
  </si>
  <si>
    <t>GB172092241=</t>
  </si>
  <si>
    <t>BTBRT / BT 3.125  11-Feb-2032  '31 MTN</t>
  </si>
  <si>
    <t>XS2994509706</t>
  </si>
  <si>
    <t>GB299450970=</t>
  </si>
  <si>
    <t>Euro Medium Term Note Program</t>
  </si>
  <si>
    <t>BTBRT / BT 3.375  30-Aug-2032  '32 MTN</t>
  </si>
  <si>
    <t>XS2496028924</t>
  </si>
  <si>
    <t>GB249602892=</t>
  </si>
  <si>
    <t>BTBTF / BT 3.375  17-Nov-2032  '32 MTN</t>
  </si>
  <si>
    <t>XS3227880021</t>
  </si>
  <si>
    <t>GB322788002=</t>
  </si>
  <si>
    <t>BT FINANCE PLC</t>
  </si>
  <si>
    <t>BTBRT / BT 4.250  06-Jan-2033  '32 MTN</t>
  </si>
  <si>
    <t>XS2675225531</t>
  </si>
  <si>
    <t>GB267522553=</t>
  </si>
  <si>
    <t>BTBRT / BT 4.710  01-Mar-2033  MTN</t>
  </si>
  <si>
    <t>Norwegian Krone</t>
  </si>
  <si>
    <t>XS3168818238</t>
  </si>
  <si>
    <t>GB316881823=</t>
  </si>
  <si>
    <t>Unsecured</t>
  </si>
  <si>
    <t>Underwritten-Agent</t>
  </si>
  <si>
    <t>BTBRT / BT 3.640  25-Jun-2033  '33 MTN</t>
  </si>
  <si>
    <t>XS1833075259</t>
  </si>
  <si>
    <t>GB183307525=</t>
  </si>
  <si>
    <t>BTBRT / BT 1.613  25-Jun-2033  '33</t>
  </si>
  <si>
    <t>XS1833077545</t>
  </si>
  <si>
    <t>GB183307754=</t>
  </si>
  <si>
    <t>Y</t>
  </si>
  <si>
    <t>BTBRT / BT 3.875  20-Jan-2034  '33 MTN</t>
  </si>
  <si>
    <t>XS2839008948</t>
  </si>
  <si>
    <t>GB283900894=</t>
  </si>
  <si>
    <t>Re-Opening</t>
  </si>
  <si>
    <t>BTBTF / BT 3.875  02-Jun-2034  '34 MTN</t>
  </si>
  <si>
    <t>XS3392699396</t>
  </si>
  <si>
    <t>GB339269939=</t>
  </si>
  <si>
    <t>BTBRT / BT 3.750  03-Jan-2035  '34 MTN</t>
  </si>
  <si>
    <t>XS3084359036</t>
  </si>
  <si>
    <t>GB308435903=</t>
  </si>
  <si>
    <t>BTBRT / BT 6.375  23-Jun-2037  MTN</t>
  </si>
  <si>
    <t>XS0306772699</t>
  </si>
  <si>
    <t>GB030677269=</t>
  </si>
  <si>
    <t>BTBRT / BT 3.883  25-Jun-2039  '39 MTN</t>
  </si>
  <si>
    <t>XS1833075846</t>
  </si>
  <si>
    <t>GB183307584=</t>
  </si>
  <si>
    <t>BTBRT / BT 1.739  25-Jun-2039  '39</t>
  </si>
  <si>
    <t>XS1833078196</t>
  </si>
  <si>
    <t>GB183307819=</t>
  </si>
  <si>
    <t>BTBRT / BT 5.750  13-Feb-2041  '40 MTN</t>
  </si>
  <si>
    <t>XS2582814385</t>
  </si>
  <si>
    <t>GB258281438=</t>
  </si>
  <si>
    <t>BTBRT / BT 5.625  03-Dec-2041  '41 MTN</t>
  </si>
  <si>
    <t>XS2892335394</t>
  </si>
  <si>
    <t>GB289233539=</t>
  </si>
  <si>
    <t>BTBRT / BT 3.924  25-Jun-2042  '42 MTN</t>
  </si>
  <si>
    <t>XS1833076497</t>
  </si>
  <si>
    <t>GB183307649=</t>
  </si>
  <si>
    <t>BTBRT / BT 1.774  25-Jun-2042  '42</t>
  </si>
  <si>
    <t>XS1833078600</t>
  </si>
  <si>
    <t>GB183307860=</t>
  </si>
  <si>
    <t>BTBRT / BT 2.080  17-Feb-2043  MTN</t>
  </si>
  <si>
    <t>Japanese Yen</t>
  </si>
  <si>
    <t>XS2580882558</t>
  </si>
  <si>
    <t>XS258088255=1M</t>
  </si>
  <si>
    <t>BTBRT / BT 3.625  21-Nov-2047  '47 MTN</t>
  </si>
  <si>
    <t>XS1720923066</t>
  </si>
  <si>
    <t>GB172092306=</t>
  </si>
  <si>
    <t>BTBRT / BT 4.250  08-Nov-2049  '49</t>
  </si>
  <si>
    <t>US111021AN11</t>
  </si>
  <si>
    <t>111021AN1=</t>
  </si>
  <si>
    <t>111021AN1</t>
  </si>
  <si>
    <t>BTBRT / BT 5.125  03-Oct-2054  '29 FRN</t>
  </si>
  <si>
    <t>Floating Coupon</t>
  </si>
  <si>
    <t>XS2794589403</t>
  </si>
  <si>
    <t>GB279458940=</t>
  </si>
  <si>
    <t>Subordinated Unsecured</t>
  </si>
  <si>
    <t>CALL</t>
  </si>
  <si>
    <t>BTBRT / BT 6.375  03-Dec-2055  '30 FRN</t>
  </si>
  <si>
    <t>XS3085605205</t>
  </si>
  <si>
    <t>GB308560520=</t>
  </si>
  <si>
    <t>Capital Security</t>
  </si>
  <si>
    <t>BTBRT / BT 4.875  23-Nov-2081  '31 FRN</t>
  </si>
  <si>
    <t>US11102AAG67</t>
  </si>
  <si>
    <t>11102AAG6=</t>
  </si>
  <si>
    <t>11102AAG6</t>
  </si>
  <si>
    <t>Junior Subordinated Unsecured</t>
  </si>
  <si>
    <t>Junior Unsecured or Junior Subordinated Unsecured</t>
  </si>
  <si>
    <t>BTBRT / BT 4.250  23-Nov-2081  '26 FRN</t>
  </si>
  <si>
    <t>US11102AAF84</t>
  </si>
  <si>
    <t>11102AAF8=</t>
  </si>
  <si>
    <t>11102AAF8</t>
  </si>
  <si>
    <t>BTBRT / BT 8.375  20-Dec-2083  '28 FRN</t>
  </si>
  <si>
    <t>XS2636324274</t>
  </si>
  <si>
    <t>GB263632427=</t>
  </si>
  <si>
    <t>Purpose</t>
  </si>
  <si>
    <t>Amount Issued</t>
  </si>
  <si>
    <t>Facilities</t>
  </si>
  <si>
    <t>30-Jan-2025 British Telecommunications Plc</t>
  </si>
  <si>
    <t>General Purpose</t>
  </si>
  <si>
    <t>Facility Type</t>
  </si>
  <si>
    <t>Facility Amount</t>
  </si>
  <si>
    <t>Country</t>
  </si>
  <si>
    <t>Base Rate/Spd</t>
  </si>
  <si>
    <t>Bid Price (%)</t>
  </si>
  <si>
    <t>Ask Price (%)</t>
  </si>
  <si>
    <t>Mid Price (%)</t>
  </si>
  <si>
    <t>Discounted Spread (bps)</t>
  </si>
  <si>
    <t>Yield (%)</t>
  </si>
  <si>
    <t>Revolver/Line &gt;= 1 Yr.</t>
  </si>
  <si>
    <t>EUR</t>
  </si>
  <si>
    <t>Dividends based on policy</t>
  </si>
  <si>
    <t>Dividends based on forecast</t>
  </si>
  <si>
    <t>Short Term Investments</t>
  </si>
  <si>
    <t>PP&amp;E</t>
  </si>
  <si>
    <t>Long Term Inevestments</t>
  </si>
  <si>
    <t>Long Term Investments</t>
  </si>
  <si>
    <t xml:space="preserve">Tax </t>
  </si>
  <si>
    <t>Uk Corporate  Tax Rate</t>
  </si>
  <si>
    <t>Page 5 of the earnings report states that the effective tax rate was 25% for the last period, inline with the corporate Tax rate</t>
  </si>
  <si>
    <t>Income Statement Inputs and Assumptions</t>
  </si>
  <si>
    <t>Balance Sheet Inputs &amp; Assumptions</t>
  </si>
  <si>
    <t>Current Asset</t>
  </si>
  <si>
    <t>Goodwill</t>
  </si>
  <si>
    <t>Other intangible assets</t>
  </si>
  <si>
    <t>% of revenues</t>
  </si>
  <si>
    <t>% of COGS</t>
  </si>
  <si>
    <t>Ending Balance</t>
  </si>
  <si>
    <t>Ending Balance per Page 6 stating the divestment period is over</t>
  </si>
  <si>
    <t>Ending balance</t>
  </si>
  <si>
    <t>% of Revenue</t>
  </si>
  <si>
    <t>% of EBT</t>
  </si>
  <si>
    <t>% of SGA</t>
  </si>
  <si>
    <t>Assuming no change in Share  Capital</t>
  </si>
  <si>
    <t>PP&amp;E Assumptions</t>
  </si>
  <si>
    <t>"By the 
end of the decade capital expenditure excluding spectrum will reduce by more than £1bn from the FY26 level" - Earnings Report Mar 2026</t>
  </si>
  <si>
    <t>% of revenue</t>
  </si>
  <si>
    <t>BT Group PLC</t>
  </si>
  <si>
    <t>Vodafone Group PLC</t>
  </si>
  <si>
    <t>Deutsche Telekom AG</t>
  </si>
  <si>
    <t>Koninklijke KPN NV</t>
  </si>
  <si>
    <t>Swisscom AG</t>
  </si>
  <si>
    <t>Telefonica SA</t>
  </si>
  <si>
    <t>Telia Company AB (publ)</t>
  </si>
  <si>
    <t>Orange SA</t>
  </si>
  <si>
    <t>3- Statements</t>
  </si>
  <si>
    <t>Balance  Sheet</t>
  </si>
  <si>
    <t>Assets</t>
  </si>
  <si>
    <t>Total Non-Current  Assets</t>
  </si>
  <si>
    <t>Liabilities</t>
  </si>
  <si>
    <t>Total Current Liabiilities</t>
  </si>
  <si>
    <t>Total Non-Current Liabilites</t>
  </si>
  <si>
    <t>Total Equity</t>
  </si>
  <si>
    <t>Total Liabilities and Equity</t>
  </si>
  <si>
    <t>Property Plant &amp; Equipment</t>
  </si>
  <si>
    <t>Cashflow Statement</t>
  </si>
  <si>
    <t>Schedules &amp; Calculations</t>
  </si>
  <si>
    <t>Operating Working Capital</t>
  </si>
  <si>
    <t>Total loans and Borrowings</t>
  </si>
  <si>
    <t>Check</t>
  </si>
  <si>
    <t>OWC</t>
  </si>
  <si>
    <t>Change in OWC</t>
  </si>
  <si>
    <t>Working Capital negative</t>
  </si>
  <si>
    <t>Property Plant &amp;  Equipment</t>
  </si>
  <si>
    <t>% of Capex</t>
  </si>
  <si>
    <t>On Page 10 of   the earnings report, under the financials metrics, it can be seen that depreciation tracks investments</t>
  </si>
  <si>
    <t>31/Mar/2027 - 31/Mar/2031</t>
  </si>
  <si>
    <t>MV of Debt</t>
  </si>
  <si>
    <t>Weighted Average Cost of Capital</t>
  </si>
  <si>
    <t>Weights</t>
  </si>
  <si>
    <t>Costs</t>
  </si>
  <si>
    <t>WACC</t>
  </si>
  <si>
    <t>Market Value of   Debt</t>
  </si>
  <si>
    <t>Capital   Structure</t>
  </si>
  <si>
    <t>Cost of Capital</t>
  </si>
  <si>
    <t>Change</t>
  </si>
  <si>
    <t>Beginning Balance</t>
  </si>
  <si>
    <t>Gross Profit  Margin</t>
  </si>
  <si>
    <t>]</t>
  </si>
  <si>
    <t>Gross Profit Margin</t>
  </si>
  <si>
    <t>EBITDA Margin</t>
  </si>
  <si>
    <t>EBIT Margin</t>
  </si>
  <si>
    <t>Joint Ventures  &amp; Associates</t>
  </si>
  <si>
    <t>Prefences Shares in Joint</t>
  </si>
  <si>
    <t>FCFF/FCFE Model</t>
  </si>
  <si>
    <t>Share Capital</t>
  </si>
  <si>
    <t>Retained Earnings</t>
  </si>
  <si>
    <t>Share Premium</t>
  </si>
  <si>
    <t>Own Shares</t>
  </si>
  <si>
    <t>Merger Reserves</t>
  </si>
  <si>
    <t>Other Reserves</t>
  </si>
  <si>
    <t>Loans &amp; Borrowings</t>
  </si>
  <si>
    <t>Tax Schedule</t>
  </si>
  <si>
    <t>Notice: Growth Rate is greater than the growth rate of the economy</t>
  </si>
  <si>
    <t>Net Income Margin</t>
  </si>
  <si>
    <t>Net Income Growth Rate</t>
  </si>
  <si>
    <t>Scalling:</t>
  </si>
  <si>
    <t>Operating Cashflow</t>
  </si>
  <si>
    <t>Operating Cashflows</t>
  </si>
  <si>
    <t>Investing Cashflow</t>
  </si>
  <si>
    <t>Joint Ventures &amp; Associates</t>
  </si>
  <si>
    <t>Preference Shares in Joint Ventures</t>
  </si>
  <si>
    <t>Investing Cashflows</t>
  </si>
  <si>
    <t>Financing Cashflow</t>
  </si>
  <si>
    <t>Revolver</t>
  </si>
  <si>
    <t>Financing Cashflows</t>
  </si>
  <si>
    <t>FCFF</t>
  </si>
  <si>
    <t>UFCF OWC</t>
  </si>
  <si>
    <t>Change in Cash Position</t>
  </si>
  <si>
    <t>Beginning Cash</t>
  </si>
  <si>
    <t>Ending Cash</t>
  </si>
  <si>
    <t>Unlevered Free Cashflow to the Firm</t>
  </si>
  <si>
    <t>Unlevered Taxes</t>
  </si>
  <si>
    <t>Net Operating profit After Tax (NOPAT)</t>
  </si>
  <si>
    <t>Terminal value</t>
  </si>
  <si>
    <t>Total Cashflow</t>
  </si>
  <si>
    <t>Base Year:</t>
  </si>
  <si>
    <t>Historical Period:</t>
  </si>
  <si>
    <t>Forecast Period:</t>
  </si>
  <si>
    <t>Residual Income Model</t>
  </si>
  <si>
    <t>Residual Income</t>
  </si>
  <si>
    <t>Millions GBP</t>
  </si>
  <si>
    <t xml:space="preserve">Return On Equity </t>
  </si>
  <si>
    <t>Total Equity Reconciles with the data from Refinitiv's financial summary and the condition of accounting clean surplus is shown in the retained earnings schedule</t>
  </si>
  <si>
    <t>Model</t>
  </si>
  <si>
    <t>Required Rate of Return (Equity Charge)</t>
  </si>
  <si>
    <t>Style Guide &amp; Timing assumption</t>
  </si>
  <si>
    <t>Discrete Period</t>
  </si>
  <si>
    <t>(YYYY-MM-DD)</t>
  </si>
  <si>
    <t>Discounted FCFF</t>
  </si>
  <si>
    <t>Years for Discounting</t>
  </si>
  <si>
    <t>Discrete Forecaast</t>
  </si>
  <si>
    <t>Total FCFF</t>
  </si>
  <si>
    <t>Less: MV Debt</t>
  </si>
  <si>
    <t>Add: Cash and Cash Equivalents</t>
  </si>
  <si>
    <t>Return On Equity</t>
  </si>
  <si>
    <t>Net Debt to Total Equity
(FY0)</t>
  </si>
  <si>
    <t>Asset Turnover
(FY0)</t>
  </si>
  <si>
    <t>I  used Gordon Growth Model because the company is a mature company and grows slower and around the same rate as it's host country's (UK) economy</t>
  </si>
  <si>
    <t>Present Value of Cashflows</t>
  </si>
  <si>
    <t>10 Year  Uk Bond Yield</t>
  </si>
  <si>
    <t>Sum of PV of Residual Income</t>
  </si>
  <si>
    <t>2026A Book Value of Equity</t>
  </si>
  <si>
    <t>EBIT Growth Rate</t>
  </si>
  <si>
    <t>EBITDA  Growth Rate</t>
  </si>
  <si>
    <t>Effective Tax Rate</t>
  </si>
  <si>
    <t>Implied Taxable Income</t>
  </si>
  <si>
    <t>Implied Government Reduction in EBT/Timing difference</t>
  </si>
  <si>
    <t>I understand this assumption can be more accurate/detailed but the goal here is to maintain a similar current-deferred tax ratio for valuation purpose</t>
  </si>
  <si>
    <t>Taxable Income</t>
  </si>
  <si>
    <t>Current Tax</t>
  </si>
  <si>
    <t>Deferred Tax</t>
  </si>
  <si>
    <t>Total Tax</t>
  </si>
  <si>
    <t xml:space="preserve">EV / EBITDA </t>
  </si>
  <si>
    <t>EV / Revenue
(NTM)</t>
  </si>
  <si>
    <t>Price / EPS 
(NTM)</t>
  </si>
  <si>
    <t>Price / Cash Flow Per Share
(NTM)</t>
  </si>
  <si>
    <t>Price / Book Value Per Share 
(NTM)</t>
  </si>
  <si>
    <t>Price / Revenue 
(NTM)</t>
  </si>
  <si>
    <t>Dividend Per Share Yield % 
(NTM)</t>
  </si>
  <si>
    <t>Quick Ratio
(FY0)</t>
  </si>
  <si>
    <t>Gross Profit Margin - %
(FY0)</t>
  </si>
  <si>
    <t>Net Income Margin - Actual
(FY0)</t>
  </si>
  <si>
    <t>Price / Free Cash Flow Per Share
(FY1)</t>
  </si>
  <si>
    <t>Price / CAPEX
(FY1)</t>
  </si>
  <si>
    <t>Maximum</t>
  </si>
  <si>
    <t>Average</t>
  </si>
  <si>
    <t>Median</t>
  </si>
  <si>
    <t>Minimum</t>
  </si>
  <si>
    <t>Conclusion (Median)</t>
  </si>
  <si>
    <t>Company Market Capitalization
(usd)</t>
  </si>
  <si>
    <t>Conclusion (Average)</t>
  </si>
  <si>
    <t>Relative Multiples</t>
  </si>
  <si>
    <t>Ranks vs Industry  Peers</t>
  </si>
  <si>
    <t>Financing Assumptions</t>
  </si>
  <si>
    <t xml:space="preserve">UK Bank Rate </t>
  </si>
  <si>
    <t>As per latest Bank of England decision</t>
  </si>
  <si>
    <t>Total Liabiilities</t>
  </si>
  <si>
    <t>Current Assetss</t>
  </si>
  <si>
    <t>Change in UFCF OWC</t>
  </si>
  <si>
    <t>I merged some Non-Current Assets/Liabilities to simplify the cashflow statement's calculations since they are operational even though they will not be due for more than a year</t>
  </si>
  <si>
    <t>UFCF OWC is the pure current assets - current liabilities that I will use for the FCFF model</t>
  </si>
  <si>
    <t>Debt List - Notes/Bonds</t>
  </si>
  <si>
    <t>Outstanding at Period End Date</t>
  </si>
  <si>
    <t>Coupon Value</t>
  </si>
  <si>
    <t>Conv Price</t>
  </si>
  <si>
    <t>Conv Value</t>
  </si>
  <si>
    <t>Conv Rate</t>
  </si>
  <si>
    <t>1.5% €1,150m bond due June 2027</t>
  </si>
  <si>
    <t>1.5</t>
  </si>
  <si>
    <t>-</t>
  </si>
  <si>
    <t>Jun 2027</t>
  </si>
  <si>
    <t>2.125% €600m bond due September 2028</t>
  </si>
  <si>
    <t>2.125</t>
  </si>
  <si>
    <t>Sep 2028</t>
  </si>
  <si>
    <t>5.125% $700m bond due December 2028</t>
  </si>
  <si>
    <t>5.125</t>
  </si>
  <si>
    <t>Dec 2028</t>
  </si>
  <si>
    <t>5.75% £600m bond due December 2028</t>
  </si>
  <si>
    <t>5.75</t>
  </si>
  <si>
    <t>1.125% €750m bond due September 2029</t>
  </si>
  <si>
    <t>1.125</t>
  </si>
  <si>
    <t>Sep 2029</t>
  </si>
  <si>
    <t>3.25% $1,000m bond due November 2029</t>
  </si>
  <si>
    <t>3.25</t>
  </si>
  <si>
    <t>Nov 2029</t>
  </si>
  <si>
    <t>9.625% $2,670m bond due December 2030</t>
  </si>
  <si>
    <t>9.625</t>
  </si>
  <si>
    <t>Dec 2030</t>
  </si>
  <si>
    <t>3.75% €800m bond due February 2031</t>
  </si>
  <si>
    <t>3.75</t>
  </si>
  <si>
    <t>Nov 2031</t>
  </si>
  <si>
    <t>3.125% £500m bond due November 2031</t>
  </si>
  <si>
    <t>3.125</t>
  </si>
  <si>
    <t>3.375% €500m bond due August 2032</t>
  </si>
  <si>
    <t>3.375</t>
  </si>
  <si>
    <t>Aug 2032</t>
  </si>
  <si>
    <t>3.64% £330m bond due June 2033</t>
  </si>
  <si>
    <t>3.64</t>
  </si>
  <si>
    <t>Jun 2033</t>
  </si>
  <si>
    <t>1.613% £330m index linked bond due June 2033</t>
  </si>
  <si>
    <t>1.613</t>
  </si>
  <si>
    <t>6.375% £500m bond due June 2037</t>
  </si>
  <si>
    <t>6.375</t>
  </si>
  <si>
    <t>Jun 2037</t>
  </si>
  <si>
    <t>3.883% £330m bond due June 2039</t>
  </si>
  <si>
    <t>3.883</t>
  </si>
  <si>
    <t>Jun 2039</t>
  </si>
  <si>
    <t>1.739% £330m index linked bond due June 2039</t>
  </si>
  <si>
    <t>1.739</t>
  </si>
  <si>
    <t>5.75% £350m bond due February 2041</t>
  </si>
  <si>
    <t>Feb 2041</t>
  </si>
  <si>
    <t>3.924% £340m bond due June 2042</t>
  </si>
  <si>
    <t>3.924</t>
  </si>
  <si>
    <t>Jun 2042</t>
  </si>
  <si>
    <t>1.774% £340m index linked bond due June 2042</t>
  </si>
  <si>
    <t>1.774</t>
  </si>
  <si>
    <t>2.08% JPY10,000m bond due February 2043</t>
  </si>
  <si>
    <t>2.08</t>
  </si>
  <si>
    <t>Feb 2043</t>
  </si>
  <si>
    <t>3.625% £250m bond due November 2047</t>
  </si>
  <si>
    <t>3.625</t>
  </si>
  <si>
    <t>Nov 2047</t>
  </si>
  <si>
    <t>4.25% $500m bond due November 2049</t>
  </si>
  <si>
    <t>4.25</t>
  </si>
  <si>
    <t>Nov 2049</t>
  </si>
  <si>
    <t>4.250% $500m Hybrid bond due November 2081</t>
  </si>
  <si>
    <t>Nov 2081</t>
  </si>
  <si>
    <t>4.875% $500m Hybrid bond due November 2081</t>
  </si>
  <si>
    <t>4.875</t>
  </si>
  <si>
    <t>4.25% €850m bond due January 2033</t>
  </si>
  <si>
    <t>Jan 2033</t>
  </si>
  <si>
    <t>8.375% £700m hybrid bond due December 2083</t>
  </si>
  <si>
    <t>8.375</t>
  </si>
  <si>
    <t>Dec 2083</t>
  </si>
  <si>
    <t>3.125% €850m bond due February 2032</t>
  </si>
  <si>
    <t>Feb 2032</t>
  </si>
  <si>
    <t>3.875% €895m bond due January 2034</t>
  </si>
  <si>
    <t>3.875</t>
  </si>
  <si>
    <t>Jan 2034</t>
  </si>
  <si>
    <t>5.625% £350m bond due December 2041</t>
  </si>
  <si>
    <t>5.625</t>
  </si>
  <si>
    <t>Dec 2041</t>
  </si>
  <si>
    <t>5.125% €750m hybrid bond due October 2054</t>
  </si>
  <si>
    <t>Oct 2054</t>
  </si>
  <si>
    <t>3.375% €850m bond due November 2032a</t>
  </si>
  <si>
    <t>Nov 2032</t>
  </si>
  <si>
    <t>3.75% €700m bond due January 2035</t>
  </si>
  <si>
    <t>Jan 2035</t>
  </si>
  <si>
    <t>4.713% NOK1,000m bond due March 2033a</t>
  </si>
  <si>
    <t>4.713</t>
  </si>
  <si>
    <t>Mar 2033</t>
  </si>
  <si>
    <t>6.375% £400m hybrid bond due December 2055e</t>
  </si>
  <si>
    <t>Dec 2055</t>
  </si>
  <si>
    <t>BBB</t>
  </si>
  <si>
    <t>BT.L Credit Rating</t>
  </si>
  <si>
    <t>Linked  Cells</t>
  </si>
  <si>
    <t>3 - Statement Model &amp; Schedules</t>
  </si>
  <si>
    <t>Dividend Policy based on earnings report and forecast based on this guidance "The Board has adopted a new policy to grow the dividend by low to mid single digit percent per annum in FY27 and onwards" page 157 of  financial statement report</t>
  </si>
  <si>
    <t>Valuation Date</t>
  </si>
  <si>
    <t>Date</t>
  </si>
  <si>
    <t xml:space="preserve">BT.L is currently undergoing a cost cutting and cost efficiency  program. </t>
  </si>
  <si>
    <t>I can  assume that the benefits of this initiative  would  be reflected in the forecast period before it normalizes, hence I can forecasst  a modest continued growth in gross profit margin.</t>
  </si>
  <si>
    <t>Source for 10yr Uk Bond Yield: Bloomberg www.bloomberg.com/markets/rates-bonds/government-bonds/uk</t>
  </si>
  <si>
    <t>Maturing Debt Instruments</t>
  </si>
  <si>
    <t>S/N</t>
  </si>
  <si>
    <t>Debt Computations</t>
  </si>
  <si>
    <t>BTBRT / BT 1.500</t>
  </si>
  <si>
    <t>BTBRT / BT 2.125</t>
  </si>
  <si>
    <t>BTBRT / BT 5.125</t>
  </si>
  <si>
    <t>BTBRT / BT 5.750</t>
  </si>
  <si>
    <t>BTBRT / BT 1.125</t>
  </si>
  <si>
    <t>BTBRT / BT 3.250</t>
  </si>
  <si>
    <t>BTBRT / BT 9.625</t>
  </si>
  <si>
    <t>BTBRT / BT 3.750</t>
  </si>
  <si>
    <t>BTBTF / BT 3.875</t>
  </si>
  <si>
    <t>Summary Debt Computations</t>
  </si>
  <si>
    <t>Beginning Value</t>
  </si>
  <si>
    <t>Additional Issues</t>
  </si>
  <si>
    <t>Repayments</t>
  </si>
  <si>
    <t>Maturity Year</t>
  </si>
  <si>
    <t>Year</t>
  </si>
  <si>
    <t>Issued Flag</t>
  </si>
  <si>
    <t>Repayment Flag</t>
  </si>
  <si>
    <t>Circularity</t>
  </si>
  <si>
    <t>Circularity:</t>
  </si>
  <si>
    <t>Interest rate</t>
  </si>
  <si>
    <t>This loan was issued after the finacial statements were released that is why I inputed "2027", changed from 2026</t>
  </si>
  <si>
    <t>Total Maturing Debts</t>
  </si>
  <si>
    <t>Total Interest Expense on Maturing Loans</t>
  </si>
  <si>
    <t>Interest Expense on Total Debt</t>
  </si>
  <si>
    <t>Interest Income on Cash</t>
  </si>
  <si>
    <t>Interest Expense on Revolver</t>
  </si>
  <si>
    <t>Total Net Interest Expense</t>
  </si>
  <si>
    <t>Average Repayment Interest  Rate</t>
  </si>
  <si>
    <t>Coupon rates for other debt instruments</t>
  </si>
  <si>
    <t>Other Debts</t>
  </si>
  <si>
    <t>Total Loans &amp; Borrowings</t>
  </si>
  <si>
    <t>Interest Expense on Other Debt</t>
  </si>
  <si>
    <t>I am assuming no re-financing as there is no guidance on that and no bonds to  be issued stated on the database and reports</t>
  </si>
  <si>
    <t>New Loan Issues</t>
  </si>
  <si>
    <t>Loan Repayments</t>
  </si>
  <si>
    <t>Excess Cash Interest Rate</t>
  </si>
  <si>
    <t>Assumption</t>
  </si>
  <si>
    <t>Assumed Excess Income Interest Spread</t>
  </si>
  <si>
    <t>Maturing Loans &amp; New Issues</t>
  </si>
  <si>
    <t>Cash Available to Revolver</t>
  </si>
  <si>
    <t>Total Cash Available</t>
  </si>
  <si>
    <t>Cash Sweep Computation</t>
  </si>
  <si>
    <t>The revolver was already included  in the total loans and borrowing for the historicals.</t>
  </si>
  <si>
    <t>Ending</t>
  </si>
  <si>
    <t>Undrawn Revolving Credit</t>
  </si>
  <si>
    <t>Revolver Commitment fee</t>
  </si>
  <si>
    <t>Revolving Credit Line (Drawn)</t>
  </si>
  <si>
    <t>`</t>
  </si>
  <si>
    <t>Interest Charge</t>
  </si>
  <si>
    <t>Revolver Interest Charge</t>
  </si>
  <si>
    <t>Revolving Credit Line (Undrawn)</t>
  </si>
  <si>
    <t>Total Revolver Interest Expense</t>
  </si>
  <si>
    <t>The average interest rate on the remaining Long term debts</t>
  </si>
  <si>
    <t>Data from Refinitv Workspace</t>
  </si>
  <si>
    <t>Balance Sheet:</t>
  </si>
  <si>
    <t>Do Not delete</t>
  </si>
  <si>
    <t>Metric</t>
  </si>
  <si>
    <t>Rank</t>
  </si>
  <si>
    <t>Clean Surplus Accounting</t>
  </si>
  <si>
    <t>Judgement</t>
  </si>
  <si>
    <t>Text</t>
  </si>
  <si>
    <t>This model may not account for  the changes in the capital structure, so the WACC may be understated as the debt level of the company reduces.</t>
  </si>
  <si>
    <t xml:space="preserve">BT Cost of Debt </t>
  </si>
  <si>
    <t>Dashboard</t>
  </si>
  <si>
    <t>Inputs &amp; Outputs</t>
  </si>
  <si>
    <t>Main Outputs</t>
  </si>
  <si>
    <t>Net Debt to Total Equity</t>
  </si>
  <si>
    <t xml:space="preserve">Gross Profit Margin </t>
  </si>
  <si>
    <t>Company Market Capitalization</t>
  </si>
  <si>
    <t>Average P/E</t>
  </si>
  <si>
    <t>2027F Earnings</t>
  </si>
  <si>
    <t>Forward EPS</t>
  </si>
  <si>
    <t>x</t>
  </si>
  <si>
    <t>Comparables Valuation</t>
  </si>
  <si>
    <t>Potential Share Price</t>
  </si>
  <si>
    <t>Comparables</t>
  </si>
  <si>
    <t>Main Inputs</t>
  </si>
  <si>
    <t>Perpetual Growth Rate</t>
  </si>
  <si>
    <t>UK GDP Growth Rate</t>
  </si>
  <si>
    <t>Intrinsic Equity Value per Share</t>
  </si>
  <si>
    <t>High</t>
  </si>
  <si>
    <t>Low</t>
  </si>
  <si>
    <t>Comparables (P/E)</t>
  </si>
  <si>
    <t>Share price/share</t>
  </si>
  <si>
    <t>Mid</t>
  </si>
  <si>
    <t>Sensitivity</t>
  </si>
  <si>
    <t>Data</t>
  </si>
  <si>
    <t>Valuation Summary</t>
  </si>
  <si>
    <t>Valuation Ranges</t>
  </si>
  <si>
    <t>Recommendation: Buy</t>
  </si>
  <si>
    <t>SG&amp;A to Revenue (%)</t>
  </si>
  <si>
    <t>Market Data as at</t>
  </si>
  <si>
    <t>Growth rate</t>
  </si>
  <si>
    <t>Intrinsic Equity Value/Share</t>
  </si>
  <si>
    <t>Investment Recommendation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</si>
</sst>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3" formatCode="_(* #,##0.00_);_(* \(#,##0.00\);_(* &quot;-&quot;??_);_(@_)"/>
    <numFmt numFmtId="164" formatCode="dd\-mmm\-yyyy"/>
    <numFmt numFmtId="165" formatCode="#,##0.00000;\-#,##0.00000;#,##0.00000;&quot;--&quot;"/>
    <numFmt numFmtId="166" formatCode="\+#,##0.00000;\-#,##0.00000;#,##0.00000;&quot;--&quot;"/>
    <numFmt numFmtId="167" formatCode="\+#,##0.00000%;\-#,##0.00000%;#,##0.00000%;&quot;--&quot;"/>
    <numFmt numFmtId="168" formatCode="\+#,##0.00%;\-#,##0.00%;#,##0.00%;&quot;--&quot;"/>
    <numFmt numFmtId="169" formatCode="yyyy\-mm\-dd"/>
    <numFmt numFmtId="170" formatCode="0.0000"/>
    <numFmt numFmtId="171" formatCode="0.0%"/>
    <numFmt numFmtId="172" formatCode="#,##0.0&quot;x&quot;"/>
    <numFmt numFmtId="173" formatCode="dd\-mm\-yyyy"/>
    <numFmt numFmtId="174" formatCode="#,##0.0"/>
    <numFmt numFmtId="175" formatCode="0\A"/>
    <numFmt numFmtId="176" formatCode="0\F"/>
    <numFmt numFmtId="177" formatCode="[&gt;=100]##,##0.0\%;[&lt;=-100]\-##,##0.0\%;##,##0.0\%"/>
    <numFmt numFmtId="178" formatCode="#,##0;\-#,##0;#,##0;&quot;--&quot;"/>
    <numFmt numFmtId="179" formatCode="#,##0.0##;\-#,##0.0##;0;&quot;--&quot;"/>
    <numFmt numFmtId="180" formatCode="#,##0.0##;\-#,##0.0##;&quot;--&quot;;&quot;--&quot;"/>
    <numFmt numFmtId="181" formatCode="##0.0####;\-##0.0####;&quot;--&quot;;&quot;--&quot;"/>
    <numFmt numFmtId="182" formatCode="#,##0.0%"/>
    <numFmt numFmtId="183" formatCode="0.00&quot;x&quot;"/>
    <numFmt numFmtId="184" formatCode="[=1]&quot;On&quot;;[=0]&quot;Off&quot;;General"/>
    <numFmt numFmtId="185" formatCode="[=1]&quot;On&quot;;[=2]&quot;Off&quot;;General"/>
    <numFmt numFmtId="186" formatCode="#,##0;\(#,##0\);\-"/>
    <numFmt numFmtId="187" formatCode="m/d/yyyy;@"/>
    <numFmt numFmtId="188" formatCode="[$-409]d\-mmm\-yyyy;@"/>
  </numFmts>
  <fonts count="39"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sz val="40"/>
      <color theme="1"/>
      <name val="Aptos Narrow"/>
      <family val="2"/>
      <scheme val="minor"/>
    </font>
    <font>
      <sz val="16"/>
      <color theme="1"/>
      <name val="Aptos Narrow"/>
      <family val="2"/>
      <scheme val="minor"/>
    </font>
    <font>
      <b/>
      <sz val="10"/>
      <color rgb="FF000000"/>
      <name val="Calibri"/>
      <family val="2"/>
    </font>
    <font>
      <sz val="10"/>
      <color rgb="FF000000"/>
      <name val="Calibri"/>
      <family val="2"/>
    </font>
    <font>
      <sz val="11"/>
      <color rgb="FF000000"/>
      <name val="Calibri"/>
      <family val="2"/>
    </font>
    <font>
      <sz val="26"/>
      <color theme="1"/>
      <name val="Aptos Narrow"/>
      <family val="2"/>
      <scheme val="minor"/>
    </font>
    <font>
      <b/>
      <sz val="13"/>
      <color theme="3" tint="0.499984740745262"/>
      <name val="Aptos Narrow"/>
      <family val="2"/>
      <scheme val="minor"/>
    </font>
    <font>
      <sz val="11"/>
      <color theme="3" tint="0.499984740745262"/>
      <name val="Aptos Narrow"/>
      <family val="2"/>
      <scheme val="minor"/>
    </font>
    <font>
      <sz val="11"/>
      <color theme="2" tint="-0.499984740745262"/>
      <name val="Aptos Narrow"/>
      <family val="2"/>
      <scheme val="minor"/>
    </font>
    <font>
      <sz val="20"/>
      <color theme="1"/>
      <name val="Aptos Narrow"/>
      <family val="2"/>
      <scheme val="minor"/>
    </font>
    <font>
      <u/>
      <sz val="11"/>
      <color theme="10"/>
      <name val="Aptos Narrow"/>
      <family val="2"/>
      <scheme val="minor"/>
    </font>
    <font>
      <b/>
      <sz val="10"/>
      <color rgb="FFFFFFFF"/>
      <name val="Calibri"/>
      <family val="2"/>
    </font>
    <font>
      <sz val="10"/>
      <color rgb="FFFFFFFF"/>
      <name val="Calibri"/>
      <family val="2"/>
    </font>
    <font>
      <b/>
      <sz val="10"/>
      <color rgb="FF334BFF"/>
      <name val="Calibri"/>
      <family val="2"/>
    </font>
    <font>
      <sz val="10"/>
      <color rgb="FFF5475B"/>
      <name val="Calibri"/>
      <family val="2"/>
    </font>
    <font>
      <b/>
      <sz val="11"/>
      <color theme="3" tint="0.499984740745262"/>
      <name val="Aptos Narrow"/>
      <family val="2"/>
      <scheme val="minor"/>
    </font>
    <font>
      <sz val="11"/>
      <color theme="2" tint="-0.499984740745262"/>
      <name val="Aptos Narrow"/>
      <family val="2"/>
    </font>
    <font>
      <b/>
      <sz val="11"/>
      <color rgb="FF000000"/>
      <name val="Calibri"/>
      <family val="2"/>
    </font>
    <font>
      <b/>
      <sz val="36"/>
      <color theme="3"/>
      <name val="Aptos Display"/>
      <family val="2"/>
      <scheme val="major"/>
    </font>
    <font>
      <b/>
      <u val="singleAccounting"/>
      <sz val="11"/>
      <color theme="1"/>
      <name val="Aptos Narrow"/>
      <family val="2"/>
      <scheme val="minor"/>
    </font>
    <font>
      <b/>
      <sz val="11"/>
      <color theme="1"/>
      <name val="Aptos Narrow"/>
      <family val="2"/>
      <charset val="204"/>
      <scheme val="minor"/>
    </font>
    <font>
      <sz val="11"/>
      <color theme="1"/>
      <name val="Aptos Narrow"/>
      <family val="2"/>
      <charset val="204"/>
      <scheme val="minor"/>
    </font>
    <font>
      <b/>
      <u/>
      <sz val="14"/>
      <color theme="3"/>
      <name val="Aptos Narrow"/>
      <family val="2"/>
      <scheme val="minor"/>
    </font>
    <font>
      <i/>
      <sz val="9"/>
      <color rgb="FF7F7F7F"/>
      <name val="Aptos Narrow"/>
      <family val="2"/>
      <scheme val="minor"/>
    </font>
    <font>
      <b/>
      <sz val="11"/>
      <color theme="0"/>
      <name val="Aptos Narrow"/>
      <family val="2"/>
      <scheme val="minor"/>
    </font>
    <font>
      <sz val="10"/>
      <name val="Calibri"/>
      <family val="2"/>
    </font>
    <font>
      <b/>
      <sz val="11"/>
      <color theme="2" tint="-0.499984740745262"/>
      <name val="Aptos Narrow"/>
      <family val="2"/>
      <scheme val="minor"/>
    </font>
    <font>
      <b/>
      <sz val="14"/>
      <color theme="1"/>
      <name val="Aptos Narrow"/>
      <family val="2"/>
      <scheme val="minor"/>
    </font>
    <font>
      <b/>
      <sz val="16"/>
      <color theme="1"/>
      <name val="Aptos Narrow"/>
      <family val="2"/>
      <scheme val="minor"/>
    </font>
    <font>
      <b/>
      <sz val="18"/>
      <color theme="1"/>
      <name val="Aptos Narrow"/>
      <family val="2"/>
      <scheme val="minor"/>
    </font>
    <font>
      <sz val="11"/>
      <color rgb="FFFF0000"/>
      <name val="Aptos Narrow"/>
      <family val="2"/>
      <scheme val="minor"/>
    </font>
    <font>
      <i/>
      <sz val="11"/>
      <color theme="1"/>
      <name val="Aptos Narrow"/>
      <family val="2"/>
      <scheme val="minor"/>
    </font>
    <font>
      <b/>
      <sz val="11"/>
      <color theme="0"/>
      <name val="Aptos Narrow"/>
      <family val="2"/>
      <charset val="204"/>
      <scheme val="minor"/>
    </font>
    <font>
      <b/>
      <sz val="11"/>
      <color rgb="FFFF0000"/>
      <name val="Aptos Narrow"/>
      <family val="2"/>
      <scheme val="minor"/>
    </font>
    <font>
      <b/>
      <sz val="16"/>
      <color theme="3"/>
      <name val="Aptos Narrow"/>
      <family val="2"/>
      <scheme val="minor"/>
    </font>
  </fonts>
  <fills count="28">
    <fill>
      <patternFill patternType="none"/>
    </fill>
    <fill>
      <patternFill patternType="gray125"/>
    </fill>
    <fill>
      <patternFill patternType="solid">
        <fgColor rgb="FFA6A6A6"/>
        <bgColor rgb="FFA6A6A6"/>
      </patternFill>
    </fill>
    <fill>
      <patternFill patternType="solid">
        <fgColor theme="3" tint="0.499984740745262"/>
        <bgColor indexed="64"/>
      </patternFill>
    </fill>
    <fill>
      <patternFill patternType="solid">
        <fgColor theme="0" tint="-4.9989318521683403E-2"/>
        <bgColor indexed="64"/>
      </patternFill>
    </fill>
    <fill>
      <patternFill patternType="solid">
        <fgColor theme="3" tint="0.89996032593768116"/>
        <bgColor indexed="64"/>
      </patternFill>
    </fill>
    <fill>
      <patternFill patternType="solid">
        <fgColor theme="3" tint="0.749992370372631"/>
        <bgColor indexed="64"/>
      </patternFill>
    </fill>
    <fill>
      <patternFill patternType="solid">
        <fgColor rgb="FF334BFF"/>
        <bgColor rgb="FF334BFF"/>
      </patternFill>
    </fill>
    <fill>
      <patternFill patternType="solid">
        <fgColor rgb="FFD5D8DB"/>
        <bgColor rgb="FFD5D8DB"/>
      </patternFill>
    </fill>
    <fill>
      <patternFill patternType="solid">
        <fgColor rgb="FFFFFF00"/>
        <bgColor indexed="64"/>
      </patternFill>
    </fill>
    <fill>
      <patternFill patternType="solid">
        <fgColor theme="0"/>
        <bgColor indexed="64"/>
      </patternFill>
    </fill>
    <fill>
      <patternFill patternType="solid">
        <fgColor theme="2" tint="-0.89999084444715716"/>
        <bgColor indexed="64"/>
      </patternFill>
    </fill>
    <fill>
      <patternFill patternType="solid">
        <fgColor rgb="FF808080"/>
        <bgColor rgb="FF808080"/>
      </patternFill>
    </fill>
    <fill>
      <patternFill patternType="solid">
        <fgColor rgb="FFD9D9D9"/>
        <bgColor rgb="FFD9D9D9"/>
      </patternFill>
    </fill>
    <fill>
      <patternFill patternType="solid">
        <fgColor rgb="FFFFFF00"/>
        <bgColor rgb="FF808080"/>
      </patternFill>
    </fill>
    <fill>
      <patternFill patternType="solid">
        <fgColor rgb="FFFF0000"/>
        <bgColor indexed="64"/>
      </patternFill>
    </fill>
    <fill>
      <patternFill patternType="darkUp">
        <bgColor theme="5" tint="0.39994506668294322"/>
      </patternFill>
    </fill>
    <fill>
      <patternFill patternType="solid">
        <fgColor theme="0" tint="-0.249977111117893"/>
        <bgColor indexed="64"/>
      </patternFill>
    </fill>
    <fill>
      <patternFill patternType="solid">
        <fgColor rgb="FFA5A5A5"/>
      </patternFill>
    </fill>
    <fill>
      <patternFill patternType="solid">
        <fgColor rgb="FF334BFF"/>
      </patternFill>
    </fill>
    <fill>
      <patternFill patternType="solid">
        <fgColor rgb="FFFFFF00"/>
        <bgColor rgb="FFD9D9D9"/>
      </patternFill>
    </fill>
    <fill>
      <patternFill patternType="darkGrid">
        <fgColor theme="0" tint="-0.24994659260841701"/>
        <bgColor indexed="65"/>
      </patternFill>
    </fill>
    <fill>
      <patternFill patternType="darkGrid">
        <fgColor theme="0"/>
      </patternFill>
    </fill>
    <fill>
      <patternFill patternType="darkDown">
        <fgColor theme="0" tint="-0.499984740745262"/>
        <bgColor indexed="65"/>
      </patternFill>
    </fill>
    <fill>
      <patternFill patternType="solid">
        <fgColor theme="1" tint="0.249977111117893"/>
        <bgColor indexed="64"/>
      </patternFill>
    </fill>
    <fill>
      <patternFill patternType="solid">
        <fgColor theme="1" tint="0.14999847407452621"/>
        <bgColor indexed="64"/>
      </patternFill>
    </fill>
    <fill>
      <patternFill patternType="solid">
        <fgColor theme="1" tint="0.499984740745262"/>
        <bgColor indexed="64"/>
      </patternFill>
    </fill>
    <fill>
      <patternFill patternType="solid">
        <fgColor theme="2" tint="-0.249977111117893"/>
        <bgColor indexed="64"/>
      </patternFill>
    </fill>
  </fills>
  <borders count="46">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thick">
        <color theme="1" tint="4.9989318521683403E-2"/>
      </bottom>
      <diagonal/>
    </border>
    <border>
      <left style="dotted">
        <color theme="1"/>
      </left>
      <right style="dotted">
        <color theme="1"/>
      </right>
      <top style="dotted">
        <color theme="1"/>
      </top>
      <bottom style="dotted">
        <color theme="1"/>
      </bottom>
      <diagonal/>
    </border>
    <border>
      <left/>
      <right/>
      <top/>
      <bottom style="thick">
        <color rgb="FF334BFF"/>
      </bottom>
      <diagonal/>
    </border>
    <border>
      <left style="thin">
        <color rgb="FF334BFF"/>
      </left>
      <right style="thin">
        <color rgb="FF334BFF"/>
      </right>
      <top style="thin">
        <color rgb="FF334BFF"/>
      </top>
      <bottom style="thin">
        <color rgb="FF334BFF"/>
      </bottom>
      <diagonal/>
    </border>
    <border>
      <left style="thin">
        <color rgb="FFD5D8DB"/>
      </left>
      <right style="thin">
        <color rgb="FFD5D8DB"/>
      </right>
      <top style="thin">
        <color rgb="FFD5D8DB"/>
      </top>
      <bottom style="thin">
        <color rgb="FFD5D8DB"/>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ck">
        <color rgb="FF808080"/>
      </bottom>
      <diagonal/>
    </border>
    <border>
      <left style="dotted">
        <color theme="1"/>
      </left>
      <right style="dotted">
        <color theme="1"/>
      </right>
      <top style="thin">
        <color indexed="64"/>
      </top>
      <bottom style="dotted">
        <color theme="1"/>
      </bottom>
      <diagonal/>
    </border>
    <border>
      <left style="dotted">
        <color theme="1"/>
      </left>
      <right style="thin">
        <color indexed="64"/>
      </right>
      <top style="thin">
        <color indexed="64"/>
      </top>
      <bottom style="dotted">
        <color theme="1"/>
      </bottom>
      <diagonal/>
    </border>
    <border>
      <left style="dotted">
        <color theme="1"/>
      </left>
      <right style="thin">
        <color indexed="64"/>
      </right>
      <top style="dotted">
        <color theme="1"/>
      </top>
      <bottom style="dotted">
        <color theme="1"/>
      </bottom>
      <diagonal/>
    </border>
    <border>
      <left style="dotted">
        <color theme="1"/>
      </left>
      <right style="dotted">
        <color theme="1"/>
      </right>
      <top style="dotted">
        <color theme="1"/>
      </top>
      <bottom style="thin">
        <color indexed="64"/>
      </bottom>
      <diagonal/>
    </border>
    <border>
      <left style="dotted">
        <color theme="1"/>
      </left>
      <right style="thin">
        <color indexed="64"/>
      </right>
      <top style="dotted">
        <color theme="1"/>
      </top>
      <bottom style="thin">
        <color indexed="64"/>
      </bottom>
      <diagonal/>
    </border>
    <border>
      <left/>
      <right/>
      <top style="thick">
        <color theme="1" tint="4.9989318521683403E-2"/>
      </top>
      <bottom style="thin">
        <color indexed="64"/>
      </bottom>
      <diagonal/>
    </border>
    <border>
      <left/>
      <right/>
      <top style="thin">
        <color indexed="64"/>
      </top>
      <bottom style="thin">
        <color indexed="64"/>
      </bottom>
      <diagonal/>
    </border>
    <border>
      <left style="dotted">
        <color theme="1"/>
      </left>
      <right/>
      <top style="thin">
        <color indexed="64"/>
      </top>
      <bottom/>
      <diagonal/>
    </border>
    <border>
      <left/>
      <right/>
      <top style="thin">
        <color indexed="64"/>
      </top>
      <bottom style="thin">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FFFFFF"/>
      </left>
      <right style="thin">
        <color rgb="FFFFFFFF"/>
      </right>
      <top style="thin">
        <color rgb="FFFFFFFF"/>
      </top>
      <bottom style="thin">
        <color rgb="FFFFFFFF"/>
      </bottom>
      <diagonal/>
    </border>
    <border>
      <left style="thin">
        <color rgb="FF7F7F7F"/>
      </left>
      <right style="thin">
        <color indexed="64"/>
      </right>
      <top style="thin">
        <color indexed="64"/>
      </top>
      <bottom style="thin">
        <color rgb="FF7F7F7F"/>
      </bottom>
      <diagonal/>
    </border>
    <border>
      <left style="dotted">
        <color theme="1"/>
      </left>
      <right style="dotted">
        <color theme="1"/>
      </right>
      <top style="dotted">
        <color theme="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8">
    <xf numFmtId="43" fontId="0" fillId="0" borderId="0" applyFont="0" applyFill="0" applyBorder="0" applyAlignment="0" applyProtection="0"/>
    <xf numFmtId="171" fontId="1" fillId="0" borderId="0" applyFont="0" applyFill="0" applyBorder="0" applyAlignment="0" applyProtection="0"/>
    <xf numFmtId="0" fontId="8" fillId="0" borderId="0" applyNumberFormat="0" applyBorder="0" applyAlignment="0"/>
    <xf numFmtId="0" fontId="22" fillId="0" borderId="0" applyNumberFormat="0" applyFill="0" applyBorder="0" applyAlignment="0" applyProtection="0"/>
    <xf numFmtId="0" fontId="38" fillId="0" borderId="5" applyNumberFormat="0" applyFill="0" applyAlignment="0" applyProtection="0"/>
    <xf numFmtId="0" fontId="10" fillId="0" borderId="8" applyNumberFormat="0" applyFill="0" applyAlignment="0" applyProtection="0"/>
    <xf numFmtId="0" fontId="26" fillId="0" borderId="0" applyNumberFormat="0" applyFill="0" applyAlignment="0" applyProtection="0"/>
    <xf numFmtId="0" fontId="11" fillId="4" borderId="6" applyNumberFormat="0" applyAlignment="0" applyProtection="0"/>
    <xf numFmtId="0" fontId="1" fillId="5" borderId="9" applyNumberFormat="0" applyAlignment="0" applyProtection="0"/>
    <xf numFmtId="0" fontId="27" fillId="0" borderId="0" applyNumberFormat="0" applyFill="0" applyBorder="0" applyAlignment="0" applyProtection="0"/>
    <xf numFmtId="0" fontId="2" fillId="0" borderId="7" applyNumberFormat="0" applyFill="0" applyAlignment="0" applyProtection="0"/>
    <xf numFmtId="0" fontId="11" fillId="0" borderId="0" applyNumberFormat="0" applyFill="0" applyBorder="0" applyAlignment="0" applyProtection="0"/>
    <xf numFmtId="172" fontId="1" fillId="0" borderId="0" applyFont="0" applyFill="0" applyBorder="0" applyAlignment="0" applyProtection="0"/>
    <xf numFmtId="43" fontId="2" fillId="0" borderId="4" applyFill="0" applyAlignment="0" applyProtection="0"/>
    <xf numFmtId="0" fontId="12" fillId="0" borderId="0" applyNumberFormat="0" applyFill="0" applyBorder="0" applyProtection="0">
      <alignment horizontal="center" vertical="center"/>
    </xf>
    <xf numFmtId="43" fontId="14" fillId="0" borderId="0" applyNumberFormat="0" applyFill="0" applyBorder="0" applyAlignment="0" applyProtection="0"/>
    <xf numFmtId="0" fontId="1" fillId="0" borderId="0"/>
    <xf numFmtId="0" fontId="1" fillId="0" borderId="0"/>
    <xf numFmtId="43" fontId="1" fillId="16" borderId="0" applyNumberFormat="0" applyFont="0" applyBorder="0" applyAlignment="0" applyProtection="0"/>
    <xf numFmtId="0" fontId="1" fillId="0" borderId="0"/>
    <xf numFmtId="0" fontId="1" fillId="0" borderId="0"/>
    <xf numFmtId="0" fontId="1" fillId="0" borderId="0"/>
    <xf numFmtId="0" fontId="1" fillId="0" borderId="0"/>
    <xf numFmtId="0" fontId="1" fillId="23" borderId="0" applyNumberFormat="0" applyFont="0" applyBorder="0" applyAlignment="0" applyProtection="0"/>
    <xf numFmtId="0" fontId="1" fillId="0" borderId="0"/>
    <xf numFmtId="0" fontId="28" fillId="18" borderId="34" applyNumberFormat="0" applyAlignment="0" applyProtection="0"/>
    <xf numFmtId="0" fontId="1" fillId="21" borderId="0" applyFont="0" applyBorder="0" applyProtection="0">
      <alignment horizontal="center"/>
    </xf>
    <xf numFmtId="0" fontId="1" fillId="22" borderId="3" applyFont="0" applyProtection="0">
      <alignment horizontal="center"/>
    </xf>
  </cellStyleXfs>
  <cellXfs count="333">
    <xf numFmtId="43" fontId="0" fillId="0" borderId="0" xfId="0"/>
    <xf numFmtId="43" fontId="6" fillId="2" borderId="1" xfId="0" applyFont="1" applyFill="1" applyBorder="1" applyAlignment="1">
      <alignment horizontal="right"/>
    </xf>
    <xf numFmtId="164" fontId="7" fillId="0" borderId="2" xfId="0" applyNumberFormat="1" applyFont="1" applyBorder="1"/>
    <xf numFmtId="165" fontId="7" fillId="0" borderId="2" xfId="0" applyNumberFormat="1" applyFont="1" applyBorder="1"/>
    <xf numFmtId="166" fontId="7" fillId="0" borderId="2" xfId="0" applyNumberFormat="1" applyFont="1" applyBorder="1"/>
    <xf numFmtId="167" fontId="7" fillId="0" borderId="2" xfId="0" applyNumberFormat="1" applyFont="1" applyBorder="1"/>
    <xf numFmtId="10" fontId="0" fillId="0" borderId="0" xfId="0" applyNumberFormat="1"/>
    <xf numFmtId="43" fontId="6" fillId="2" borderId="0" xfId="0" applyFont="1" applyFill="1" applyAlignment="1">
      <alignment horizontal="right"/>
    </xf>
    <xf numFmtId="0" fontId="2" fillId="0" borderId="3" xfId="2" applyFont="1" applyBorder="1" applyAlignment="1">
      <alignment horizontal="center" vertical="top"/>
    </xf>
    <xf numFmtId="169" fontId="8" fillId="0" borderId="0" xfId="2" applyNumberFormat="1"/>
    <xf numFmtId="170" fontId="8" fillId="0" borderId="0" xfId="2" applyNumberFormat="1"/>
    <xf numFmtId="10" fontId="0" fillId="0" borderId="0" xfId="1" applyNumberFormat="1" applyFont="1"/>
    <xf numFmtId="43" fontId="3" fillId="0" borderId="0" xfId="0" applyFont="1"/>
    <xf numFmtId="167" fontId="0" fillId="0" borderId="0" xfId="0" applyNumberFormat="1"/>
    <xf numFmtId="171" fontId="0" fillId="0" borderId="0" xfId="1" applyFont="1"/>
    <xf numFmtId="2" fontId="0" fillId="0" borderId="0" xfId="0" applyNumberFormat="1"/>
    <xf numFmtId="171" fontId="0" fillId="0" borderId="0" xfId="0" applyNumberFormat="1"/>
    <xf numFmtId="43" fontId="2" fillId="0" borderId="0" xfId="0" applyFont="1"/>
    <xf numFmtId="43" fontId="2" fillId="0" borderId="4" xfId="0" applyFont="1" applyBorder="1"/>
    <xf numFmtId="171" fontId="2" fillId="0" borderId="4" xfId="1" applyFont="1" applyBorder="1"/>
    <xf numFmtId="43" fontId="3" fillId="3" borderId="0" xfId="0" applyFont="1" applyFill="1"/>
    <xf numFmtId="43" fontId="38" fillId="0" borderId="5" xfId="4" applyNumberFormat="1"/>
    <xf numFmtId="43" fontId="0" fillId="6" borderId="0" xfId="0" applyFill="1"/>
    <xf numFmtId="43" fontId="9" fillId="6" borderId="0" xfId="0" applyFont="1" applyFill="1"/>
    <xf numFmtId="43" fontId="22" fillId="6" borderId="0" xfId="3" applyNumberFormat="1" applyFill="1"/>
    <xf numFmtId="43" fontId="13" fillId="6" borderId="0" xfId="0" applyFont="1" applyFill="1"/>
    <xf numFmtId="43" fontId="15" fillId="7" borderId="10" xfId="0" applyFont="1" applyFill="1" applyBorder="1"/>
    <xf numFmtId="43" fontId="16" fillId="7" borderId="10" xfId="0" applyFont="1" applyFill="1" applyBorder="1"/>
    <xf numFmtId="43" fontId="7" fillId="0" borderId="0" xfId="0" applyFont="1"/>
    <xf numFmtId="43" fontId="17" fillId="0" borderId="0" xfId="0" applyFont="1"/>
    <xf numFmtId="173" fontId="7" fillId="0" borderId="0" xfId="0" applyNumberFormat="1" applyFont="1" applyAlignment="1">
      <alignment horizontal="left"/>
    </xf>
    <xf numFmtId="43" fontId="16" fillId="7" borderId="11" xfId="0" applyFont="1" applyFill="1" applyBorder="1"/>
    <xf numFmtId="43" fontId="16" fillId="7" borderId="11" xfId="0" applyFont="1" applyFill="1" applyBorder="1" applyAlignment="1">
      <alignment horizontal="center" vertical="center" wrapText="1"/>
    </xf>
    <xf numFmtId="43" fontId="7" fillId="0" borderId="12" xfId="0" applyFont="1" applyBorder="1" applyAlignment="1">
      <alignment horizontal="left" vertical="center"/>
    </xf>
    <xf numFmtId="173" fontId="7" fillId="0" borderId="12" xfId="0" applyNumberFormat="1" applyFont="1" applyBorder="1" applyAlignment="1">
      <alignment horizontal="center" vertical="center" wrapText="1"/>
    </xf>
    <xf numFmtId="43" fontId="7" fillId="0" borderId="12" xfId="0" applyFont="1" applyBorder="1" applyAlignment="1">
      <alignment horizontal="center" vertical="center" wrapText="1"/>
    </xf>
    <xf numFmtId="43" fontId="16" fillId="7" borderId="11" xfId="0" applyFont="1" applyFill="1" applyBorder="1" applyAlignment="1">
      <alignment wrapText="1"/>
    </xf>
    <xf numFmtId="43" fontId="16" fillId="7" borderId="11" xfId="0" applyFont="1" applyFill="1" applyBorder="1" applyAlignment="1">
      <alignment horizontal="left" vertical="center" wrapText="1"/>
    </xf>
    <xf numFmtId="43" fontId="6" fillId="8" borderId="12" xfId="0" applyFont="1" applyFill="1" applyBorder="1" applyAlignment="1">
      <alignment horizontal="left" vertical="center" wrapText="1"/>
    </xf>
    <xf numFmtId="43" fontId="0" fillId="8" borderId="12" xfId="0" applyFill="1" applyBorder="1" applyAlignment="1">
      <alignment wrapText="1"/>
    </xf>
    <xf numFmtId="43" fontId="7" fillId="0" borderId="12" xfId="0" applyFont="1" applyBorder="1" applyAlignment="1">
      <alignment vertical="center" wrapText="1"/>
    </xf>
    <xf numFmtId="3" fontId="7" fillId="0" borderId="12" xfId="0" applyNumberFormat="1" applyFont="1" applyBorder="1" applyAlignment="1">
      <alignment horizontal="right" vertical="center" wrapText="1"/>
    </xf>
    <xf numFmtId="43" fontId="7" fillId="0" borderId="12" xfId="0" applyFont="1" applyBorder="1" applyAlignment="1">
      <alignment horizontal="left" vertical="center" wrapText="1" indent="2"/>
    </xf>
    <xf numFmtId="43" fontId="6" fillId="0" borderId="12" xfId="0" applyFont="1" applyBorder="1" applyAlignment="1">
      <alignment vertical="center" wrapText="1"/>
    </xf>
    <xf numFmtId="43" fontId="7" fillId="0" borderId="12" xfId="0" applyFont="1" applyBorder="1" applyAlignment="1">
      <alignment horizontal="left" vertical="center" wrapText="1" indent="4"/>
    </xf>
    <xf numFmtId="174" fontId="7" fillId="0" borderId="12" xfId="0" applyNumberFormat="1" applyFont="1" applyBorder="1" applyAlignment="1">
      <alignment horizontal="right" vertical="center" wrapText="1"/>
    </xf>
    <xf numFmtId="174" fontId="18" fillId="0" borderId="12" xfId="0" applyNumberFormat="1" applyFont="1" applyBorder="1" applyAlignment="1">
      <alignment horizontal="right" vertical="center" wrapText="1"/>
    </xf>
    <xf numFmtId="4" fontId="7" fillId="0" borderId="12" xfId="0" applyNumberFormat="1" applyFont="1" applyBorder="1" applyAlignment="1">
      <alignment horizontal="right" vertical="center" wrapText="1"/>
    </xf>
    <xf numFmtId="4" fontId="18" fillId="0" borderId="12" xfId="0" applyNumberFormat="1" applyFont="1" applyBorder="1" applyAlignment="1">
      <alignment horizontal="right" vertical="center" wrapText="1"/>
    </xf>
    <xf numFmtId="43" fontId="7" fillId="0" borderId="12" xfId="0" applyFont="1" applyBorder="1" applyAlignment="1">
      <alignment horizontal="left" vertical="center" wrapText="1" indent="6"/>
    </xf>
    <xf numFmtId="43" fontId="7" fillId="0" borderId="12" xfId="0" applyFont="1" applyBorder="1" applyAlignment="1">
      <alignment horizontal="left" vertical="center" wrapText="1" indent="8"/>
    </xf>
    <xf numFmtId="43" fontId="6" fillId="9" borderId="12" xfId="0" applyFont="1" applyFill="1" applyBorder="1" applyAlignment="1">
      <alignment vertical="center" wrapText="1"/>
    </xf>
    <xf numFmtId="43" fontId="7" fillId="9" borderId="12" xfId="0" applyFont="1" applyFill="1" applyBorder="1" applyAlignment="1">
      <alignment vertical="center" wrapText="1"/>
    </xf>
    <xf numFmtId="43" fontId="7" fillId="9" borderId="12" xfId="0" applyFont="1" applyFill="1" applyBorder="1" applyAlignment="1">
      <alignment horizontal="left" vertical="center" wrapText="1" indent="2"/>
    </xf>
    <xf numFmtId="43" fontId="7" fillId="10" borderId="12" xfId="0" applyFont="1" applyFill="1" applyBorder="1" applyAlignment="1">
      <alignment horizontal="left" vertical="center" wrapText="1" indent="2"/>
    </xf>
    <xf numFmtId="43" fontId="7" fillId="9" borderId="12" xfId="0" applyFont="1" applyFill="1" applyBorder="1" applyAlignment="1">
      <alignment horizontal="left" vertical="center" wrapText="1" indent="4"/>
    </xf>
    <xf numFmtId="43" fontId="0" fillId="11" borderId="0" xfId="0" applyFill="1"/>
    <xf numFmtId="43" fontId="2" fillId="0" borderId="7" xfId="10" applyNumberFormat="1"/>
    <xf numFmtId="43" fontId="10" fillId="0" borderId="8" xfId="5" applyNumberFormat="1"/>
    <xf numFmtId="0" fontId="11" fillId="0" borderId="0" xfId="11"/>
    <xf numFmtId="0" fontId="11" fillId="4" borderId="6" xfId="7"/>
    <xf numFmtId="0" fontId="1" fillId="5" borderId="9" xfId="8"/>
    <xf numFmtId="0" fontId="12" fillId="0" borderId="0" xfId="14">
      <alignment horizontal="center" vertical="center"/>
    </xf>
    <xf numFmtId="43" fontId="2" fillId="0" borderId="4" xfId="13"/>
    <xf numFmtId="43" fontId="26" fillId="0" borderId="0" xfId="6" applyNumberFormat="1"/>
    <xf numFmtId="0" fontId="27" fillId="0" borderId="0" xfId="9" applyAlignment="1">
      <alignment horizontal="center" vertical="center"/>
    </xf>
    <xf numFmtId="43" fontId="0" fillId="0" borderId="0" xfId="0" applyAlignment="1">
      <alignment wrapText="1"/>
    </xf>
    <xf numFmtId="43" fontId="1" fillId="5" borderId="9" xfId="8" applyNumberFormat="1"/>
    <xf numFmtId="43" fontId="14" fillId="0" borderId="0" xfId="15"/>
    <xf numFmtId="171" fontId="11" fillId="4" borderId="6" xfId="7" applyNumberFormat="1"/>
    <xf numFmtId="43" fontId="27" fillId="0" borderId="0" xfId="9" applyNumberFormat="1"/>
    <xf numFmtId="43" fontId="27" fillId="0" borderId="0" xfId="9" applyNumberFormat="1" applyAlignment="1">
      <alignment wrapText="1"/>
    </xf>
    <xf numFmtId="43" fontId="11" fillId="0" borderId="0" xfId="11" applyNumberFormat="1"/>
    <xf numFmtId="43" fontId="19" fillId="0" borderId="7" xfId="11" applyNumberFormat="1" applyFont="1" applyBorder="1"/>
    <xf numFmtId="171" fontId="1" fillId="5" borderId="9" xfId="8" applyNumberFormat="1"/>
    <xf numFmtId="43" fontId="11" fillId="4" borderId="6" xfId="7" applyNumberFormat="1"/>
    <xf numFmtId="0" fontId="2" fillId="0" borderId="0" xfId="0" applyNumberFormat="1" applyFont="1"/>
    <xf numFmtId="43" fontId="12" fillId="0" borderId="0" xfId="14" applyNumberFormat="1">
      <alignment horizontal="center" vertical="center"/>
    </xf>
    <xf numFmtId="171" fontId="11" fillId="4" borderId="6" xfId="1" applyFont="1" applyFill="1" applyBorder="1"/>
    <xf numFmtId="177" fontId="7" fillId="0" borderId="12" xfId="0" applyNumberFormat="1" applyFont="1" applyBorder="1" applyAlignment="1">
      <alignment horizontal="right" vertical="center" wrapText="1"/>
    </xf>
    <xf numFmtId="177" fontId="18" fillId="0" borderId="12" xfId="0" applyNumberFormat="1" applyFont="1" applyBorder="1" applyAlignment="1">
      <alignment horizontal="right" vertical="center" wrapText="1"/>
    </xf>
    <xf numFmtId="3" fontId="18" fillId="0" borderId="12" xfId="0" applyNumberFormat="1" applyFont="1" applyBorder="1" applyAlignment="1">
      <alignment horizontal="right" vertical="center" wrapText="1"/>
    </xf>
    <xf numFmtId="43" fontId="0" fillId="0" borderId="13" xfId="0" applyBorder="1"/>
    <xf numFmtId="43" fontId="0" fillId="0" borderId="4" xfId="0" applyBorder="1"/>
    <xf numFmtId="43" fontId="12" fillId="0" borderId="4" xfId="14" applyNumberFormat="1" applyBorder="1">
      <alignment horizontal="center" vertical="center"/>
    </xf>
    <xf numFmtId="43" fontId="0" fillId="0" borderId="15" xfId="0" applyBorder="1"/>
    <xf numFmtId="43" fontId="0" fillId="0" borderId="16" xfId="0" applyBorder="1"/>
    <xf numFmtId="43" fontId="0" fillId="0" borderId="0" xfId="0" applyBorder="1"/>
    <xf numFmtId="43" fontId="12" fillId="0" borderId="0" xfId="14" applyNumberFormat="1" applyBorder="1">
      <alignment horizontal="center" vertical="center"/>
    </xf>
    <xf numFmtId="43" fontId="0" fillId="0" borderId="17" xfId="0" applyBorder="1"/>
    <xf numFmtId="43" fontId="0" fillId="0" borderId="18" xfId="0" applyBorder="1"/>
    <xf numFmtId="43" fontId="12" fillId="0" borderId="13" xfId="14" applyNumberFormat="1" applyBorder="1">
      <alignment horizontal="center" vertical="center"/>
    </xf>
    <xf numFmtId="43" fontId="0" fillId="0" borderId="19" xfId="0" applyBorder="1"/>
    <xf numFmtId="43" fontId="21" fillId="0" borderId="0" xfId="0" applyFont="1"/>
    <xf numFmtId="43" fontId="21" fillId="0" borderId="0" xfId="0" applyFont="1" applyAlignment="1">
      <alignment horizontal="right"/>
    </xf>
    <xf numFmtId="178" fontId="0" fillId="0" borderId="0" xfId="0" applyNumberFormat="1" applyAlignment="1">
      <alignment horizontal="right"/>
    </xf>
    <xf numFmtId="43" fontId="0" fillId="0" borderId="20" xfId="0" applyBorder="1"/>
    <xf numFmtId="178" fontId="0" fillId="0" borderId="20" xfId="0" applyNumberFormat="1" applyBorder="1" applyAlignment="1">
      <alignment horizontal="right"/>
    </xf>
    <xf numFmtId="43" fontId="21" fillId="12" borderId="0" xfId="0" applyFont="1" applyFill="1" applyAlignment="1">
      <alignment horizontal="left"/>
    </xf>
    <xf numFmtId="43" fontId="21" fillId="12" borderId="0" xfId="0" applyFont="1" applyFill="1" applyAlignment="1">
      <alignment horizontal="right"/>
    </xf>
    <xf numFmtId="49" fontId="21" fillId="2" borderId="0" xfId="0" applyNumberFormat="1" applyFont="1" applyFill="1"/>
    <xf numFmtId="178" fontId="21" fillId="2" borderId="0" xfId="0" applyNumberFormat="1" applyFont="1" applyFill="1" applyAlignment="1">
      <alignment horizontal="right"/>
    </xf>
    <xf numFmtId="43" fontId="21" fillId="13" borderId="0" xfId="0" applyFont="1" applyFill="1" applyAlignment="1">
      <alignment horizontal="left"/>
    </xf>
    <xf numFmtId="43" fontId="21" fillId="13" borderId="0" xfId="0" applyFont="1" applyFill="1" applyAlignment="1">
      <alignment horizontal="right"/>
    </xf>
    <xf numFmtId="164" fontId="0" fillId="0" borderId="0" xfId="0" applyNumberFormat="1" applyAlignment="1">
      <alignment horizontal="left"/>
    </xf>
    <xf numFmtId="178" fontId="0" fillId="0" borderId="0" xfId="0" applyNumberFormat="1"/>
    <xf numFmtId="179" fontId="0" fillId="0" borderId="0" xfId="0" applyNumberFormat="1" applyAlignment="1">
      <alignment horizontal="right"/>
    </xf>
    <xf numFmtId="180" fontId="0" fillId="0" borderId="0" xfId="0" applyNumberFormat="1"/>
    <xf numFmtId="43" fontId="21" fillId="12" borderId="0" xfId="0" applyFont="1" applyFill="1"/>
    <xf numFmtId="178" fontId="21" fillId="12" borderId="0" xfId="0" applyNumberFormat="1" applyFont="1" applyFill="1" applyAlignment="1">
      <alignment horizontal="right"/>
    </xf>
    <xf numFmtId="43" fontId="21" fillId="2" borderId="0" xfId="0" applyFont="1" applyFill="1"/>
    <xf numFmtId="181" fontId="0" fillId="0" borderId="0" xfId="0" applyNumberFormat="1"/>
    <xf numFmtId="43" fontId="0" fillId="9" borderId="0" xfId="0" applyFill="1"/>
    <xf numFmtId="43" fontId="0" fillId="0" borderId="0" xfId="0" applyFont="1"/>
    <xf numFmtId="43" fontId="23" fillId="0" borderId="0" xfId="0" applyFont="1"/>
    <xf numFmtId="43" fontId="0" fillId="0" borderId="14" xfId="0" applyBorder="1"/>
    <xf numFmtId="43" fontId="1" fillId="5" borderId="21" xfId="8" applyNumberFormat="1" applyBorder="1"/>
    <xf numFmtId="43" fontId="1" fillId="5" borderId="22" xfId="8" applyNumberFormat="1" applyBorder="1"/>
    <xf numFmtId="43" fontId="1" fillId="5" borderId="23" xfId="8" applyNumberFormat="1" applyBorder="1"/>
    <xf numFmtId="43" fontId="1" fillId="5" borderId="24" xfId="8" applyNumberFormat="1" applyBorder="1"/>
    <xf numFmtId="43" fontId="1" fillId="5" borderId="25" xfId="8" applyNumberFormat="1" applyBorder="1"/>
    <xf numFmtId="164" fontId="0" fillId="9" borderId="0" xfId="0" applyNumberFormat="1" applyFill="1" applyAlignment="1">
      <alignment horizontal="left"/>
    </xf>
    <xf numFmtId="178" fontId="0" fillId="9" borderId="0" xfId="0" applyNumberFormat="1" applyFill="1"/>
    <xf numFmtId="179" fontId="0" fillId="9" borderId="0" xfId="0" applyNumberFormat="1" applyFill="1" applyAlignment="1">
      <alignment horizontal="right"/>
    </xf>
    <xf numFmtId="180" fontId="0" fillId="9" borderId="0" xfId="0" applyNumberFormat="1" applyFill="1"/>
    <xf numFmtId="43" fontId="2" fillId="0" borderId="14" xfId="0" applyFont="1" applyBorder="1"/>
    <xf numFmtId="43" fontId="2" fillId="0" borderId="18" xfId="0" applyFont="1" applyBorder="1"/>
    <xf numFmtId="43" fontId="27" fillId="0" borderId="4" xfId="9" applyNumberFormat="1" applyBorder="1"/>
    <xf numFmtId="43" fontId="0" fillId="0" borderId="0" xfId="0" applyAlignment="1">
      <alignment horizontal="center"/>
    </xf>
    <xf numFmtId="175" fontId="2" fillId="0" borderId="13" xfId="0" applyNumberFormat="1" applyFont="1" applyBorder="1" applyAlignment="1">
      <alignment horizontal="center"/>
    </xf>
    <xf numFmtId="176" fontId="2" fillId="0" borderId="13" xfId="0" applyNumberFormat="1" applyFont="1" applyBorder="1" applyAlignment="1">
      <alignment horizontal="center"/>
    </xf>
    <xf numFmtId="175" fontId="2" fillId="0" borderId="0" xfId="0" applyNumberFormat="1" applyFont="1" applyAlignment="1">
      <alignment horizontal="center"/>
    </xf>
    <xf numFmtId="43" fontId="21" fillId="14" borderId="0" xfId="0" applyFont="1" applyFill="1"/>
    <xf numFmtId="43" fontId="2" fillId="0" borderId="26" xfId="0" applyFont="1" applyBorder="1"/>
    <xf numFmtId="171" fontId="2" fillId="0" borderId="4" xfId="0" applyNumberFormat="1" applyFont="1" applyBorder="1"/>
    <xf numFmtId="43" fontId="0" fillId="0" borderId="13" xfId="0" applyBorder="1" applyAlignment="1">
      <alignment horizontal="center"/>
    </xf>
    <xf numFmtId="43" fontId="2" fillId="0" borderId="26" xfId="0" applyFont="1" applyBorder="1" applyAlignment="1">
      <alignment horizontal="center"/>
    </xf>
    <xf numFmtId="171" fontId="0" fillId="0" borderId="0" xfId="1" applyFont="1" applyAlignment="1">
      <alignment horizontal="center"/>
    </xf>
    <xf numFmtId="171" fontId="2" fillId="0" borderId="4" xfId="0" applyNumberFormat="1" applyFont="1" applyBorder="1" applyAlignment="1">
      <alignment horizontal="center"/>
    </xf>
    <xf numFmtId="171" fontId="2" fillId="0" borderId="4" xfId="1" applyFont="1" applyBorder="1" applyAlignment="1">
      <alignment horizontal="center"/>
    </xf>
    <xf numFmtId="171" fontId="11" fillId="0" borderId="0" xfId="1" applyFont="1"/>
    <xf numFmtId="176" fontId="2" fillId="0" borderId="27" xfId="0" applyNumberFormat="1" applyFont="1" applyBorder="1" applyAlignment="1">
      <alignment horizontal="center"/>
    </xf>
    <xf numFmtId="43" fontId="2" fillId="0" borderId="0" xfId="0" applyFont="1" applyBorder="1"/>
    <xf numFmtId="43" fontId="2" fillId="0" borderId="13" xfId="0" applyFont="1" applyBorder="1"/>
    <xf numFmtId="43" fontId="0" fillId="0" borderId="28" xfId="0" applyBorder="1"/>
    <xf numFmtId="43" fontId="2" fillId="0" borderId="29" xfId="0" applyFont="1" applyBorder="1"/>
    <xf numFmtId="43" fontId="2" fillId="0" borderId="27" xfId="0" applyFont="1" applyBorder="1"/>
    <xf numFmtId="43" fontId="2" fillId="0" borderId="16" xfId="0" applyFont="1" applyBorder="1"/>
    <xf numFmtId="43" fontId="27" fillId="0" borderId="0" xfId="9" applyNumberFormat="1" applyBorder="1"/>
    <xf numFmtId="175" fontId="2" fillId="0" borderId="0" xfId="0" applyNumberFormat="1" applyFont="1" applyBorder="1" applyAlignment="1">
      <alignment horizontal="center"/>
    </xf>
    <xf numFmtId="176" fontId="2" fillId="0" borderId="0" xfId="0" applyNumberFormat="1" applyFont="1" applyBorder="1" applyAlignment="1">
      <alignment horizontal="center"/>
    </xf>
    <xf numFmtId="43" fontId="0" fillId="0" borderId="0" xfId="0" applyBorder="1" applyAlignment="1">
      <alignment horizontal="center"/>
    </xf>
    <xf numFmtId="171" fontId="1" fillId="5" borderId="9" xfId="1" applyFill="1" applyBorder="1"/>
    <xf numFmtId="3" fontId="7" fillId="9" borderId="12" xfId="0" applyNumberFormat="1" applyFont="1" applyFill="1" applyBorder="1" applyAlignment="1">
      <alignment horizontal="right" vertical="center" wrapText="1"/>
    </xf>
    <xf numFmtId="43" fontId="11" fillId="17" borderId="0" xfId="11" applyNumberFormat="1" applyFill="1"/>
    <xf numFmtId="43" fontId="0" fillId="17" borderId="0" xfId="0" applyFill="1"/>
    <xf numFmtId="43" fontId="0" fillId="0" borderId="30" xfId="0" applyBorder="1" applyAlignment="1">
      <alignment horizontal="centerContinuous"/>
    </xf>
    <xf numFmtId="43" fontId="0" fillId="0" borderId="27" xfId="0" applyBorder="1" applyAlignment="1">
      <alignment horizontal="centerContinuous"/>
    </xf>
    <xf numFmtId="43" fontId="0" fillId="0" borderId="31" xfId="0" applyBorder="1" applyAlignment="1">
      <alignment horizontal="centerContinuous"/>
    </xf>
    <xf numFmtId="43" fontId="0" fillId="0" borderId="3" xfId="0" applyBorder="1"/>
    <xf numFmtId="43" fontId="0" fillId="0" borderId="32" xfId="0" applyBorder="1"/>
    <xf numFmtId="169" fontId="0" fillId="0" borderId="33" xfId="0" applyNumberFormat="1" applyBorder="1"/>
    <xf numFmtId="169" fontId="0" fillId="0" borderId="18" xfId="0" applyNumberFormat="1" applyBorder="1"/>
    <xf numFmtId="169" fontId="0" fillId="0" borderId="13" xfId="0" applyNumberFormat="1" applyBorder="1"/>
    <xf numFmtId="169" fontId="0" fillId="0" borderId="19" xfId="0" applyNumberFormat="1" applyBorder="1"/>
    <xf numFmtId="43" fontId="0" fillId="0" borderId="33" xfId="0" applyBorder="1"/>
    <xf numFmtId="0" fontId="25" fillId="0" borderId="0" xfId="19" applyFont="1"/>
    <xf numFmtId="169" fontId="0" fillId="0" borderId="0" xfId="0" applyNumberFormat="1" applyBorder="1"/>
    <xf numFmtId="43" fontId="0" fillId="0" borderId="30" xfId="0" applyBorder="1"/>
    <xf numFmtId="43" fontId="0" fillId="0" borderId="27" xfId="0" applyBorder="1"/>
    <xf numFmtId="43" fontId="0" fillId="0" borderId="31" xfId="0" applyBorder="1"/>
    <xf numFmtId="0" fontId="12" fillId="0" borderId="4" xfId="14" applyBorder="1">
      <alignment horizontal="center" vertical="center"/>
    </xf>
    <xf numFmtId="43" fontId="0" fillId="0" borderId="0" xfId="0" applyFill="1"/>
    <xf numFmtId="171" fontId="0" fillId="0" borderId="0" xfId="1" applyFont="1" applyFill="1"/>
    <xf numFmtId="168" fontId="0" fillId="0" borderId="0" xfId="0" applyNumberFormat="1"/>
    <xf numFmtId="168" fontId="7" fillId="0" borderId="2" xfId="2" applyNumberFormat="1" applyFont="1" applyBorder="1"/>
    <xf numFmtId="0" fontId="24" fillId="0" borderId="0" xfId="20" applyFont="1" applyAlignment="1">
      <alignment wrapText="1"/>
    </xf>
    <xf numFmtId="4" fontId="25" fillId="0" borderId="0" xfId="20" applyNumberFormat="1" applyFont="1"/>
    <xf numFmtId="43" fontId="2" fillId="0" borderId="4" xfId="10" applyNumberFormat="1" applyBorder="1"/>
    <xf numFmtId="171" fontId="0" fillId="0" borderId="4" xfId="1" applyFont="1" applyBorder="1"/>
    <xf numFmtId="171" fontId="0" fillId="0" borderId="15" xfId="1" applyFont="1" applyBorder="1"/>
    <xf numFmtId="171" fontId="0" fillId="0" borderId="0" xfId="1" applyFont="1" applyBorder="1"/>
    <xf numFmtId="171" fontId="0" fillId="0" borderId="17" xfId="1" applyFont="1" applyBorder="1"/>
    <xf numFmtId="171" fontId="0" fillId="0" borderId="13" xfId="1" applyFont="1" applyBorder="1"/>
    <xf numFmtId="171" fontId="0" fillId="0" borderId="19" xfId="1" applyFont="1" applyBorder="1"/>
    <xf numFmtId="43" fontId="1" fillId="0" borderId="0" xfId="0" applyFont="1"/>
    <xf numFmtId="4" fontId="25" fillId="0" borderId="0" xfId="19" applyNumberFormat="1" applyFont="1" applyAlignment="1">
      <alignment horizontal="center"/>
    </xf>
    <xf numFmtId="182" fontId="25" fillId="0" borderId="0" xfId="0" applyNumberFormat="1" applyFont="1" applyAlignment="1">
      <alignment horizontal="center"/>
    </xf>
    <xf numFmtId="43" fontId="0" fillId="0" borderId="0" xfId="0" applyAlignment="1"/>
    <xf numFmtId="43" fontId="0" fillId="0" borderId="4" xfId="0" applyBorder="1" applyAlignment="1">
      <alignment horizontal="center"/>
    </xf>
    <xf numFmtId="171" fontId="0" fillId="0" borderId="13" xfId="1" applyFont="1" applyBorder="1" applyAlignment="1">
      <alignment horizontal="center"/>
    </xf>
    <xf numFmtId="0" fontId="2" fillId="6" borderId="0" xfId="19" applyFont="1" applyFill="1"/>
    <xf numFmtId="43" fontId="2" fillId="6" borderId="0" xfId="0" applyFont="1" applyFill="1" applyAlignment="1">
      <alignment horizontal="center"/>
    </xf>
    <xf numFmtId="0" fontId="25" fillId="0" borderId="30" xfId="19" applyFont="1" applyBorder="1"/>
    <xf numFmtId="4" fontId="25" fillId="0" borderId="31" xfId="19" applyNumberFormat="1" applyFont="1" applyBorder="1" applyAlignment="1">
      <alignment horizontal="center"/>
    </xf>
    <xf numFmtId="0" fontId="25" fillId="0" borderId="30" xfId="19" applyFont="1" applyBorder="1" applyAlignment="1">
      <alignment horizontal="centerContinuous"/>
    </xf>
    <xf numFmtId="4" fontId="25" fillId="0" borderId="27" xfId="19" applyNumberFormat="1" applyFont="1" applyBorder="1" applyAlignment="1">
      <alignment horizontal="centerContinuous"/>
    </xf>
    <xf numFmtId="182" fontId="25" fillId="0" borderId="31" xfId="19" applyNumberFormat="1" applyFont="1" applyBorder="1" applyAlignment="1">
      <alignment horizontal="centerContinuous"/>
    </xf>
    <xf numFmtId="4" fontId="25" fillId="0" borderId="31" xfId="0" applyNumberFormat="1" applyFont="1" applyBorder="1" applyAlignment="1">
      <alignment horizontal="centerContinuous"/>
    </xf>
    <xf numFmtId="43" fontId="2" fillId="0" borderId="0" xfId="0" applyFont="1" applyAlignment="1">
      <alignment horizontal="center" vertical="center"/>
    </xf>
    <xf numFmtId="182" fontId="25" fillId="0" borderId="27" xfId="19" applyNumberFormat="1" applyFont="1" applyBorder="1" applyAlignment="1">
      <alignment horizontal="centerContinuous"/>
    </xf>
    <xf numFmtId="43" fontId="28" fillId="18" borderId="34" xfId="25" applyNumberFormat="1"/>
    <xf numFmtId="43" fontId="15" fillId="19" borderId="0" xfId="0" applyFont="1" applyFill="1"/>
    <xf numFmtId="43" fontId="15" fillId="19" borderId="35" xfId="0" applyFont="1" applyFill="1" applyBorder="1"/>
    <xf numFmtId="43" fontId="29" fillId="0" borderId="0" xfId="0" applyFont="1"/>
    <xf numFmtId="43" fontId="29" fillId="0" borderId="0" xfId="0" applyFont="1" applyAlignment="1">
      <alignment horizontal="right"/>
    </xf>
    <xf numFmtId="37" fontId="29" fillId="0" borderId="0" xfId="0" applyNumberFormat="1" applyFont="1" applyAlignment="1">
      <alignment horizontal="right"/>
    </xf>
    <xf numFmtId="183" fontId="0" fillId="0" borderId="0" xfId="0" applyNumberFormat="1"/>
    <xf numFmtId="43" fontId="0" fillId="0" borderId="13" xfId="0" applyFill="1" applyBorder="1"/>
    <xf numFmtId="43" fontId="21" fillId="20" borderId="0" xfId="0" applyFont="1" applyFill="1" applyAlignment="1">
      <alignment horizontal="left"/>
    </xf>
    <xf numFmtId="171" fontId="0" fillId="9" borderId="0" xfId="1" applyFont="1" applyFill="1"/>
    <xf numFmtId="43" fontId="0" fillId="0" borderId="0" xfId="0" applyAlignment="1">
      <alignment horizontal="centerContinuous"/>
    </xf>
    <xf numFmtId="43" fontId="2" fillId="0" borderId="0" xfId="0" applyFont="1" applyAlignment="1">
      <alignment horizontal="centerContinuous"/>
    </xf>
    <xf numFmtId="169" fontId="1" fillId="5" borderId="9" xfId="8" applyNumberFormat="1"/>
    <xf numFmtId="14" fontId="0" fillId="0" borderId="0" xfId="0" applyNumberFormat="1" applyAlignment="1">
      <alignment horizontal="left"/>
    </xf>
    <xf numFmtId="14" fontId="0" fillId="15" borderId="0" xfId="0" applyNumberFormat="1" applyFill="1" applyAlignment="1">
      <alignment horizontal="left"/>
    </xf>
    <xf numFmtId="0" fontId="0" fillId="0" borderId="0" xfId="0" applyNumberFormat="1"/>
    <xf numFmtId="15" fontId="0" fillId="0" borderId="0" xfId="0" applyNumberFormat="1"/>
    <xf numFmtId="0" fontId="11" fillId="4" borderId="36" xfId="7" applyNumberFormat="1" applyBorder="1"/>
    <xf numFmtId="0" fontId="1" fillId="0" borderId="0" xfId="24" applyAlignment="1">
      <alignment horizontal="center"/>
    </xf>
    <xf numFmtId="0" fontId="1" fillId="0" borderId="17" xfId="24" applyBorder="1" applyAlignment="1">
      <alignment horizontal="center"/>
    </xf>
    <xf numFmtId="0" fontId="2" fillId="5" borderId="9" xfId="8" applyFont="1"/>
    <xf numFmtId="0" fontId="0" fillId="21" borderId="0" xfId="26" applyFont="1">
      <alignment horizontal="center"/>
    </xf>
    <xf numFmtId="0" fontId="0" fillId="22" borderId="3" xfId="27" applyFont="1">
      <alignment horizontal="center"/>
    </xf>
    <xf numFmtId="185" fontId="0" fillId="0" borderId="0" xfId="0" applyNumberFormat="1" applyAlignment="1">
      <alignment horizontal="center"/>
    </xf>
    <xf numFmtId="185" fontId="0" fillId="0" borderId="3" xfId="0" applyNumberFormat="1" applyBorder="1" applyAlignment="1">
      <alignment horizontal="center"/>
    </xf>
    <xf numFmtId="0" fontId="11" fillId="4" borderId="6" xfId="7" applyAlignment="1">
      <alignment horizontal="center"/>
    </xf>
    <xf numFmtId="0" fontId="1" fillId="22" borderId="3" xfId="27" applyFont="1">
      <alignment horizontal="center"/>
    </xf>
    <xf numFmtId="171" fontId="1" fillId="0" borderId="0" xfId="1" applyFont="1"/>
    <xf numFmtId="43" fontId="1" fillId="0" borderId="4" xfId="0" applyFont="1" applyBorder="1"/>
    <xf numFmtId="43" fontId="27" fillId="0" borderId="0" xfId="9" applyNumberFormat="1" applyAlignment="1">
      <alignment horizontal="center"/>
    </xf>
    <xf numFmtId="0" fontId="1" fillId="0" borderId="0" xfId="20"/>
    <xf numFmtId="43" fontId="11" fillId="23" borderId="0" xfId="23" applyNumberFormat="1" applyFont="1"/>
    <xf numFmtId="171" fontId="1" fillId="23" borderId="0" xfId="23" applyNumberFormat="1" applyFont="1"/>
    <xf numFmtId="184" fontId="0" fillId="0" borderId="16" xfId="0" applyNumberFormat="1" applyBorder="1" applyAlignment="1">
      <alignment horizontal="center"/>
    </xf>
    <xf numFmtId="184" fontId="0" fillId="0" borderId="18" xfId="0" applyNumberFormat="1" applyBorder="1" applyAlignment="1">
      <alignment horizontal="center"/>
    </xf>
    <xf numFmtId="43" fontId="1" fillId="5" borderId="37" xfId="8" applyNumberFormat="1" applyBorder="1"/>
    <xf numFmtId="43" fontId="2" fillId="5" borderId="21" xfId="8" applyNumberFormat="1" applyFont="1" applyBorder="1"/>
    <xf numFmtId="43" fontId="0" fillId="0" borderId="0" xfId="0" applyFill="1" applyBorder="1"/>
    <xf numFmtId="43" fontId="0" fillId="0" borderId="18" xfId="0" applyFill="1" applyBorder="1"/>
    <xf numFmtId="43" fontId="2" fillId="0" borderId="30" xfId="0" applyFont="1" applyBorder="1" applyAlignment="1">
      <alignment horizontal="centerContinuous"/>
    </xf>
    <xf numFmtId="43" fontId="2" fillId="0" borderId="27" xfId="0" applyFont="1" applyBorder="1" applyAlignment="1">
      <alignment horizontal="centerContinuous"/>
    </xf>
    <xf numFmtId="43" fontId="2" fillId="0" borderId="31" xfId="0" applyFont="1" applyBorder="1" applyAlignment="1">
      <alignment horizontal="centerContinuous"/>
    </xf>
    <xf numFmtId="43" fontId="0" fillId="0" borderId="19" xfId="0" applyBorder="1" applyAlignment="1">
      <alignment horizontal="center"/>
    </xf>
    <xf numFmtId="43" fontId="2" fillId="0" borderId="14" xfId="0" applyFont="1" applyBorder="1" applyAlignment="1">
      <alignment horizontal="centerContinuous"/>
    </xf>
    <xf numFmtId="43" fontId="2" fillId="0" borderId="4" xfId="0" applyFont="1" applyBorder="1" applyAlignment="1">
      <alignment horizontal="centerContinuous"/>
    </xf>
    <xf numFmtId="43" fontId="30" fillId="0" borderId="4" xfId="14" applyNumberFormat="1" applyFont="1" applyBorder="1" applyAlignment="1">
      <alignment horizontal="centerContinuous" vertical="center"/>
    </xf>
    <xf numFmtId="43" fontId="2" fillId="0" borderId="15" xfId="0" applyFont="1" applyBorder="1" applyAlignment="1">
      <alignment horizontal="centerContinuous"/>
    </xf>
    <xf numFmtId="169" fontId="0" fillId="0" borderId="17" xfId="0" applyNumberFormat="1" applyBorder="1"/>
    <xf numFmtId="0" fontId="2" fillId="0" borderId="0" xfId="0" applyNumberFormat="1" applyFont="1" applyAlignment="1">
      <alignment horizontal="center"/>
    </xf>
    <xf numFmtId="43" fontId="31" fillId="6" borderId="0" xfId="0" applyFont="1" applyFill="1"/>
    <xf numFmtId="43" fontId="32" fillId="0" borderId="0" xfId="0" applyFont="1"/>
    <xf numFmtId="171" fontId="0" fillId="0" borderId="17" xfId="0" applyNumberFormat="1" applyBorder="1"/>
    <xf numFmtId="43" fontId="26" fillId="0" borderId="0" xfId="6" applyNumberFormat="1" applyAlignment="1">
      <alignment horizontal="centerContinuous"/>
    </xf>
    <xf numFmtId="43" fontId="0" fillId="0" borderId="0" xfId="0" applyBorder="1" applyAlignment="1">
      <alignment horizontal="centerContinuous"/>
    </xf>
    <xf numFmtId="171" fontId="0" fillId="0" borderId="0" xfId="0" applyNumberFormat="1" applyBorder="1"/>
    <xf numFmtId="43" fontId="33" fillId="0" borderId="0" xfId="0" applyFont="1"/>
    <xf numFmtId="43" fontId="0" fillId="0" borderId="17" xfId="0" applyBorder="1" applyAlignment="1">
      <alignment horizontal="center"/>
    </xf>
    <xf numFmtId="43" fontId="0" fillId="0" borderId="15" xfId="0" applyBorder="1" applyAlignment="1">
      <alignment horizontal="center"/>
    </xf>
    <xf numFmtId="43" fontId="35" fillId="0" borderId="0" xfId="0" applyFont="1"/>
    <xf numFmtId="171" fontId="35" fillId="0" borderId="0" xfId="1" applyFont="1"/>
    <xf numFmtId="171" fontId="35" fillId="0" borderId="0" xfId="0" applyNumberFormat="1" applyFont="1"/>
    <xf numFmtId="9" fontId="0" fillId="0" borderId="0" xfId="0" applyNumberFormat="1"/>
    <xf numFmtId="43" fontId="34" fillId="0" borderId="4" xfId="0" applyFont="1" applyBorder="1"/>
    <xf numFmtId="43" fontId="34" fillId="0" borderId="0" xfId="0" applyFont="1"/>
    <xf numFmtId="0" fontId="37" fillId="0" borderId="0" xfId="24" applyFont="1" applyAlignment="1">
      <alignment horizontal="center"/>
    </xf>
    <xf numFmtId="186" fontId="0" fillId="0" borderId="0" xfId="0" applyNumberFormat="1" applyAlignment="1">
      <alignment horizontal="center" vertical="center"/>
    </xf>
    <xf numFmtId="186" fontId="0" fillId="0" borderId="0" xfId="0" applyNumberFormat="1" applyFill="1" applyAlignment="1">
      <alignment horizontal="center" vertical="center"/>
    </xf>
    <xf numFmtId="186" fontId="2" fillId="0" borderId="4" xfId="0" applyNumberFormat="1" applyFont="1" applyBorder="1" applyAlignment="1">
      <alignment horizontal="center" vertical="center"/>
    </xf>
    <xf numFmtId="187" fontId="32" fillId="0" borderId="0" xfId="0" applyNumberFormat="1" applyFont="1"/>
    <xf numFmtId="188" fontId="32" fillId="0" borderId="0" xfId="0" applyNumberFormat="1" applyFont="1"/>
    <xf numFmtId="0" fontId="2" fillId="0" borderId="0" xfId="0" applyNumberFormat="1" applyFont="1" applyAlignment="1">
      <alignment horizontal="center" vertical="center"/>
    </xf>
    <xf numFmtId="171" fontId="1" fillId="0" borderId="0" xfId="0" applyNumberFormat="1" applyFont="1"/>
    <xf numFmtId="43" fontId="1" fillId="23" borderId="0" xfId="23" applyNumberFormat="1" applyFont="1"/>
    <xf numFmtId="43" fontId="0" fillId="23" borderId="0" xfId="23" applyNumberFormat="1" applyFont="1"/>
    <xf numFmtId="174" fontId="11" fillId="0" borderId="12" xfId="11" applyNumberFormat="1" applyBorder="1" applyAlignment="1">
      <alignment horizontal="right" vertical="center" wrapText="1"/>
    </xf>
    <xf numFmtId="4" fontId="11" fillId="0" borderId="12" xfId="11" applyNumberFormat="1" applyBorder="1" applyAlignment="1">
      <alignment horizontal="right" vertical="center" wrapText="1"/>
    </xf>
    <xf numFmtId="3" fontId="11" fillId="0" borderId="12" xfId="11" applyNumberFormat="1" applyBorder="1" applyAlignment="1">
      <alignment horizontal="right" vertical="center" wrapText="1"/>
    </xf>
    <xf numFmtId="174" fontId="11" fillId="9" borderId="12" xfId="11" applyNumberFormat="1" applyFill="1" applyBorder="1" applyAlignment="1">
      <alignment horizontal="right" vertical="center" wrapText="1"/>
    </xf>
    <xf numFmtId="43" fontId="11" fillId="8" borderId="12" xfId="11" applyNumberFormat="1" applyFill="1" applyBorder="1" applyAlignment="1">
      <alignment wrapText="1"/>
    </xf>
    <xf numFmtId="0" fontId="36" fillId="24" borderId="0" xfId="19" applyFont="1" applyFill="1" applyAlignment="1">
      <alignment wrapText="1"/>
    </xf>
    <xf numFmtId="0" fontId="36" fillId="24" borderId="0" xfId="19" applyFont="1" applyFill="1" applyAlignment="1">
      <alignment horizontal="center" wrapText="1"/>
    </xf>
    <xf numFmtId="0" fontId="36" fillId="24" borderId="0" xfId="24" applyFont="1" applyFill="1" applyAlignment="1">
      <alignment horizontal="center" wrapText="1"/>
    </xf>
    <xf numFmtId="43" fontId="36" fillId="24" borderId="0" xfId="0" applyFont="1" applyFill="1" applyAlignment="1">
      <alignment horizontal="center" wrapText="1"/>
    </xf>
    <xf numFmtId="0" fontId="28" fillId="25" borderId="14" xfId="19" applyFont="1" applyFill="1" applyBorder="1"/>
    <xf numFmtId="171" fontId="3" fillId="25" borderId="4" xfId="1" applyFont="1" applyFill="1" applyBorder="1" applyAlignment="1">
      <alignment horizontal="center"/>
    </xf>
    <xf numFmtId="171" fontId="3" fillId="25" borderId="15" xfId="1" applyFont="1" applyFill="1" applyBorder="1" applyAlignment="1">
      <alignment horizontal="center"/>
    </xf>
    <xf numFmtId="0" fontId="28" fillId="24" borderId="16" xfId="19" applyFont="1" applyFill="1" applyBorder="1"/>
    <xf numFmtId="171" fontId="3" fillId="24" borderId="0" xfId="1" applyFont="1" applyFill="1" applyBorder="1" applyAlignment="1">
      <alignment horizontal="center"/>
    </xf>
    <xf numFmtId="171" fontId="3" fillId="24" borderId="17" xfId="1" applyFont="1" applyFill="1" applyBorder="1" applyAlignment="1">
      <alignment horizontal="center"/>
    </xf>
    <xf numFmtId="0" fontId="28" fillId="26" borderId="16" xfId="19" applyFont="1" applyFill="1" applyBorder="1"/>
    <xf numFmtId="171" fontId="3" fillId="26" borderId="0" xfId="1" applyFont="1" applyFill="1" applyBorder="1" applyAlignment="1">
      <alignment horizontal="center"/>
    </xf>
    <xf numFmtId="171" fontId="3" fillId="26" borderId="17" xfId="1" applyFont="1" applyFill="1" applyBorder="1" applyAlignment="1">
      <alignment horizontal="center"/>
    </xf>
    <xf numFmtId="0" fontId="28" fillId="27" borderId="18" xfId="19" applyFont="1" applyFill="1" applyBorder="1"/>
    <xf numFmtId="171" fontId="3" fillId="27" borderId="13" xfId="1" applyFont="1" applyFill="1" applyBorder="1" applyAlignment="1">
      <alignment horizontal="center"/>
    </xf>
    <xf numFmtId="171" fontId="3" fillId="27" borderId="19" xfId="1" applyFont="1" applyFill="1" applyBorder="1" applyAlignment="1">
      <alignment horizontal="center"/>
    </xf>
    <xf numFmtId="4" fontId="25" fillId="0" borderId="0" xfId="0" applyNumberFormat="1" applyFont="1"/>
    <xf numFmtId="182" fontId="25" fillId="0" borderId="0" xfId="0" applyNumberFormat="1" applyFont="1"/>
    <xf numFmtId="172" fontId="25" fillId="0" borderId="0" xfId="12" applyFont="1" applyAlignment="1">
      <alignment horizontal="center"/>
    </xf>
    <xf numFmtId="171" fontId="1" fillId="5" borderId="9" xfId="1" applyFill="1" applyBorder="1" applyAlignment="1">
      <alignment horizontal="center"/>
    </xf>
    <xf numFmtId="43" fontId="4" fillId="0" borderId="38" xfId="0" applyFont="1" applyBorder="1"/>
    <xf numFmtId="43" fontId="0" fillId="0" borderId="39" xfId="0" applyBorder="1"/>
    <xf numFmtId="43" fontId="0" fillId="0" borderId="40" xfId="0" applyBorder="1"/>
    <xf numFmtId="43" fontId="4" fillId="0" borderId="41" xfId="0" applyFont="1" applyBorder="1"/>
    <xf numFmtId="43" fontId="0" fillId="0" borderId="42" xfId="0" applyBorder="1"/>
    <xf numFmtId="43" fontId="0" fillId="0" borderId="41" xfId="0" applyBorder="1"/>
    <xf numFmtId="43" fontId="5" fillId="0" borderId="41" xfId="0" applyFont="1" applyBorder="1"/>
    <xf numFmtId="43" fontId="5" fillId="0" borderId="0" xfId="0" applyFont="1" applyBorder="1"/>
    <xf numFmtId="0" fontId="5" fillId="0" borderId="0" xfId="0" applyNumberFormat="1" applyFont="1" applyBorder="1" applyAlignment="1">
      <alignment horizontal="center"/>
    </xf>
    <xf numFmtId="169" fontId="5" fillId="0" borderId="0" xfId="0" applyNumberFormat="1" applyFont="1" applyBorder="1"/>
    <xf numFmtId="43" fontId="5" fillId="0" borderId="0" xfId="0" applyFont="1" applyBorder="1" applyAlignment="1">
      <alignment horizontal="center"/>
    </xf>
    <xf numFmtId="185" fontId="0" fillId="0" borderId="0" xfId="0" applyNumberFormat="1" applyBorder="1" applyAlignment="1">
      <alignment horizontal="center"/>
    </xf>
    <xf numFmtId="43" fontId="0" fillId="0" borderId="43" xfId="0" applyBorder="1"/>
    <xf numFmtId="43" fontId="0" fillId="0" borderId="44" xfId="0" applyBorder="1"/>
    <xf numFmtId="43" fontId="0" fillId="0" borderId="45" xfId="0" applyBorder="1"/>
    <xf numFmtId="172" fontId="3" fillId="25" borderId="4" xfId="12" applyFont="1" applyFill="1" applyBorder="1" applyAlignment="1">
      <alignment horizontal="center"/>
    </xf>
    <xf numFmtId="172" fontId="3" fillId="24" borderId="0" xfId="12" applyFont="1" applyFill="1" applyAlignment="1">
      <alignment horizontal="center"/>
    </xf>
    <xf numFmtId="172" fontId="3" fillId="26" borderId="0" xfId="12" applyFont="1" applyFill="1" applyAlignment="1">
      <alignment horizontal="center"/>
    </xf>
    <xf numFmtId="172" fontId="3" fillId="27" borderId="13" xfId="12" applyFont="1" applyFill="1" applyBorder="1" applyAlignment="1">
      <alignment horizontal="center"/>
    </xf>
    <xf numFmtId="171" fontId="3" fillId="24" borderId="0" xfId="1" applyFont="1" applyFill="1" applyAlignment="1">
      <alignment horizontal="center"/>
    </xf>
    <xf numFmtId="171" fontId="3" fillId="26" borderId="0" xfId="1" applyFont="1" applyFill="1" applyAlignment="1">
      <alignment horizontal="center"/>
    </xf>
    <xf numFmtId="43" fontId="3" fillId="25" borderId="15" xfId="0" applyFont="1" applyFill="1" applyBorder="1" applyAlignment="1">
      <alignment horizontal="center"/>
    </xf>
    <xf numFmtId="43" fontId="3" fillId="24" borderId="17" xfId="0" applyFont="1" applyFill="1" applyBorder="1" applyAlignment="1">
      <alignment horizontal="center"/>
    </xf>
    <xf numFmtId="43" fontId="3" fillId="26" borderId="17" xfId="0" applyFont="1" applyFill="1" applyBorder="1" applyAlignment="1">
      <alignment horizontal="center"/>
    </xf>
    <xf numFmtId="43" fontId="3" fillId="27" borderId="19" xfId="0" applyFont="1" applyFill="1" applyBorder="1" applyAlignment="1">
      <alignment horizontal="center"/>
    </xf>
    <xf numFmtId="172" fontId="25" fillId="0" borderId="27" xfId="12" applyFont="1" applyBorder="1" applyAlignment="1">
      <alignment horizontal="center"/>
    </xf>
    <xf numFmtId="171" fontId="25" fillId="0" borderId="27" xfId="1" applyFont="1" applyBorder="1" applyAlignment="1">
      <alignment horizontal="center"/>
    </xf>
    <xf numFmtId="43" fontId="0" fillId="0" borderId="0" xfId="0" applyAlignment="1">
      <alignment vertical="center" textRotation="90"/>
    </xf>
    <xf numFmtId="43" fontId="0" fillId="0" borderId="0" xfId="0" applyAlignment="1">
      <alignment textRotation="90"/>
    </xf>
    <xf numFmtId="43" fontId="0" fillId="0" borderId="0" xfId="0" applyBorder="1" applyAlignment="1">
      <alignment textRotation="90"/>
    </xf>
    <xf numFmtId="43" fontId="21" fillId="0" borderId="20" xfId="0" applyFont="1" applyBorder="1"/>
    <xf numFmtId="43" fontId="21" fillId="0" borderId="0" xfId="0" applyFont="1"/>
    <xf numFmtId="43" fontId="15" fillId="19" borderId="35" xfId="0" applyFont="1" applyFill="1" applyBorder="1" applyAlignment="1">
      <alignment horizontal="center"/>
    </xf>
  </cellXfs>
  <cellStyles count="28">
    <cellStyle name="Blank" xfId="23" xr:uid="{9AC41E4E-CAE5-432D-B793-7D32C1CA05D3}"/>
    <cellStyle name="Check Cell" xfId="25" builtinId="23"/>
    <cellStyle name="Explanatory Text" xfId="9" builtinId="53" customBuiltin="1"/>
    <cellStyle name="False" xfId="27" xr:uid="{5B7AA72D-FDFA-4186-AFF7-564084E24C07}"/>
    <cellStyle name="Heading 1" xfId="4" builtinId="16" customBuiltin="1"/>
    <cellStyle name="Heading 2" xfId="5" builtinId="17" customBuiltin="1"/>
    <cellStyle name="Heading 3" xfId="6" builtinId="18" customBuiltin="1"/>
    <cellStyle name="Hist" xfId="11" xr:uid="{F747B3F8-BF86-4857-A58A-894BB808FBE1}"/>
    <cellStyle name="Hyperlink" xfId="15" builtinId="8"/>
    <cellStyle name="Input" xfId="7" builtinId="20" customBuiltin="1"/>
    <cellStyle name="Linked Cell" xfId="8" builtinId="24" customBuiltin="1"/>
    <cellStyle name="Multiples" xfId="12" xr:uid="{AE3ED562-9FE0-4FBB-83A0-7F57ED52A78A}"/>
    <cellStyle name="Normal" xfId="0" builtinId="0" customBuiltin="1"/>
    <cellStyle name="Normal 10" xfId="24" xr:uid="{689DAD6D-D4AB-4FDE-8088-F15B6AEA6127}"/>
    <cellStyle name="Normal 2" xfId="2" xr:uid="{67184B95-556D-4B52-A64B-B0B622B8F8DA}"/>
    <cellStyle name="Normal 3" xfId="16" xr:uid="{888B0744-77C1-44AC-A48D-59DB9B532F77}"/>
    <cellStyle name="Normal 4" xfId="17" xr:uid="{8D5BEC6C-D323-4150-A754-2F0CC8BE2358}"/>
    <cellStyle name="Normal 5" xfId="19" xr:uid="{573402DC-0EBD-4920-A457-297556C02365}"/>
    <cellStyle name="Normal 6" xfId="20" xr:uid="{80C3F44E-82A2-45D3-98A7-96410CC0EB00}"/>
    <cellStyle name="Normal 7" xfId="21" xr:uid="{35977B9A-F29E-4B73-AA5F-150466177765}"/>
    <cellStyle name="Normal 8" xfId="22" xr:uid="{FC560394-B014-4C89-B178-16064B3C81CC}"/>
    <cellStyle name="Percent" xfId="1" builtinId="5" customBuiltin="1"/>
    <cellStyle name="Sub Total" xfId="13" xr:uid="{A710BAC3-EF44-4C74-A72B-CC05EDAE7B46}"/>
    <cellStyle name="Title" xfId="3" builtinId="15" customBuiltin="1"/>
    <cellStyle name="Total" xfId="10" builtinId="25"/>
    <cellStyle name="True" xfId="26" xr:uid="{50A6796E-3F85-4807-A5B1-DDEFC48633DC}"/>
    <cellStyle name="Units" xfId="14" xr:uid="{C48DDED2-BAF0-46F1-91BB-B4541003B326}"/>
    <cellStyle name="WIP" xfId="18" xr:uid="{243A74E3-E97B-47B5-9109-C9A0BF52F061}"/>
  </cellStyles>
  <dxfs count="9">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'Investment recommendation'!$V$44:$V$47</c:f>
              <c:strCache>
                <c:ptCount val="4"/>
                <c:pt idx="0">
                  <c:v> Dividend Discount Model </c:v>
                </c:pt>
                <c:pt idx="1">
                  <c:v> FCFF/FCFE Model </c:v>
                </c:pt>
                <c:pt idx="2">
                  <c:v> Residual Income </c:v>
                </c:pt>
                <c:pt idx="3">
                  <c:v> Comparables </c:v>
                </c:pt>
              </c:strCache>
            </c:strRef>
          </c:cat>
          <c:val>
            <c:numRef>
              <c:f>'Investment recommendation'!$AA$44:$AA$47</c:f>
              <c:numCache>
                <c:formatCode>_(* #,##0.00_);_(* \(#,##0.00\);_(* "-"??_);_(@_)</c:formatCode>
                <c:ptCount val="4"/>
                <c:pt idx="0">
                  <c:v>128.29569404228241</c:v>
                </c:pt>
                <c:pt idx="1">
                  <c:v>319.7548658327139</c:v>
                </c:pt>
                <c:pt idx="2">
                  <c:v>254.415058131297</c:v>
                </c:pt>
                <c:pt idx="3">
                  <c:v>225.95690911979352</c:v>
                </c:pt>
              </c:numCache>
            </c:numRef>
          </c:val>
          <c:extLst>
            <c:ext xmlns:c16="http://schemas.microsoft.com/office/drawing/2014/chart" uri="{C3380CC4-5D6E-409C-BE32-E72D297353CC}">
              <c16:uniqueId val="{00000000-5D85-473D-B1D7-8F1CCC22094D}"/>
            </c:ext>
          </c:extLst>
        </c:ser>
        <c:dLbls>
          <c:showLegendKey val="0"/>
          <c:showVal val="0"/>
          <c:showCatName val="0"/>
          <c:showSerName val="0"/>
          <c:showPercent val="0"/>
          <c:showBubbleSize val="0"/>
        </c:dLbls>
        <c:gapWidth val="219"/>
        <c:overlap val="-27"/>
        <c:axId val="560599983"/>
        <c:axId val="560593743"/>
      </c:barChart>
      <c:catAx>
        <c:axId val="56059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crossAx val="560593743"/>
        <c:crosses val="autoZero"/>
        <c:auto val="1"/>
        <c:lblAlgn val="ctr"/>
        <c:lblOffset val="100"/>
        <c:noMultiLvlLbl val="0"/>
      </c:catAx>
      <c:valAx>
        <c:axId val="560593743"/>
        <c:scaling>
          <c:orientation val="minMax"/>
        </c:scaling>
        <c:delete val="1"/>
        <c:axPos val="l"/>
        <c:majorGridlines>
          <c:spPr>
            <a:ln w="9525" cap="flat" cmpd="sng" algn="ctr">
              <a:noFill/>
              <a:round/>
            </a:ln>
            <a:effectLst/>
          </c:spPr>
        </c:majorGridlines>
        <c:numFmt formatCode="_(* #,##0.00_);_(* \(#,##0.00\);_(* &quot;-&quot;??_);_(@_)" sourceLinked="1"/>
        <c:majorTickMark val="none"/>
        <c:minorTickMark val="none"/>
        <c:tickLblPos val="nextTo"/>
        <c:crossAx val="56059998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'Investment recommendation'!$V$44:$V$47</c:f>
              <c:strCache>
                <c:ptCount val="4"/>
                <c:pt idx="0">
                  <c:v> Dividend Discount Model </c:v>
                </c:pt>
                <c:pt idx="1">
                  <c:v> FCFF/FCFE Model </c:v>
                </c:pt>
                <c:pt idx="2">
                  <c:v> Residual Income </c:v>
                </c:pt>
                <c:pt idx="3">
                  <c:v> Comparables </c:v>
                </c:pt>
              </c:strCache>
            </c:strRef>
          </c:cat>
          <c:val>
            <c:numRef>
              <c:f>'Investment recommendation'!$Z$44:$Z$47</c:f>
              <c:numCache>
                <c:formatCode>_(* #,##0.00_);_(* \(#,##0.00\);_(* "-"??_);_(@_)</c:formatCode>
                <c:ptCount val="4"/>
                <c:pt idx="0">
                  <c:v>157.46247212776217</c:v>
                </c:pt>
                <c:pt idx="1">
                  <c:v>434.17676293882801</c:v>
                </c:pt>
                <c:pt idx="2">
                  <c:v>314.26293294895129</c:v>
                </c:pt>
                <c:pt idx="3">
                  <c:v>376.62782817766305</c:v>
                </c:pt>
              </c:numCache>
            </c:numRef>
          </c:val>
          <c:extLst>
            <c:ext xmlns:c16="http://schemas.microsoft.com/office/drawing/2014/chart" uri="{C3380CC4-5D6E-409C-BE32-E72D297353CC}">
              <c16:uniqueId val="{00000000-F2AD-4F99-A667-5BD0E9867739}"/>
            </c:ext>
          </c:extLst>
        </c:ser>
        <c:ser>
          <c:idx val="1"/>
          <c:order val="1"/>
          <c:spPr>
            <a:solidFill>
              <a:schemeClr val="tx2">
                <a:lumMod val="25000"/>
                <a:lumOff val="75000"/>
              </a:schemeClr>
            </a:solidFill>
            <a:ln>
              <a:noFill/>
            </a:ln>
            <a:effectLst/>
          </c:spPr>
          <c:invertIfNegative val="0"/>
          <c:cat>
            <c:strRef>
              <c:f>'Investment recommendation'!$V$44:$V$47</c:f>
              <c:strCache>
                <c:ptCount val="4"/>
                <c:pt idx="0">
                  <c:v> Dividend Discount Model </c:v>
                </c:pt>
                <c:pt idx="1">
                  <c:v> FCFF/FCFE Model </c:v>
                </c:pt>
                <c:pt idx="2">
                  <c:v> Residual Income </c:v>
                </c:pt>
                <c:pt idx="3">
                  <c:v> Comparables </c:v>
                </c:pt>
              </c:strCache>
            </c:strRef>
          </c:cat>
          <c:val>
            <c:numRef>
              <c:f>'Investment recommendation'!$AA$44:$AA$47</c:f>
              <c:numCache>
                <c:formatCode>_(* #,##0.00_);_(* \(#,##0.00\);_(* "-"??_);_(@_)</c:formatCode>
                <c:ptCount val="4"/>
                <c:pt idx="0">
                  <c:v>128.29569404228241</c:v>
                </c:pt>
                <c:pt idx="1">
                  <c:v>319.7548658327139</c:v>
                </c:pt>
                <c:pt idx="2">
                  <c:v>254.415058131297</c:v>
                </c:pt>
                <c:pt idx="3">
                  <c:v>225.95690911979352</c:v>
                </c:pt>
              </c:numCache>
            </c:numRef>
          </c:val>
          <c:extLst>
            <c:ext xmlns:c16="http://schemas.microsoft.com/office/drawing/2014/chart" uri="{C3380CC4-5D6E-409C-BE32-E72D297353CC}">
              <c16:uniqueId val="{00000001-F2AD-4F99-A667-5BD0E9867739}"/>
            </c:ext>
          </c:extLst>
        </c:ser>
        <c:ser>
          <c:idx val="2"/>
          <c:order val="2"/>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'Investment recommendation'!$V$44:$V$47</c:f>
              <c:strCache>
                <c:ptCount val="4"/>
                <c:pt idx="0">
                  <c:v> Dividend Discount Model </c:v>
                </c:pt>
                <c:pt idx="1">
                  <c:v> FCFF/FCFE Model </c:v>
                </c:pt>
                <c:pt idx="2">
                  <c:v> Residual Income </c:v>
                </c:pt>
                <c:pt idx="3">
                  <c:v> Comparables </c:v>
                </c:pt>
              </c:strCache>
            </c:strRef>
          </c:cat>
          <c:val>
            <c:numRef>
              <c:f>'Investment recommendation'!$AB$44:$AB$47</c:f>
              <c:numCache>
                <c:formatCode>_(* #,##0.00_);_(* \(#,##0.00\);_(* "-"??_);_(@_)</c:formatCode>
                <c:ptCount val="4"/>
                <c:pt idx="0">
                  <c:v>103.70133385443931</c:v>
                </c:pt>
                <c:pt idx="1">
                  <c:v>227.66208097958116</c:v>
                </c:pt>
                <c:pt idx="2">
                  <c:v>210.59712927443485</c:v>
                </c:pt>
                <c:pt idx="3">
                  <c:v>136.80467203203125</c:v>
                </c:pt>
              </c:numCache>
            </c:numRef>
          </c:val>
          <c:extLst>
            <c:ext xmlns:c16="http://schemas.microsoft.com/office/drawing/2014/chart" uri="{C3380CC4-5D6E-409C-BE32-E72D297353CC}">
              <c16:uniqueId val="{00000002-F2AD-4F99-A667-5BD0E9867739}"/>
            </c:ext>
          </c:extLst>
        </c:ser>
        <c:dLbls>
          <c:showLegendKey val="0"/>
          <c:showVal val="0"/>
          <c:showCatName val="0"/>
          <c:showSerName val="0"/>
          <c:showPercent val="0"/>
          <c:showBubbleSize val="0"/>
        </c:dLbls>
        <c:gapWidth val="150"/>
        <c:overlap val="100"/>
        <c:axId val="612938879"/>
        <c:axId val="612935999"/>
      </c:barChart>
      <c:catAx>
        <c:axId val="612938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crossAx val="612935999"/>
        <c:crosses val="autoZero"/>
        <c:auto val="1"/>
        <c:lblAlgn val="ctr"/>
        <c:lblOffset val="100"/>
        <c:noMultiLvlLbl val="0"/>
      </c:catAx>
      <c:valAx>
        <c:axId val="612935999"/>
        <c:scaling>
          <c:orientation val="minMax"/>
          <c:max val="900"/>
        </c:scaling>
        <c:delete val="1"/>
        <c:axPos val="b"/>
        <c:numFmt formatCode="_(* #,##0.00_);_(* \(#,##0.00\);_(* &quot;-&quot;??_);_(@_)" sourceLinked="1"/>
        <c:majorTickMark val="none"/>
        <c:minorTickMark val="none"/>
        <c:tickLblPos val="nextTo"/>
        <c:crossAx val="6129388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Style="combo" dx="31" fmlaLink="$F$19" fmlaRange="$U$18:$U$19" noThreeD="1" sel="1"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336261</xdr:colOff>
      <xdr:row>4</xdr:row>
      <xdr:rowOff>57727</xdr:rowOff>
    </xdr:from>
    <xdr:to>
      <xdr:col>12</xdr:col>
      <xdr:colOff>34635</xdr:colOff>
      <xdr:row>8</xdr:row>
      <xdr:rowOff>57726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550352" y="692727"/>
          <a:ext cx="2757919" cy="178954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5</xdr:col>
          <xdr:colOff>222250</xdr:colOff>
          <xdr:row>18</xdr:row>
          <xdr:rowOff>88900</xdr:rowOff>
        </xdr:from>
        <xdr:to>
          <xdr:col>5</xdr:col>
          <xdr:colOff>952500</xdr:colOff>
          <xdr:row>19</xdr:row>
          <xdr:rowOff>31750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658091</xdr:colOff>
      <xdr:row>13</xdr:row>
      <xdr:rowOff>138546</xdr:rowOff>
    </xdr:from>
    <xdr:to>
      <xdr:col>14</xdr:col>
      <xdr:colOff>554181</xdr:colOff>
      <xdr:row>38</xdr:row>
      <xdr:rowOff>34636</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15</xdr:row>
      <xdr:rowOff>13852</xdr:rowOff>
    </xdr:from>
    <xdr:to>
      <xdr:col>28</xdr:col>
      <xdr:colOff>230909</xdr:colOff>
      <xdr:row>37</xdr:row>
      <xdr:rowOff>127000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C5950D0-F3DE-41C1-849B-FE99D6244991}">
  <we:reference id="fb9d111c-58d5-40bc-8ae0-1c3b4f91cdcc" version="1.0.0.0" store="developer" storeType="Registry"/>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WSADDINVERSION</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radingeconomics.com/united-kingdom/gdp-growth-annua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30D67-27EF-41AA-BAA2-48F3A18E7916}">
  <dimension ref="C1:W20"/>
  <sheetViews>
    <sheetView showGridLines="0" tabSelected="1" zoomScale="55" zoomScaleNormal="55" workbookViewId="0"/>
  </sheetViews>
  <sheetFormatPr defaultRowHeight="14.5" x14ac:dyDescent="0.35"/>
  <cols>
    <col min="1" max="1" width="1.453125" customWidth="1"/>
    <col min="6" max="6" width="15" bestFit="1" customWidth="1"/>
  </cols>
  <sheetData>
    <row r="1" spans="3:23" ht="5.5" customHeight="1" x14ac:dyDescent="0.35"/>
    <row r="4" spans="3:23" ht="15" thickBot="1" x14ac:dyDescent="0.4"/>
    <row r="5" spans="3:23" ht="52.5" x14ac:dyDescent="1.2">
      <c r="C5" s="300" t="s">
        <v>0</v>
      </c>
      <c r="D5" s="301"/>
      <c r="E5" s="301"/>
      <c r="F5" s="301"/>
      <c r="G5" s="301"/>
      <c r="H5" s="301"/>
      <c r="I5" s="301"/>
      <c r="J5" s="301"/>
      <c r="K5" s="301"/>
      <c r="L5" s="301"/>
      <c r="M5" s="301"/>
      <c r="N5" s="301"/>
      <c r="O5" s="301"/>
      <c r="P5" s="301"/>
      <c r="Q5" s="301"/>
      <c r="R5" s="301"/>
      <c r="S5" s="301"/>
      <c r="T5" s="301"/>
      <c r="U5" s="301"/>
      <c r="V5" s="301"/>
      <c r="W5" s="302"/>
    </row>
    <row r="6" spans="3:23" ht="52.5" x14ac:dyDescent="1.2">
      <c r="C6" s="303" t="s">
        <v>1</v>
      </c>
      <c r="D6" s="87"/>
      <c r="E6" s="87"/>
      <c r="F6" s="87"/>
      <c r="G6" s="87"/>
      <c r="H6" s="87"/>
      <c r="I6" s="87"/>
      <c r="J6" s="87"/>
      <c r="K6" s="87"/>
      <c r="L6" s="87"/>
      <c r="M6" s="87"/>
      <c r="N6" s="87"/>
      <c r="O6" s="87"/>
      <c r="P6" s="87"/>
      <c r="Q6" s="87"/>
      <c r="R6" s="87"/>
      <c r="S6" s="87"/>
      <c r="T6" s="87"/>
      <c r="U6" s="87"/>
      <c r="V6" s="87"/>
      <c r="W6" s="304"/>
    </row>
    <row r="7" spans="3:23" x14ac:dyDescent="0.35">
      <c r="C7" s="305"/>
      <c r="D7" s="87"/>
      <c r="E7" s="87"/>
      <c r="F7" s="87"/>
      <c r="G7" s="87"/>
      <c r="H7" s="87"/>
      <c r="I7" s="87"/>
      <c r="J7" s="87"/>
      <c r="K7" s="87"/>
      <c r="L7" s="87"/>
      <c r="M7" s="87"/>
      <c r="N7" s="87"/>
      <c r="O7" s="87"/>
      <c r="P7" s="87"/>
      <c r="Q7" s="87"/>
      <c r="R7" s="87"/>
      <c r="S7" s="87"/>
      <c r="T7" s="87"/>
      <c r="U7" s="87"/>
      <c r="V7" s="87"/>
      <c r="W7" s="304"/>
    </row>
    <row r="8" spans="3:23" ht="21" x14ac:dyDescent="0.5">
      <c r="C8" s="306" t="s">
        <v>2</v>
      </c>
      <c r="D8" s="307"/>
      <c r="E8" s="307"/>
      <c r="F8" s="307" t="s">
        <v>5</v>
      </c>
      <c r="G8" s="87"/>
      <c r="H8" s="87"/>
      <c r="I8" s="87"/>
      <c r="J8" s="87"/>
      <c r="K8" s="87"/>
      <c r="L8" s="87"/>
      <c r="M8" s="87"/>
      <c r="N8" s="87"/>
      <c r="O8" s="87"/>
      <c r="P8" s="87"/>
      <c r="Q8" s="87"/>
      <c r="R8" s="87"/>
      <c r="S8" s="87"/>
      <c r="T8" s="87"/>
      <c r="U8" s="87"/>
      <c r="V8" s="87"/>
      <c r="W8" s="304"/>
    </row>
    <row r="9" spans="3:23" ht="21" x14ac:dyDescent="0.5">
      <c r="C9" s="306" t="s">
        <v>3</v>
      </c>
      <c r="D9" s="307"/>
      <c r="E9" s="307"/>
      <c r="F9" s="307" t="s">
        <v>6</v>
      </c>
      <c r="G9" s="87"/>
      <c r="H9" s="87"/>
      <c r="I9" s="87"/>
      <c r="J9" s="87"/>
      <c r="K9" s="87"/>
      <c r="L9" s="87"/>
      <c r="M9" s="87"/>
      <c r="N9" s="87"/>
      <c r="O9" s="87"/>
      <c r="P9" s="87"/>
      <c r="Q9" s="87"/>
      <c r="R9" s="87"/>
      <c r="S9" s="87"/>
      <c r="T9" s="87"/>
      <c r="U9" s="87"/>
      <c r="V9" s="87"/>
      <c r="W9" s="304"/>
    </row>
    <row r="10" spans="3:23" ht="21" x14ac:dyDescent="0.5">
      <c r="C10" s="306" t="s">
        <v>4</v>
      </c>
      <c r="D10" s="307"/>
      <c r="E10" s="307"/>
      <c r="F10" s="307" t="s">
        <v>7</v>
      </c>
      <c r="G10" s="87"/>
      <c r="H10" s="87"/>
      <c r="I10" s="87"/>
      <c r="J10" s="87"/>
      <c r="K10" s="87"/>
      <c r="L10" s="87"/>
      <c r="M10" s="87"/>
      <c r="N10" s="87"/>
      <c r="O10" s="87"/>
      <c r="P10" s="87"/>
      <c r="Q10" s="87"/>
      <c r="R10" s="87"/>
      <c r="S10" s="87"/>
      <c r="T10" s="87"/>
      <c r="U10" s="87"/>
      <c r="V10" s="87"/>
      <c r="W10" s="304"/>
    </row>
    <row r="11" spans="3:23" ht="21" x14ac:dyDescent="0.5">
      <c r="C11" s="306" t="s">
        <v>9</v>
      </c>
      <c r="D11" s="307"/>
      <c r="E11" s="307"/>
      <c r="F11" s="307" t="s">
        <v>8</v>
      </c>
      <c r="G11" s="87"/>
      <c r="H11" s="87"/>
      <c r="I11" s="87"/>
      <c r="J11" s="87"/>
      <c r="K11" s="87"/>
      <c r="L11" s="87"/>
      <c r="M11" s="87"/>
      <c r="N11" s="87"/>
      <c r="O11" s="87"/>
      <c r="P11" s="87"/>
      <c r="Q11" s="87"/>
      <c r="R11" s="87"/>
      <c r="S11" s="87"/>
      <c r="T11" s="87"/>
      <c r="U11" s="87"/>
      <c r="V11" s="87"/>
      <c r="W11" s="304"/>
    </row>
    <row r="12" spans="3:23" ht="21" x14ac:dyDescent="0.5">
      <c r="C12" s="306" t="s">
        <v>1017</v>
      </c>
      <c r="D12" s="307"/>
      <c r="E12" s="307"/>
      <c r="F12" s="307" t="s">
        <v>1042</v>
      </c>
      <c r="G12" s="87"/>
      <c r="H12" s="87"/>
      <c r="I12" s="87"/>
      <c r="J12" s="87"/>
      <c r="K12" s="87"/>
      <c r="L12" s="87"/>
      <c r="M12" s="87"/>
      <c r="N12" s="87"/>
      <c r="O12" s="87"/>
      <c r="P12" s="87"/>
      <c r="Q12" s="87"/>
      <c r="R12" s="87"/>
      <c r="S12" s="87"/>
      <c r="T12" s="87"/>
      <c r="U12" s="87"/>
      <c r="V12" s="87"/>
      <c r="W12" s="304"/>
    </row>
    <row r="13" spans="3:23" ht="21" x14ac:dyDescent="0.5">
      <c r="C13" s="306" t="s">
        <v>1038</v>
      </c>
      <c r="D13" s="307"/>
      <c r="E13" s="307"/>
      <c r="F13" s="307" t="s">
        <v>580</v>
      </c>
      <c r="G13" s="87"/>
      <c r="H13" s="87"/>
      <c r="I13" s="87"/>
      <c r="J13" s="87"/>
      <c r="K13" s="87"/>
      <c r="L13" s="87"/>
      <c r="M13" s="87"/>
      <c r="N13" s="87"/>
      <c r="O13" s="87"/>
      <c r="P13" s="87"/>
      <c r="Q13" s="87"/>
      <c r="R13" s="87"/>
      <c r="S13" s="87"/>
      <c r="T13" s="87"/>
      <c r="U13" s="87"/>
      <c r="V13" s="87"/>
      <c r="W13" s="304"/>
    </row>
    <row r="14" spans="3:23" ht="21" x14ac:dyDescent="0.5">
      <c r="C14" s="306" t="s">
        <v>1039</v>
      </c>
      <c r="D14" s="307"/>
      <c r="E14" s="307"/>
      <c r="F14" s="307" t="s">
        <v>987</v>
      </c>
      <c r="G14" s="87"/>
      <c r="H14" s="87"/>
      <c r="I14" s="87"/>
      <c r="J14" s="87"/>
      <c r="K14" s="87"/>
      <c r="L14" s="87"/>
      <c r="M14" s="87"/>
      <c r="N14" s="87"/>
      <c r="O14" s="87"/>
      <c r="P14" s="87"/>
      <c r="Q14" s="87"/>
      <c r="R14" s="87"/>
      <c r="S14" s="87"/>
      <c r="T14" s="87"/>
      <c r="U14" s="87"/>
      <c r="V14" s="87"/>
      <c r="W14" s="304"/>
    </row>
    <row r="15" spans="3:23" ht="21" x14ac:dyDescent="0.5">
      <c r="C15" s="306" t="s">
        <v>1037</v>
      </c>
      <c r="D15" s="307"/>
      <c r="E15" s="307"/>
      <c r="F15" s="308">
        <v>2026</v>
      </c>
      <c r="G15" s="87"/>
      <c r="H15" s="87"/>
      <c r="I15" s="87"/>
      <c r="J15" s="87"/>
      <c r="K15" s="87"/>
      <c r="L15" s="87"/>
      <c r="M15" s="87"/>
      <c r="N15" s="87"/>
      <c r="O15" s="87"/>
      <c r="P15" s="87"/>
      <c r="Q15" s="87"/>
      <c r="R15" s="87"/>
      <c r="S15" s="87"/>
      <c r="T15" s="87"/>
      <c r="U15" s="87"/>
      <c r="V15" s="87"/>
      <c r="W15" s="304"/>
    </row>
    <row r="16" spans="3:23" ht="21" x14ac:dyDescent="0.5">
      <c r="C16" s="306" t="s">
        <v>54</v>
      </c>
      <c r="D16" s="87"/>
      <c r="E16" s="87"/>
      <c r="F16" s="309">
        <v>46319</v>
      </c>
      <c r="G16" s="87"/>
      <c r="H16" s="87"/>
      <c r="I16" s="87"/>
      <c r="J16" s="87"/>
      <c r="K16" s="87"/>
      <c r="L16" s="87"/>
      <c r="M16" s="87"/>
      <c r="N16" s="87"/>
      <c r="O16" s="87"/>
      <c r="P16" s="87"/>
      <c r="Q16" s="87"/>
      <c r="R16" s="87"/>
      <c r="S16" s="87"/>
      <c r="T16" s="87"/>
      <c r="U16" s="87"/>
      <c r="V16" s="87"/>
      <c r="W16" s="304"/>
    </row>
    <row r="17" spans="3:23" ht="21" x14ac:dyDescent="0.5">
      <c r="C17" s="306" t="s">
        <v>55</v>
      </c>
      <c r="D17" s="87"/>
      <c r="E17" s="87"/>
      <c r="F17" s="310">
        <v>211.8</v>
      </c>
      <c r="G17" s="87"/>
      <c r="H17" s="87"/>
      <c r="I17" s="87"/>
      <c r="J17" s="87"/>
      <c r="K17" s="87"/>
      <c r="L17" s="87"/>
      <c r="M17" s="87"/>
      <c r="N17" s="87"/>
      <c r="O17" s="87"/>
      <c r="P17" s="87"/>
      <c r="Q17" s="87"/>
      <c r="R17" s="87"/>
      <c r="S17" s="87"/>
      <c r="T17" s="87"/>
      <c r="U17" s="168" t="s">
        <v>1263</v>
      </c>
      <c r="V17" s="170"/>
      <c r="W17" s="304"/>
    </row>
    <row r="18" spans="3:23" ht="21" x14ac:dyDescent="0.5">
      <c r="C18" s="306" t="s">
        <v>1262</v>
      </c>
      <c r="D18" s="87"/>
      <c r="E18" s="87"/>
      <c r="F18" s="307" t="str">
        <f ca="1">IF(bs_check=0,"Balanced","Error!!!")</f>
        <v>Balanced</v>
      </c>
      <c r="G18" s="87"/>
      <c r="H18" s="87"/>
      <c r="I18" s="87"/>
      <c r="J18" s="87"/>
      <c r="K18" s="87"/>
      <c r="L18" s="87"/>
      <c r="M18" s="87"/>
      <c r="N18" s="87"/>
      <c r="O18" s="87"/>
      <c r="P18" s="87"/>
      <c r="Q18" s="87"/>
      <c r="R18" s="87"/>
      <c r="S18" s="87"/>
      <c r="T18" s="87"/>
      <c r="U18" s="234">
        <v>1</v>
      </c>
      <c r="V18" s="89"/>
      <c r="W18" s="304"/>
    </row>
    <row r="19" spans="3:23" ht="21" x14ac:dyDescent="0.5">
      <c r="C19" s="306" t="s">
        <v>1226</v>
      </c>
      <c r="D19" s="87"/>
      <c r="E19" s="87"/>
      <c r="F19" s="311">
        <v>1</v>
      </c>
      <c r="G19" s="87"/>
      <c r="H19" s="87"/>
      <c r="I19" s="87"/>
      <c r="J19" s="87"/>
      <c r="K19" s="87"/>
      <c r="L19" s="87"/>
      <c r="M19" s="87"/>
      <c r="N19" s="87"/>
      <c r="O19" s="87"/>
      <c r="P19" s="87"/>
      <c r="Q19" s="87"/>
      <c r="R19" s="87"/>
      <c r="S19" s="87"/>
      <c r="T19" s="87"/>
      <c r="U19" s="235">
        <v>0</v>
      </c>
      <c r="V19" s="92"/>
      <c r="W19" s="304"/>
    </row>
    <row r="20" spans="3:23" ht="15" thickBot="1" x14ac:dyDescent="0.4">
      <c r="C20" s="312"/>
      <c r="D20" s="313"/>
      <c r="E20" s="313"/>
      <c r="F20" s="313"/>
      <c r="G20" s="313"/>
      <c r="H20" s="313"/>
      <c r="I20" s="313"/>
      <c r="J20" s="313"/>
      <c r="K20" s="313"/>
      <c r="L20" s="313"/>
      <c r="M20" s="313"/>
      <c r="N20" s="313"/>
      <c r="O20" s="313"/>
      <c r="P20" s="313"/>
      <c r="Q20" s="313"/>
      <c r="R20" s="313"/>
      <c r="S20" s="313"/>
      <c r="T20" s="313"/>
      <c r="U20" s="313"/>
      <c r="V20" s="313"/>
      <c r="W20" s="314"/>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Drop Down 1">
              <controlPr defaultSize="0" autoLine="0" autoPict="0">
                <anchor moveWithCells="1">
                  <from>
                    <xdr:col>5</xdr:col>
                    <xdr:colOff>222250</xdr:colOff>
                    <xdr:row>18</xdr:row>
                    <xdr:rowOff>88900</xdr:rowOff>
                  </from>
                  <to>
                    <xdr:col>5</xdr:col>
                    <xdr:colOff>952500</xdr:colOff>
                    <xdr:row>19</xdr:row>
                    <xdr:rowOff>31750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D4AA2-83A6-469A-BC90-4B7DDD5EC6EB}">
  <sheetPr>
    <tabColor theme="6" tint="0.59999389629810485"/>
    <pageSetUpPr fitToPage="1"/>
  </sheetPr>
  <dimension ref="A1:AD75"/>
  <sheetViews>
    <sheetView showGridLines="0" zoomScale="55" zoomScaleNormal="55" workbookViewId="0"/>
  </sheetViews>
  <sheetFormatPr defaultColWidth="0" defaultRowHeight="14.5" x14ac:dyDescent="0.35"/>
  <cols>
    <col min="1" max="3" width="2.26953125" customWidth="1"/>
    <col min="4" max="4" width="22.453125" bestFit="1" customWidth="1"/>
    <col min="5" max="5" width="16.90625" bestFit="1" customWidth="1"/>
    <col min="6" max="12" width="7.6328125" bestFit="1" customWidth="1"/>
    <col min="13" max="19" width="8.7265625" customWidth="1"/>
    <col min="20" max="20" width="9.453125" customWidth="1"/>
    <col min="21" max="30" width="8.7265625" customWidth="1"/>
    <col min="31" max="16384" width="8.7265625" hidden="1"/>
  </cols>
  <sheetData>
    <row r="1" spans="1:30" ht="7" customHeight="1" x14ac:dyDescent="0.35">
      <c r="A1" s="22"/>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row>
    <row r="2" spans="1:30" ht="47.5" x14ac:dyDescent="1.1000000000000001">
      <c r="A2" s="22"/>
      <c r="B2" s="23" t="str">
        <f>company_name</f>
        <v>BT GROUP PLC</v>
      </c>
      <c r="C2" s="24"/>
      <c r="D2" s="22"/>
      <c r="E2" s="22"/>
      <c r="F2" s="22"/>
      <c r="G2" s="22"/>
      <c r="H2" s="22"/>
      <c r="I2" s="22"/>
      <c r="J2" s="22"/>
      <c r="K2" s="22"/>
      <c r="L2" s="22"/>
      <c r="M2" s="22"/>
      <c r="N2" s="22"/>
      <c r="O2" s="22"/>
      <c r="P2" s="22"/>
      <c r="Q2" s="22"/>
      <c r="R2" s="22"/>
      <c r="S2" s="22"/>
      <c r="T2" s="22"/>
      <c r="U2" s="22"/>
      <c r="V2" s="22"/>
      <c r="W2" s="22"/>
      <c r="X2" s="22"/>
      <c r="Y2" s="22"/>
      <c r="Z2" s="22"/>
      <c r="AA2" s="22"/>
      <c r="AB2" s="22"/>
      <c r="AC2" s="22"/>
      <c r="AD2" s="22"/>
    </row>
    <row r="3" spans="1:30" ht="26" x14ac:dyDescent="0.6">
      <c r="A3" s="22"/>
      <c r="B3" s="22"/>
      <c r="C3" s="25" t="s">
        <v>1302</v>
      </c>
      <c r="D3" s="22"/>
      <c r="E3" s="22"/>
      <c r="F3" s="22"/>
      <c r="G3" s="22"/>
      <c r="H3" s="22"/>
      <c r="I3" s="22"/>
      <c r="J3" s="22"/>
      <c r="K3" s="22"/>
      <c r="L3" s="22"/>
      <c r="M3" s="22"/>
      <c r="N3" s="22"/>
      <c r="O3" s="22"/>
      <c r="P3" s="22"/>
      <c r="Q3" s="22"/>
      <c r="R3" s="22"/>
      <c r="S3" s="22"/>
      <c r="T3" s="22"/>
      <c r="U3" s="22"/>
      <c r="V3" s="22"/>
      <c r="W3" s="22"/>
      <c r="X3" s="22"/>
      <c r="Y3" s="22"/>
      <c r="Z3" s="22"/>
      <c r="AA3" s="22"/>
      <c r="AB3" s="22"/>
      <c r="AC3" s="22"/>
      <c r="AD3" s="22"/>
    </row>
    <row r="4" spans="1:30" x14ac:dyDescent="0.35">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row>
    <row r="7" spans="1:30" s="83" customFormat="1" x14ac:dyDescent="0.35"/>
    <row r="8" spans="1:30" ht="21.5" thickBot="1" x14ac:dyDescent="0.55000000000000004">
      <c r="B8" s="21" t="s">
        <v>1271</v>
      </c>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row>
    <row r="9" spans="1:30" ht="15" thickTop="1" x14ac:dyDescent="0.35"/>
    <row r="10" spans="1:30" ht="23.5" x14ac:dyDescent="0.55000000000000004">
      <c r="D10" s="256" t="str">
        <f>"Current Share Price: "&amp;'Cover Page'!F17</f>
        <v>Current Share Price: 211.8</v>
      </c>
    </row>
    <row r="11" spans="1:30" ht="23.5" x14ac:dyDescent="0.55000000000000004">
      <c r="D11" s="256" t="s">
        <v>1297</v>
      </c>
    </row>
    <row r="12" spans="1:30" ht="23.5" x14ac:dyDescent="0.55000000000000004">
      <c r="D12" s="256" t="s">
        <v>1201</v>
      </c>
      <c r="E12" s="270">
        <f>'Cover Page'!F16</f>
        <v>46319</v>
      </c>
    </row>
    <row r="13" spans="1:30" ht="18.5" x14ac:dyDescent="0.45">
      <c r="D13" s="253" t="s">
        <v>1295</v>
      </c>
      <c r="E13" s="211"/>
      <c r="F13" s="211"/>
      <c r="G13" s="211"/>
      <c r="H13" s="211"/>
      <c r="I13" s="211"/>
      <c r="J13" s="211"/>
      <c r="K13" s="211"/>
      <c r="L13" s="211"/>
      <c r="M13" s="211"/>
      <c r="N13" s="211"/>
      <c r="O13" s="211"/>
      <c r="P13" s="211"/>
      <c r="Q13" s="211"/>
      <c r="S13" s="87"/>
      <c r="T13" s="87"/>
      <c r="V13" s="253" t="s">
        <v>1296</v>
      </c>
      <c r="W13" s="254"/>
      <c r="X13" s="254"/>
      <c r="Y13" s="254"/>
    </row>
    <row r="14" spans="1:30" x14ac:dyDescent="0.35">
      <c r="S14" s="87"/>
      <c r="T14" s="87"/>
      <c r="U14" s="181"/>
    </row>
    <row r="15" spans="1:30" ht="14.5" customHeight="1" x14ac:dyDescent="0.35">
      <c r="S15" s="329"/>
      <c r="T15" s="181"/>
      <c r="U15" s="87"/>
    </row>
    <row r="16" spans="1:30" x14ac:dyDescent="0.35">
      <c r="S16" s="329"/>
      <c r="T16" s="255"/>
    </row>
    <row r="17" spans="19:20" x14ac:dyDescent="0.35">
      <c r="S17" s="329"/>
      <c r="T17" s="255"/>
    </row>
    <row r="18" spans="19:20" x14ac:dyDescent="0.35">
      <c r="S18" s="329"/>
      <c r="T18" s="87"/>
    </row>
    <row r="19" spans="19:20" x14ac:dyDescent="0.35">
      <c r="S19" s="87"/>
      <c r="T19" s="87"/>
    </row>
    <row r="35" spans="5:28" x14ac:dyDescent="0.35">
      <c r="E35" s="211"/>
      <c r="F35" s="211"/>
      <c r="G35" s="211"/>
      <c r="H35" s="211"/>
      <c r="I35" s="211"/>
      <c r="J35" s="211"/>
      <c r="K35" s="211"/>
      <c r="L35" s="211"/>
      <c r="M35" s="211"/>
      <c r="N35" s="211"/>
      <c r="O35" s="211"/>
      <c r="P35" s="211"/>
      <c r="Q35" s="211"/>
      <c r="R35" s="211"/>
    </row>
    <row r="41" spans="5:28" ht="18.5" x14ac:dyDescent="0.45">
      <c r="V41" s="64" t="s">
        <v>1294</v>
      </c>
    </row>
    <row r="43" spans="5:28" x14ac:dyDescent="0.35">
      <c r="V43" s="115"/>
      <c r="W43" s="83"/>
      <c r="X43" s="83"/>
      <c r="Y43" s="83"/>
      <c r="Z43" s="189" t="s">
        <v>1288</v>
      </c>
      <c r="AA43" s="189" t="s">
        <v>1292</v>
      </c>
      <c r="AB43" s="258" t="s">
        <v>1289</v>
      </c>
    </row>
    <row r="44" spans="5:28" x14ac:dyDescent="0.35">
      <c r="V44" s="86" t="str">
        <f>D56</f>
        <v>Dividend Discount Model</v>
      </c>
      <c r="W44" s="87"/>
      <c r="X44" s="87"/>
      <c r="Y44" s="87"/>
      <c r="Z44" s="151">
        <f>G71</f>
        <v>157.46247212776217</v>
      </c>
      <c r="AA44" s="151">
        <f>I72</f>
        <v>128.29569404228241</v>
      </c>
      <c r="AB44" s="257">
        <f>K74</f>
        <v>103.70133385443931</v>
      </c>
    </row>
    <row r="45" spans="5:28" x14ac:dyDescent="0.35">
      <c r="V45" s="86" t="str">
        <f>D57</f>
        <v>FCFF/FCFE Model</v>
      </c>
      <c r="W45" s="87"/>
      <c r="X45" s="87"/>
      <c r="Y45" s="87"/>
      <c r="Z45" s="151">
        <f>W71</f>
        <v>434.17676293882801</v>
      </c>
      <c r="AA45" s="151">
        <f>X73</f>
        <v>319.7548658327139</v>
      </c>
      <c r="AB45" s="257">
        <f>Z74</f>
        <v>227.66208097958116</v>
      </c>
    </row>
    <row r="46" spans="5:28" x14ac:dyDescent="0.35">
      <c r="V46" s="86" t="str">
        <f>D58</f>
        <v>Residual Income</v>
      </c>
      <c r="W46" s="87"/>
      <c r="X46" s="87"/>
      <c r="Y46" s="87"/>
      <c r="Z46" s="151">
        <f>O71</f>
        <v>314.26293294895129</v>
      </c>
      <c r="AA46" s="151">
        <f>Q72</f>
        <v>254.415058131297</v>
      </c>
      <c r="AB46" s="257">
        <f>S74</f>
        <v>210.59712927443485</v>
      </c>
    </row>
    <row r="47" spans="5:28" x14ac:dyDescent="0.35">
      <c r="V47" s="90" t="str">
        <f>D59</f>
        <v>Comparables</v>
      </c>
      <c r="W47" s="82"/>
      <c r="X47" s="82"/>
      <c r="Y47" s="82"/>
      <c r="Z47" s="135">
        <f ca="1">W56</f>
        <v>376.62782817766305</v>
      </c>
      <c r="AA47" s="135">
        <f ca="1">W57</f>
        <v>225.95690911979352</v>
      </c>
      <c r="AB47" s="243">
        <f ca="1">W58</f>
        <v>136.80467203203125</v>
      </c>
    </row>
    <row r="50" spans="3:30" ht="17.5" thickBot="1" x14ac:dyDescent="0.45">
      <c r="C50" s="58" t="s">
        <v>1272</v>
      </c>
      <c r="D50" s="58"/>
      <c r="E50" s="58"/>
      <c r="F50" s="58"/>
      <c r="G50" s="58"/>
      <c r="H50" s="58"/>
      <c r="I50" s="58"/>
      <c r="J50" s="58"/>
      <c r="K50" s="58"/>
      <c r="L50" s="58"/>
      <c r="M50" s="58"/>
      <c r="N50" s="58"/>
      <c r="O50" s="58"/>
      <c r="P50" s="58"/>
      <c r="Q50" s="58"/>
      <c r="R50" s="58"/>
      <c r="S50" s="58"/>
      <c r="T50" s="58"/>
      <c r="U50" s="58"/>
      <c r="V50" s="58"/>
      <c r="W50" s="58"/>
      <c r="X50" s="58"/>
      <c r="Y50" s="58"/>
      <c r="Z50" s="58"/>
      <c r="AA50" s="58"/>
      <c r="AB50" s="58"/>
      <c r="AC50" s="58"/>
      <c r="AD50" s="58"/>
    </row>
    <row r="51" spans="3:30" ht="15" thickTop="1" x14ac:dyDescent="0.35"/>
    <row r="53" spans="3:30" ht="18.5" x14ac:dyDescent="0.45">
      <c r="D53" s="64" t="s">
        <v>1273</v>
      </c>
      <c r="N53" s="64" t="s">
        <v>1284</v>
      </c>
      <c r="T53" s="64" t="s">
        <v>1290</v>
      </c>
    </row>
    <row r="55" spans="3:30" x14ac:dyDescent="0.35">
      <c r="W55" t="s">
        <v>1291</v>
      </c>
    </row>
    <row r="56" spans="3:30" x14ac:dyDescent="0.35">
      <c r="D56" t="s">
        <v>712</v>
      </c>
      <c r="E56" s="77" t="s">
        <v>645</v>
      </c>
      <c r="F56" s="67">
        <f>DDM!F43</f>
        <v>128.29569404228241</v>
      </c>
      <c r="N56" t="s">
        <v>992</v>
      </c>
      <c r="P56" s="77" t="s">
        <v>711</v>
      </c>
      <c r="Q56" s="152">
        <f>'Cost of Capital'!I17</f>
        <v>6.8424934519951158E-2</v>
      </c>
      <c r="T56" t="str">
        <f>COMPS!C16</f>
        <v>Maximum</v>
      </c>
      <c r="U56" s="77" t="s">
        <v>1280</v>
      </c>
      <c r="V56" s="67">
        <f>COMPS!F16</f>
        <v>23.850830737152702</v>
      </c>
      <c r="W56">
        <f ca="1">V56*$V$59*100</f>
        <v>376.62782817766305</v>
      </c>
    </row>
    <row r="57" spans="3:30" x14ac:dyDescent="0.35">
      <c r="D57" t="s">
        <v>1005</v>
      </c>
      <c r="E57" s="77" t="s">
        <v>645</v>
      </c>
      <c r="F57" s="67">
        <f ca="1">FCFF!F48</f>
        <v>319.7548658327139</v>
      </c>
      <c r="N57" t="s">
        <v>18</v>
      </c>
      <c r="P57" s="77" t="s">
        <v>711</v>
      </c>
      <c r="Q57" s="152">
        <f>'Cost of Equity'!E15</f>
        <v>9.2604507576748513E-2</v>
      </c>
      <c r="T57" t="str">
        <f>COMPS!C17</f>
        <v>Average</v>
      </c>
      <c r="U57" s="77" t="s">
        <v>1280</v>
      </c>
      <c r="V57" s="67">
        <f>COMPS!F17</f>
        <v>14.309245334798169</v>
      </c>
      <c r="W57">
        <f ca="1">V57*$V$59*100</f>
        <v>225.95690911979352</v>
      </c>
    </row>
    <row r="58" spans="3:30" x14ac:dyDescent="0.35">
      <c r="D58" t="s">
        <v>1041</v>
      </c>
      <c r="E58" s="77" t="s">
        <v>645</v>
      </c>
      <c r="F58" s="67">
        <f ca="1">'RES.INC'!F62</f>
        <v>254.415058131297</v>
      </c>
      <c r="N58" t="s">
        <v>1285</v>
      </c>
      <c r="P58" s="77" t="s">
        <v>711</v>
      </c>
      <c r="Q58" s="152">
        <f>DDM!F17</f>
        <v>2.0296084049665708E-2</v>
      </c>
      <c r="T58" t="str">
        <f>COMPS!C19</f>
        <v>Minimum</v>
      </c>
      <c r="U58" s="77" t="s">
        <v>1280</v>
      </c>
      <c r="V58" s="67">
        <f>COMPS!F19</f>
        <v>8.6634731492769195</v>
      </c>
      <c r="W58">
        <f ca="1">V58*$V$59*100</f>
        <v>136.80467203203125</v>
      </c>
    </row>
    <row r="59" spans="3:30" x14ac:dyDescent="0.35">
      <c r="D59" t="s">
        <v>1283</v>
      </c>
      <c r="E59" s="77" t="s">
        <v>645</v>
      </c>
      <c r="F59" s="67">
        <f ca="1">COMPS!I35</f>
        <v>225.95690911979352</v>
      </c>
      <c r="N59" t="s">
        <v>1286</v>
      </c>
      <c r="P59" s="77" t="s">
        <v>711</v>
      </c>
      <c r="Q59" s="152">
        <f>Inputs!F32</f>
        <v>1.4E-2</v>
      </c>
      <c r="T59" t="str">
        <f>COMPS!G34</f>
        <v>Forward EPS</v>
      </c>
      <c r="U59" s="77" t="str">
        <f>COMPS!H34</f>
        <v>[£'M]</v>
      </c>
      <c r="V59" s="67">
        <f ca="1">COMPS!I34</f>
        <v>0.15790973166858535</v>
      </c>
    </row>
    <row r="60" spans="3:30" x14ac:dyDescent="0.35">
      <c r="N60" t="s">
        <v>704</v>
      </c>
      <c r="P60" s="77" t="s">
        <v>645</v>
      </c>
      <c r="Q60" s="67">
        <f>'Cover Page'!F17</f>
        <v>211.8</v>
      </c>
      <c r="U60" s="77"/>
    </row>
    <row r="64" spans="3:30" ht="17.5" thickBot="1" x14ac:dyDescent="0.45">
      <c r="C64" s="58" t="s">
        <v>1293</v>
      </c>
      <c r="D64" s="58"/>
      <c r="E64" s="58"/>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row>
    <row r="65" spans="2:27" ht="15" thickTop="1" x14ac:dyDescent="0.35"/>
    <row r="67" spans="2:27" ht="18.5" x14ac:dyDescent="0.45">
      <c r="B67" s="211"/>
      <c r="C67" s="211"/>
      <c r="E67" s="211"/>
      <c r="G67" s="253" t="s">
        <v>712</v>
      </c>
      <c r="H67" s="211"/>
      <c r="I67" s="211"/>
      <c r="J67" s="211"/>
      <c r="K67" s="211"/>
      <c r="N67" s="253" t="s">
        <v>1041</v>
      </c>
      <c r="O67" s="211"/>
      <c r="P67" s="211"/>
      <c r="Q67" s="211"/>
      <c r="R67" s="211"/>
      <c r="S67" s="211"/>
      <c r="T67" s="211"/>
      <c r="V67" s="253" t="s">
        <v>1005</v>
      </c>
      <c r="W67" s="211"/>
      <c r="X67" s="211"/>
      <c r="Y67" s="211"/>
      <c r="Z67" s="211"/>
      <c r="AA67" s="211"/>
    </row>
    <row r="69" spans="2:27" x14ac:dyDescent="0.35">
      <c r="F69" s="211"/>
      <c r="G69" s="211" t="s">
        <v>18</v>
      </c>
      <c r="H69" s="211"/>
      <c r="I69" s="211"/>
      <c r="J69" s="211"/>
      <c r="K69" s="211"/>
      <c r="N69" s="211" t="s">
        <v>18</v>
      </c>
      <c r="O69" s="211"/>
      <c r="P69" s="211"/>
      <c r="Q69" s="211"/>
      <c r="R69" s="211"/>
      <c r="S69" s="211"/>
      <c r="T69" s="211"/>
      <c r="W69" s="211" t="s">
        <v>992</v>
      </c>
      <c r="X69" s="211"/>
      <c r="Y69" s="211"/>
      <c r="Z69" s="211"/>
      <c r="AA69" s="211"/>
    </row>
    <row r="70" spans="2:27" x14ac:dyDescent="0.35">
      <c r="F70" s="92">
        <f>DDM!F43</f>
        <v>128.29569404228241</v>
      </c>
      <c r="G70" s="183">
        <v>8.299999999999999E-2</v>
      </c>
      <c r="H70" s="183">
        <v>8.7999999999999995E-2</v>
      </c>
      <c r="I70" s="183">
        <v>9.2604507576748513E-2</v>
      </c>
      <c r="J70" s="183">
        <v>9.8000000000000004E-2</v>
      </c>
      <c r="K70" s="183">
        <v>0.10300000000000001</v>
      </c>
      <c r="M70" s="327" t="s">
        <v>595</v>
      </c>
      <c r="N70" s="92">
        <f ca="1">'RES.INC'!F62</f>
        <v>254.415058131297</v>
      </c>
      <c r="O70" s="183">
        <v>8.2604507576748504E-2</v>
      </c>
      <c r="P70" s="183">
        <v>8.7604507576748508E-2</v>
      </c>
      <c r="Q70" s="183">
        <v>9.2604507576748513E-2</v>
      </c>
      <c r="R70" s="183">
        <v>9.7604507576748517E-2</v>
      </c>
      <c r="S70" s="183">
        <v>0.10260450757674852</v>
      </c>
      <c r="T70" s="181"/>
      <c r="U70" s="327" t="s">
        <v>595</v>
      </c>
      <c r="V70" s="92">
        <f ca="1">FCFF!F48</f>
        <v>319.7548658327139</v>
      </c>
      <c r="W70" s="190">
        <v>6.3424934519951154E-2</v>
      </c>
      <c r="X70" s="190">
        <v>6.8424934519951158E-2</v>
      </c>
      <c r="Y70" s="190">
        <v>7.3424934519951163E-2</v>
      </c>
      <c r="Z70" s="190">
        <v>7.8424934519951167E-2</v>
      </c>
    </row>
    <row r="71" spans="2:27" ht="14.5" customHeight="1" x14ac:dyDescent="0.35">
      <c r="E71" s="328" t="s">
        <v>595</v>
      </c>
      <c r="F71" s="182">
        <v>2.5296084049665709E-2</v>
      </c>
      <c r="G71">
        <f t="dataTable" ref="G71:K74" dt2D="1" dtr="1" r1="Q57" r2="Q58"/>
        <v>157.46247212776217</v>
      </c>
      <c r="H71">
        <v>145.23713188628534</v>
      </c>
      <c r="I71">
        <v>135.58494301414038</v>
      </c>
      <c r="J71">
        <v>125.8299197048065</v>
      </c>
      <c r="K71">
        <v>117.99898226804335</v>
      </c>
      <c r="M71" s="327"/>
      <c r="N71" s="182">
        <v>2.5296084049665709E-2</v>
      </c>
      <c r="O71">
        <f t="dataTable" ref="O71:S74" dt2D="1" dtr="1" r1="Q57" r2="Q58" ca="1"/>
        <v>314.26293294895129</v>
      </c>
      <c r="P71">
        <v>286.26706904113911</v>
      </c>
      <c r="Q71">
        <v>262.4269766986223</v>
      </c>
      <c r="R71">
        <v>241.87968154099181</v>
      </c>
      <c r="S71">
        <v>223.98549087938093</v>
      </c>
      <c r="U71" s="327"/>
      <c r="V71" s="252">
        <v>0.02</v>
      </c>
      <c r="W71">
        <f t="dataTable" ref="W71:Z74" dt2D="1" dtr="1" r1="Q56" r2="Q59" ca="1"/>
        <v>434.17676293882801</v>
      </c>
      <c r="X71">
        <v>371.20252934882461</v>
      </c>
      <c r="Y71">
        <v>320.03836064050114</v>
      </c>
      <c r="Z71">
        <v>277.65163910644009</v>
      </c>
    </row>
    <row r="72" spans="2:27" x14ac:dyDescent="0.35">
      <c r="E72" s="328"/>
      <c r="F72" s="182">
        <v>2.0296084049665708E-2</v>
      </c>
      <c r="G72">
        <v>147.35286712831544</v>
      </c>
      <c r="H72">
        <v>136.75722993339446</v>
      </c>
      <c r="I72" s="159">
        <v>128.29569404228241</v>
      </c>
      <c r="J72">
        <v>119.65652612666207</v>
      </c>
      <c r="K72">
        <v>112.6568410421545</v>
      </c>
      <c r="M72" s="327"/>
      <c r="N72" s="182">
        <v>2.0296084049665708E-2</v>
      </c>
      <c r="O72">
        <v>301.2183952779705</v>
      </c>
      <c r="P72">
        <v>276.07842043202709</v>
      </c>
      <c r="Q72" s="159">
        <v>254.415058131297</v>
      </c>
      <c r="R72">
        <v>235.55285195860631</v>
      </c>
      <c r="S72">
        <v>218.98050070379477</v>
      </c>
      <c r="U72" s="327"/>
      <c r="V72" s="252">
        <v>1.7000000000000001E-2</v>
      </c>
      <c r="W72">
        <v>399.9965821991982</v>
      </c>
      <c r="X72">
        <v>343.97803461483039</v>
      </c>
      <c r="Y72">
        <v>297.9095374399883</v>
      </c>
      <c r="Z72">
        <v>259.36078968876592</v>
      </c>
    </row>
    <row r="73" spans="2:27" x14ac:dyDescent="0.35">
      <c r="E73" s="328"/>
      <c r="F73" s="252">
        <v>1.5296084049665707E-2</v>
      </c>
      <c r="G73">
        <v>138.73647044001908</v>
      </c>
      <c r="H73">
        <v>129.44368908252224</v>
      </c>
      <c r="I73">
        <v>121.94932407885537</v>
      </c>
      <c r="J73">
        <v>114.22957768442285</v>
      </c>
      <c r="K73">
        <v>107.92381072858956</v>
      </c>
      <c r="M73" s="327"/>
      <c r="N73" s="182">
        <v>1.5296084049665707E-2</v>
      </c>
      <c r="O73">
        <v>290.11188214945008</v>
      </c>
      <c r="P73">
        <v>267.29882599836606</v>
      </c>
      <c r="Q73" s="87">
        <v>247.43949733739311</v>
      </c>
      <c r="R73">
        <v>229.99469577698193</v>
      </c>
      <c r="S73">
        <v>214.54876451372286</v>
      </c>
      <c r="U73" s="327"/>
      <c r="V73" s="252">
        <v>1.4E-2</v>
      </c>
      <c r="W73">
        <v>369.96574604504286</v>
      </c>
      <c r="X73" s="159">
        <v>319.7548658327139</v>
      </c>
      <c r="Y73">
        <v>278.01501100859542</v>
      </c>
      <c r="Z73">
        <v>242.77339712865461</v>
      </c>
    </row>
    <row r="74" spans="2:27" x14ac:dyDescent="0.35">
      <c r="E74" s="328"/>
      <c r="F74" s="252">
        <v>1.0296084049665706E-2</v>
      </c>
      <c r="G74">
        <v>131.30520890925436</v>
      </c>
      <c r="H74">
        <v>123.07135444518853</v>
      </c>
      <c r="I74" s="87">
        <v>116.37400156008498</v>
      </c>
      <c r="J74">
        <v>109.42140987283562</v>
      </c>
      <c r="K74">
        <v>103.70133385443931</v>
      </c>
      <c r="M74" s="327"/>
      <c r="N74" s="182">
        <v>1.0296084049665706E-2</v>
      </c>
      <c r="O74">
        <v>280.54136062284323</v>
      </c>
      <c r="P74">
        <v>259.6548897547321</v>
      </c>
      <c r="Q74">
        <v>241.31142705478652</v>
      </c>
      <c r="R74">
        <v>225.0731512711944</v>
      </c>
      <c r="S74">
        <v>210.59712927443485</v>
      </c>
      <c r="U74" s="327"/>
      <c r="V74" s="182">
        <v>1.0999999999999999E-2</v>
      </c>
      <c r="W74">
        <v>343.37191975222288</v>
      </c>
      <c r="X74">
        <v>298.06263616106696</v>
      </c>
      <c r="Y74" s="87">
        <v>260.03265572333646</v>
      </c>
      <c r="Z74">
        <v>227.66208097958116</v>
      </c>
    </row>
    <row r="75" spans="2:27" x14ac:dyDescent="0.35">
      <c r="F75" s="255"/>
      <c r="M75" s="327"/>
      <c r="U75" s="327"/>
    </row>
  </sheetData>
  <mergeCells count="4">
    <mergeCell ref="U70:U75"/>
    <mergeCell ref="M70:M75"/>
    <mergeCell ref="E71:E74"/>
    <mergeCell ref="S15:S18"/>
  </mergeCells>
  <pageMargins left="0.70866141732283472" right="0.70866141732283472" top="0.74803149606299213" bottom="0.74803149606299213" header="0.31496062992125984" footer="0.31496062992125984"/>
  <pageSetup scale="49" fitToHeight="0" orientation="landscape" r:id="rId1"/>
  <headerFooter>
    <oddFooter xml:space="preserve">&amp;LOpeoluwa Kuku
 H00529768
&amp;F&amp;C&amp;P of &amp;N&amp;RPrinted on &amp;D 
at &amp;D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7E9D4-150B-4124-A690-A6D1DE00DEBE}">
  <sheetPr>
    <tabColor theme="6" tint="0.59999389629810485"/>
    <pageSetUpPr fitToPage="1"/>
  </sheetPr>
  <dimension ref="A1:U185"/>
  <sheetViews>
    <sheetView showGridLines="0" zoomScale="55" zoomScaleNormal="55" workbookViewId="0">
      <pane ySplit="7" topLeftCell="A8" activePane="bottomLeft" state="frozen"/>
      <selection pane="bottomLeft"/>
    </sheetView>
  </sheetViews>
  <sheetFormatPr defaultColWidth="0" defaultRowHeight="14.5" x14ac:dyDescent="0.35"/>
  <cols>
    <col min="1" max="3" width="2.26953125" customWidth="1"/>
    <col min="4" max="4" width="34.26953125" customWidth="1"/>
    <col min="5" max="5" width="15.54296875" customWidth="1"/>
    <col min="6" max="6" width="16.36328125" bestFit="1" customWidth="1"/>
    <col min="7" max="8" width="2.453125" customWidth="1"/>
    <col min="9" max="9" width="18.90625" bestFit="1" customWidth="1"/>
    <col min="10" max="10" width="16.36328125" bestFit="1" customWidth="1"/>
    <col min="11" max="11" width="13.453125" customWidth="1"/>
    <col min="12" max="12" width="10.81640625" bestFit="1" customWidth="1"/>
    <col min="13" max="13" width="13.6328125" customWidth="1"/>
    <col min="14" max="18" width="17" bestFit="1" customWidth="1"/>
    <col min="19" max="19" width="9.7265625" bestFit="1" customWidth="1"/>
    <col min="20" max="21" width="8.7265625" customWidth="1"/>
    <col min="22" max="16384" width="8.7265625" hidden="1"/>
  </cols>
  <sheetData>
    <row r="1" spans="1:21" ht="7" customHeight="1" x14ac:dyDescent="0.35">
      <c r="A1" s="22"/>
      <c r="B1" s="22"/>
      <c r="C1" s="22"/>
      <c r="D1" s="22"/>
      <c r="E1" s="22"/>
      <c r="F1" s="22"/>
      <c r="G1" s="22"/>
      <c r="H1" s="22"/>
      <c r="I1" s="22"/>
      <c r="J1" s="22"/>
      <c r="K1" s="22"/>
      <c r="L1" s="22"/>
      <c r="M1" s="22"/>
      <c r="N1" s="22"/>
      <c r="O1" s="22"/>
      <c r="P1" s="22"/>
      <c r="Q1" s="22"/>
      <c r="R1" s="22"/>
      <c r="S1" s="22"/>
      <c r="T1" s="22"/>
      <c r="U1" s="22"/>
    </row>
    <row r="2" spans="1:21" ht="47.5" x14ac:dyDescent="1.1000000000000001">
      <c r="A2" s="22"/>
      <c r="B2" s="23" t="str">
        <f>company_name</f>
        <v>BT GROUP PLC</v>
      </c>
      <c r="C2" s="24"/>
      <c r="D2" s="22"/>
      <c r="E2" s="22"/>
      <c r="F2" s="22"/>
      <c r="G2" s="22"/>
      <c r="H2" s="22"/>
      <c r="I2" s="22"/>
      <c r="J2" s="22"/>
      <c r="K2" s="22"/>
      <c r="L2" s="22"/>
      <c r="M2" s="22"/>
      <c r="N2" s="22"/>
      <c r="O2" s="22"/>
      <c r="P2" s="22"/>
      <c r="Q2" s="22"/>
      <c r="R2" s="22"/>
      <c r="S2" s="22"/>
      <c r="T2" s="22"/>
      <c r="U2" s="22"/>
    </row>
    <row r="3" spans="1:21" ht="26" x14ac:dyDescent="0.6">
      <c r="A3" s="22"/>
      <c r="B3" s="22"/>
      <c r="C3" s="25" t="s">
        <v>643</v>
      </c>
      <c r="D3" s="22"/>
      <c r="E3" s="22"/>
      <c r="F3" s="22"/>
      <c r="G3" s="22"/>
      <c r="H3" s="22"/>
      <c r="I3" s="22"/>
      <c r="J3" s="22"/>
      <c r="K3" s="22"/>
      <c r="L3" s="22"/>
      <c r="M3" s="22"/>
      <c r="N3" s="22"/>
      <c r="O3" s="22"/>
      <c r="P3" s="22"/>
      <c r="Q3" s="22"/>
      <c r="R3" s="22"/>
      <c r="S3" s="22"/>
      <c r="T3" s="22"/>
      <c r="U3" s="22"/>
    </row>
    <row r="4" spans="1:21" x14ac:dyDescent="0.35">
      <c r="A4" s="22"/>
      <c r="B4" s="22"/>
      <c r="C4" s="22"/>
      <c r="D4" s="22"/>
      <c r="E4" s="22"/>
      <c r="F4" s="22"/>
      <c r="G4" s="22"/>
      <c r="H4" s="22"/>
      <c r="I4" s="22"/>
      <c r="J4" s="22"/>
      <c r="K4" s="22"/>
      <c r="L4" s="22"/>
      <c r="M4" s="22"/>
      <c r="N4" s="22"/>
      <c r="O4" s="22"/>
      <c r="P4" s="22"/>
      <c r="Q4" s="22"/>
      <c r="R4" s="22"/>
      <c r="S4" s="22"/>
      <c r="T4" s="22"/>
      <c r="U4" s="22"/>
    </row>
    <row r="5" spans="1:21" x14ac:dyDescent="0.35">
      <c r="C5" t="str">
        <f ca="1">"Balance Sheet Check: "&amp;IF(bs_check=0,"Balanced as all things should be","Error!!!")</f>
        <v>Balance Sheet Check: Balanced as all things should be</v>
      </c>
    </row>
    <row r="6" spans="1:21" x14ac:dyDescent="0.35">
      <c r="D6" t="s">
        <v>48</v>
      </c>
      <c r="E6" t="s">
        <v>49</v>
      </c>
      <c r="F6" t="s">
        <v>50</v>
      </c>
      <c r="I6" s="128" t="s">
        <v>51</v>
      </c>
      <c r="J6" s="128" t="s">
        <v>51</v>
      </c>
      <c r="K6" s="128" t="s">
        <v>51</v>
      </c>
      <c r="L6" s="128" t="s">
        <v>51</v>
      </c>
      <c r="M6" s="128" t="s">
        <v>51</v>
      </c>
      <c r="N6" s="128" t="s">
        <v>52</v>
      </c>
      <c r="O6" s="128" t="s">
        <v>52</v>
      </c>
      <c r="P6" s="128" t="s">
        <v>52</v>
      </c>
      <c r="Q6" s="128" t="s">
        <v>52</v>
      </c>
      <c r="R6" s="128" t="s">
        <v>52</v>
      </c>
      <c r="S6" t="s">
        <v>53</v>
      </c>
    </row>
    <row r="7" spans="1:21" x14ac:dyDescent="0.35">
      <c r="I7" s="131">
        <v>2022</v>
      </c>
      <c r="J7" s="131">
        <v>2023</v>
      </c>
      <c r="K7" s="131">
        <v>2024</v>
      </c>
      <c r="L7" s="131">
        <v>2025</v>
      </c>
      <c r="M7" s="129">
        <f>base_year</f>
        <v>2026</v>
      </c>
      <c r="N7" s="130">
        <f>M7+1</f>
        <v>2027</v>
      </c>
      <c r="O7" s="130">
        <f t="shared" ref="O7:R7" si="0">N7+1</f>
        <v>2028</v>
      </c>
      <c r="P7" s="130">
        <f t="shared" si="0"/>
        <v>2029</v>
      </c>
      <c r="Q7" s="130">
        <f t="shared" si="0"/>
        <v>2030</v>
      </c>
      <c r="R7" s="130">
        <f t="shared" si="0"/>
        <v>2031</v>
      </c>
    </row>
    <row r="8" spans="1:21" x14ac:dyDescent="0.35">
      <c r="A8" s="66"/>
    </row>
    <row r="9" spans="1:21" ht="17.5" thickBot="1" x14ac:dyDescent="0.45">
      <c r="C9" s="58" t="s">
        <v>1047</v>
      </c>
      <c r="D9" s="58"/>
      <c r="E9" s="58"/>
      <c r="F9" s="58"/>
      <c r="G9" s="58"/>
      <c r="H9" s="58"/>
      <c r="I9" s="58"/>
      <c r="J9" s="58"/>
      <c r="K9" s="58"/>
      <c r="L9" s="58"/>
      <c r="M9" s="58"/>
      <c r="N9" s="58"/>
      <c r="O9" s="58"/>
      <c r="P9" s="58"/>
      <c r="Q9" s="58"/>
      <c r="R9" s="58"/>
      <c r="S9" s="58"/>
      <c r="T9" s="58"/>
      <c r="U9" s="58"/>
    </row>
    <row r="10" spans="1:21" ht="15" thickTop="1" x14ac:dyDescent="0.35">
      <c r="D10" t="s">
        <v>581</v>
      </c>
      <c r="E10" s="59">
        <v>1234</v>
      </c>
    </row>
    <row r="11" spans="1:21" x14ac:dyDescent="0.35">
      <c r="D11" t="s">
        <v>50</v>
      </c>
      <c r="E11" s="60">
        <v>1234</v>
      </c>
    </row>
    <row r="12" spans="1:21" x14ac:dyDescent="0.35">
      <c r="D12" t="s">
        <v>1197</v>
      </c>
      <c r="E12" s="61">
        <v>1234</v>
      </c>
      <c r="M12" s="159" t="s">
        <v>702</v>
      </c>
      <c r="N12" s="156" t="s">
        <v>1048</v>
      </c>
      <c r="O12" s="157"/>
      <c r="P12" s="157"/>
      <c r="Q12" s="157"/>
      <c r="R12" s="158"/>
      <c r="S12" s="159" t="s">
        <v>53</v>
      </c>
    </row>
    <row r="13" spans="1:21" x14ac:dyDescent="0.35">
      <c r="D13" t="s">
        <v>49</v>
      </c>
      <c r="E13" s="62" t="s">
        <v>720</v>
      </c>
      <c r="M13" s="160" t="s">
        <v>1049</v>
      </c>
      <c r="N13" s="115" t="s">
        <v>1049</v>
      </c>
      <c r="O13" s="83" t="s">
        <v>1049</v>
      </c>
      <c r="P13" s="83" t="s">
        <v>1049</v>
      </c>
      <c r="Q13" s="83" t="s">
        <v>1049</v>
      </c>
      <c r="R13" s="85" t="s">
        <v>1049</v>
      </c>
      <c r="S13" s="160"/>
    </row>
    <row r="14" spans="1:21" x14ac:dyDescent="0.35">
      <c r="D14" t="s">
        <v>44</v>
      </c>
      <c r="E14" s="65" t="s">
        <v>591</v>
      </c>
      <c r="M14" s="161">
        <f>'Cover Page'!F16</f>
        <v>46319</v>
      </c>
      <c r="N14" s="162">
        <v>46477</v>
      </c>
      <c r="O14" s="163">
        <f>EDATE(N14,12)</f>
        <v>46843</v>
      </c>
      <c r="P14" s="163">
        <f t="shared" ref="P14:R14" si="1">EDATE(O14,12)</f>
        <v>47208</v>
      </c>
      <c r="Q14" s="163">
        <f t="shared" si="1"/>
        <v>47573</v>
      </c>
      <c r="R14" s="164">
        <f t="shared" si="1"/>
        <v>47938</v>
      </c>
      <c r="S14" s="165"/>
    </row>
    <row r="15" spans="1:21" x14ac:dyDescent="0.35">
      <c r="D15" t="s">
        <v>582</v>
      </c>
      <c r="E15">
        <v>1234</v>
      </c>
    </row>
    <row r="16" spans="1:21" x14ac:dyDescent="0.35">
      <c r="D16" t="s">
        <v>583</v>
      </c>
      <c r="E16" s="14">
        <v>0.121</v>
      </c>
    </row>
    <row r="17" spans="2:21" x14ac:dyDescent="0.35">
      <c r="D17" t="s">
        <v>584</v>
      </c>
      <c r="E17" s="63">
        <v>1234</v>
      </c>
    </row>
    <row r="18" spans="2:21" ht="15" thickBot="1" x14ac:dyDescent="0.4">
      <c r="D18" t="s">
        <v>585</v>
      </c>
      <c r="E18" s="57">
        <v>12.35</v>
      </c>
    </row>
    <row r="19" spans="2:21" ht="15" thickTop="1" x14ac:dyDescent="0.35">
      <c r="D19" t="s">
        <v>586</v>
      </c>
      <c r="E19">
        <v>12</v>
      </c>
    </row>
    <row r="20" spans="2:21" ht="21.5" thickBot="1" x14ac:dyDescent="0.55000000000000004">
      <c r="D20" t="s">
        <v>587</v>
      </c>
      <c r="E20" s="21" t="s">
        <v>590</v>
      </c>
    </row>
    <row r="21" spans="2:21" ht="18" thickTop="1" thickBot="1" x14ac:dyDescent="0.45">
      <c r="D21" t="s">
        <v>588</v>
      </c>
      <c r="E21" s="58" t="s">
        <v>590</v>
      </c>
    </row>
    <row r="22" spans="2:21" ht="19" thickTop="1" x14ac:dyDescent="0.45">
      <c r="D22" t="s">
        <v>589</v>
      </c>
      <c r="E22" s="64" t="s">
        <v>590</v>
      </c>
    </row>
    <row r="23" spans="2:21" ht="18.5" x14ac:dyDescent="0.45">
      <c r="E23" s="64"/>
    </row>
    <row r="24" spans="2:21" ht="21.5" thickBot="1" x14ac:dyDescent="0.55000000000000004">
      <c r="B24" s="21" t="s">
        <v>941</v>
      </c>
      <c r="C24" s="21"/>
      <c r="D24" s="21"/>
      <c r="E24" s="21"/>
      <c r="F24" s="21"/>
      <c r="G24" s="21"/>
      <c r="H24" s="21"/>
      <c r="I24" s="21"/>
      <c r="J24" s="21"/>
      <c r="K24" s="21"/>
      <c r="L24" s="21"/>
      <c r="M24" s="21"/>
      <c r="N24" s="21"/>
      <c r="O24" s="21"/>
      <c r="P24" s="21"/>
      <c r="Q24" s="21"/>
      <c r="R24" s="21"/>
      <c r="S24" s="21"/>
      <c r="T24" s="21"/>
      <c r="U24" s="21"/>
    </row>
    <row r="25" spans="2:21" ht="18" thickTop="1" thickBot="1" x14ac:dyDescent="0.45">
      <c r="C25" s="58" t="s">
        <v>563</v>
      </c>
      <c r="D25" s="58"/>
      <c r="E25" s="58"/>
      <c r="F25" s="58"/>
      <c r="G25" s="58"/>
      <c r="H25" s="58"/>
      <c r="I25" s="58"/>
      <c r="J25" s="58"/>
      <c r="K25" s="58"/>
      <c r="L25" s="58"/>
      <c r="M25" s="58"/>
      <c r="N25" s="58"/>
      <c r="O25" s="58"/>
      <c r="P25" s="58"/>
      <c r="Q25" s="58"/>
      <c r="R25" s="58"/>
      <c r="S25" s="58"/>
      <c r="T25" s="58"/>
      <c r="U25" s="58"/>
    </row>
    <row r="26" spans="2:21" ht="15" thickTop="1" x14ac:dyDescent="0.35">
      <c r="D26" t="str">
        <f>'3-Statement'!D11</f>
        <v>Revenue</v>
      </c>
      <c r="I26" s="67">
        <f>'3-Statement'!I11</f>
        <v>20845</v>
      </c>
      <c r="J26" s="67">
        <f>'3-Statement'!J11</f>
        <v>20669</v>
      </c>
      <c r="K26" s="67">
        <f>'3-Statement'!K11</f>
        <v>20835</v>
      </c>
      <c r="L26" s="67">
        <f>'3-Statement'!L11</f>
        <v>20370</v>
      </c>
      <c r="M26" s="67">
        <f>'3-Statement'!M11</f>
        <v>19646</v>
      </c>
      <c r="N26">
        <f>M26*(1+N27)</f>
        <v>19319.684342981407</v>
      </c>
      <c r="O26">
        <f t="shared" ref="O26:R26" si="2">N26*(1+O27)</f>
        <v>19416.282764696312</v>
      </c>
      <c r="P26">
        <f t="shared" si="2"/>
        <v>19688.11072340206</v>
      </c>
      <c r="Q26">
        <f t="shared" si="2"/>
        <v>19963.74427352969</v>
      </c>
      <c r="R26">
        <f t="shared" si="2"/>
        <v>20243.236693359107</v>
      </c>
    </row>
    <row r="27" spans="2:21" x14ac:dyDescent="0.35">
      <c r="D27" t="s">
        <v>595</v>
      </c>
      <c r="J27" s="14">
        <f>(J26-I26)/I26</f>
        <v>-8.4432717678100261E-3</v>
      </c>
      <c r="K27" s="14">
        <f t="shared" ref="K27:M27" si="3">(K26-J26)/J26</f>
        <v>8.0313512990468818E-3</v>
      </c>
      <c r="L27" s="14">
        <f t="shared" si="3"/>
        <v>-2.2318214542836574E-2</v>
      </c>
      <c r="M27" s="14">
        <f t="shared" si="3"/>
        <v>-3.5542464408443789E-2</v>
      </c>
      <c r="N27" s="69">
        <v>-1.6609775884077829E-2</v>
      </c>
      <c r="O27" s="69">
        <v>5.0000000000000001E-3</v>
      </c>
      <c r="P27" s="69">
        <v>1.4E-2</v>
      </c>
      <c r="Q27" s="69">
        <v>1.4E-2</v>
      </c>
      <c r="R27" s="69">
        <v>1.4E-2</v>
      </c>
    </row>
    <row r="28" spans="2:21" ht="48.5" x14ac:dyDescent="0.35">
      <c r="D28" s="71" t="s">
        <v>596</v>
      </c>
      <c r="J28" s="14"/>
      <c r="K28" s="14"/>
      <c r="L28" s="14"/>
      <c r="M28" s="14"/>
    </row>
    <row r="29" spans="2:21" x14ac:dyDescent="0.35">
      <c r="D29" s="71" t="s">
        <v>597</v>
      </c>
      <c r="J29" s="14"/>
      <c r="K29" s="14"/>
      <c r="L29" s="14"/>
      <c r="M29" s="14"/>
    </row>
    <row r="30" spans="2:21" x14ac:dyDescent="0.35">
      <c r="D30" s="70" t="s">
        <v>599</v>
      </c>
    </row>
    <row r="32" spans="2:21" x14ac:dyDescent="0.35">
      <c r="D32" t="s">
        <v>593</v>
      </c>
      <c r="F32" s="69">
        <v>1.4E-2</v>
      </c>
      <c r="L32" s="69">
        <v>0.01</v>
      </c>
      <c r="M32" s="69">
        <v>1.4E-2</v>
      </c>
      <c r="N32" s="16">
        <f>$F$32</f>
        <v>1.4E-2</v>
      </c>
      <c r="O32" s="16">
        <f t="shared" ref="O32:R32" si="4">$F$32</f>
        <v>1.4E-2</v>
      </c>
      <c r="P32" s="16">
        <f t="shared" si="4"/>
        <v>1.4E-2</v>
      </c>
      <c r="Q32" s="16">
        <f t="shared" si="4"/>
        <v>1.4E-2</v>
      </c>
      <c r="R32" s="16">
        <f t="shared" si="4"/>
        <v>1.4E-2</v>
      </c>
    </row>
    <row r="33" spans="3:21" x14ac:dyDescent="0.35">
      <c r="D33" s="68" t="s">
        <v>592</v>
      </c>
    </row>
    <row r="34" spans="3:21" x14ac:dyDescent="0.35">
      <c r="D34" s="70" t="s">
        <v>594</v>
      </c>
    </row>
    <row r="37" spans="3:21" ht="17.5" thickBot="1" x14ac:dyDescent="0.45">
      <c r="C37" s="58" t="s">
        <v>565</v>
      </c>
      <c r="D37" s="58"/>
      <c r="E37" s="58"/>
      <c r="F37" s="58"/>
      <c r="G37" s="58"/>
      <c r="H37" s="58"/>
      <c r="I37" s="58"/>
      <c r="J37" s="58"/>
      <c r="K37" s="58"/>
      <c r="L37" s="58"/>
      <c r="M37" s="58"/>
      <c r="N37" s="58"/>
      <c r="O37" s="58"/>
      <c r="P37" s="58"/>
      <c r="Q37" s="58"/>
      <c r="R37" s="58"/>
      <c r="S37" s="58"/>
      <c r="T37" s="58"/>
      <c r="U37" s="58"/>
    </row>
    <row r="38" spans="3:21" ht="15" thickTop="1" x14ac:dyDescent="0.35">
      <c r="D38" t="str">
        <f>'3-Statement'!D12</f>
        <v>Cost of Sales</v>
      </c>
      <c r="E38" s="77" t="str">
        <f>money</f>
        <v>[£'M]</v>
      </c>
      <c r="I38" s="67">
        <f>-'3-Statement'!I12</f>
        <v>7951</v>
      </c>
      <c r="J38" s="67">
        <f>-'3-Statement'!J12</f>
        <v>7820</v>
      </c>
      <c r="K38" s="67">
        <f>-'3-Statement'!K12</f>
        <v>7658</v>
      </c>
      <c r="L38" s="67">
        <f>-'3-Statement'!L12</f>
        <v>6777</v>
      </c>
      <c r="M38" s="67">
        <f>-'3-Statement'!M12</f>
        <v>6474</v>
      </c>
      <c r="N38">
        <f>N26*(1-N41)</f>
        <v>6305.0819938605327</v>
      </c>
      <c r="O38">
        <f>O26*(1-O41)</f>
        <v>6274.6217859852113</v>
      </c>
      <c r="P38">
        <f>P26*(1-P41)</f>
        <v>6299.3152071738796</v>
      </c>
      <c r="Q38">
        <f>Q26*(1-Q41)</f>
        <v>6323.1667494431458</v>
      </c>
      <c r="R38">
        <f>R26*(1-R41)</f>
        <v>6346.1422934117436</v>
      </c>
    </row>
    <row r="39" spans="3:21" s="259" customFormat="1" x14ac:dyDescent="0.35">
      <c r="D39" s="113" t="s">
        <v>1300</v>
      </c>
      <c r="E39" s="77" t="s">
        <v>711</v>
      </c>
      <c r="F39" s="113"/>
      <c r="G39" s="113"/>
      <c r="H39" s="113"/>
      <c r="I39" s="113"/>
      <c r="J39" s="228">
        <f>(J38-I38)/I38</f>
        <v>-1.6475914979247892E-2</v>
      </c>
      <c r="K39" s="228">
        <f t="shared" ref="K39:M39" si="5">(K38-J38)/J38</f>
        <v>-2.0716112531969311E-2</v>
      </c>
      <c r="L39" s="228">
        <f t="shared" si="5"/>
        <v>-0.11504309219117263</v>
      </c>
      <c r="M39" s="228">
        <f t="shared" si="5"/>
        <v>-4.4710048694112436E-2</v>
      </c>
    </row>
    <row r="40" spans="3:21" x14ac:dyDescent="0.35">
      <c r="D40" t="str">
        <f>'3-Statement'!D13</f>
        <v>Gross Profit</v>
      </c>
      <c r="E40" s="77" t="str">
        <f>money</f>
        <v>[£'M]</v>
      </c>
      <c r="I40" s="67">
        <f>'3-Statement'!I13</f>
        <v>12894</v>
      </c>
      <c r="J40" s="67">
        <f>'3-Statement'!J13</f>
        <v>12849</v>
      </c>
      <c r="K40" s="67">
        <f>'3-Statement'!K13</f>
        <v>13177</v>
      </c>
      <c r="L40" s="67">
        <f>'3-Statement'!L13</f>
        <v>13593</v>
      </c>
      <c r="M40" s="67">
        <f>'3-Statement'!M13</f>
        <v>13172</v>
      </c>
    </row>
    <row r="41" spans="3:21" x14ac:dyDescent="0.35">
      <c r="D41" t="s">
        <v>998</v>
      </c>
      <c r="E41" s="77" t="str">
        <f>money</f>
        <v>[£'M]</v>
      </c>
      <c r="I41" s="14">
        <f>I40/I26</f>
        <v>0.61856560326217314</v>
      </c>
      <c r="J41" s="14">
        <f>J40/J26</f>
        <v>0.62165561952682757</v>
      </c>
      <c r="K41" s="14">
        <f>K40/K26</f>
        <v>0.63244540436765062</v>
      </c>
      <c r="L41" s="14">
        <f>L40/L26</f>
        <v>0.6673048600883652</v>
      </c>
      <c r="M41" s="14">
        <f>M40/M26</f>
        <v>0.67046727069123491</v>
      </c>
      <c r="N41" s="69">
        <f>M41*(1+N42)</f>
        <v>0.67364466820851099</v>
      </c>
      <c r="O41" s="69">
        <f t="shared" ref="O41:R41" si="6">N41*(1+O42)</f>
        <v>0.67683712366436832</v>
      </c>
      <c r="P41" s="69">
        <f t="shared" si="6"/>
        <v>0.68004470841957088</v>
      </c>
      <c r="Q41" s="69">
        <f t="shared" si="6"/>
        <v>0.68326749417306687</v>
      </c>
      <c r="R41" s="69">
        <f t="shared" si="6"/>
        <v>0.68650555296359173</v>
      </c>
    </row>
    <row r="42" spans="3:21" s="259" customFormat="1" x14ac:dyDescent="0.35">
      <c r="D42" s="259" t="s">
        <v>1300</v>
      </c>
      <c r="E42" s="77" t="s">
        <v>711</v>
      </c>
      <c r="J42" s="260">
        <f>J41/I41-1</f>
        <v>4.995454400242183E-3</v>
      </c>
      <c r="K42" s="260">
        <f t="shared" ref="K42:M42" si="7">K41/J41-1</f>
        <v>1.7356530693047878E-2</v>
      </c>
      <c r="L42" s="260">
        <f t="shared" si="7"/>
        <v>5.511852166206932E-2</v>
      </c>
      <c r="M42" s="260">
        <f t="shared" si="7"/>
        <v>4.7390792305197493E-3</v>
      </c>
      <c r="N42" s="261">
        <f>M42</f>
        <v>4.7390792305197493E-3</v>
      </c>
      <c r="O42" s="261">
        <f t="shared" ref="O42:R42" si="8">N42</f>
        <v>4.7390792305197493E-3</v>
      </c>
      <c r="P42" s="261">
        <f t="shared" si="8"/>
        <v>4.7390792305197493E-3</v>
      </c>
      <c r="Q42" s="261">
        <f t="shared" si="8"/>
        <v>4.7390792305197493E-3</v>
      </c>
      <c r="R42" s="261">
        <f t="shared" si="8"/>
        <v>4.7390792305197493E-3</v>
      </c>
    </row>
    <row r="44" spans="3:21" ht="24.5" x14ac:dyDescent="0.35">
      <c r="D44" s="71" t="s">
        <v>1202</v>
      </c>
    </row>
    <row r="45" spans="3:21" x14ac:dyDescent="0.35">
      <c r="D45" s="70" t="s">
        <v>1203</v>
      </c>
    </row>
    <row r="46" spans="3:21" ht="17.5" thickBot="1" x14ac:dyDescent="0.45">
      <c r="C46" s="58" t="s">
        <v>598</v>
      </c>
      <c r="D46" s="58"/>
      <c r="E46" s="58"/>
      <c r="F46" s="58"/>
      <c r="G46" s="58"/>
      <c r="H46" s="58"/>
      <c r="I46" s="58"/>
      <c r="J46" s="58"/>
      <c r="K46" s="58"/>
      <c r="L46" s="58"/>
      <c r="M46" s="58"/>
      <c r="N46" s="58"/>
      <c r="O46" s="58"/>
      <c r="P46" s="58"/>
      <c r="Q46" s="58"/>
      <c r="R46" s="58"/>
      <c r="S46" s="58"/>
      <c r="T46" s="58"/>
      <c r="U46" s="58"/>
    </row>
    <row r="47" spans="3:21" ht="15" thickTop="1" x14ac:dyDescent="0.35">
      <c r="D47" t="str">
        <f>'3-Statement'!D16</f>
        <v>SGA</v>
      </c>
      <c r="I47" s="67">
        <f>-'3-Statement'!I16</f>
        <v>5777</v>
      </c>
      <c r="J47" s="67">
        <f>-'3-Statement'!J16</f>
        <v>5496</v>
      </c>
      <c r="K47" s="67">
        <f>-'3-Statement'!K16</f>
        <v>6353</v>
      </c>
      <c r="L47" s="67">
        <f>-'3-Statement'!L16</f>
        <v>6482</v>
      </c>
      <c r="M47" s="67">
        <f>-'3-Statement'!M16</f>
        <v>5808</v>
      </c>
      <c r="N47">
        <f>N48*N26</f>
        <v>5648.3478407274779</v>
      </c>
      <c r="O47">
        <f>O48*O26</f>
        <v>5735.6986637594991</v>
      </c>
      <c r="P47">
        <f>P48*P26</f>
        <v>5932.1628973716925</v>
      </c>
      <c r="Q47">
        <f>Q48*Q26</f>
        <v>6000.7884041651778</v>
      </c>
      <c r="R47">
        <f>R48*R26</f>
        <v>6013.426878088495</v>
      </c>
    </row>
    <row r="48" spans="3:21" s="259" customFormat="1" x14ac:dyDescent="0.35">
      <c r="D48" s="259" t="s">
        <v>1298</v>
      </c>
      <c r="I48" s="260">
        <f>I47/I26</f>
        <v>0.27714080115135525</v>
      </c>
      <c r="J48" s="260">
        <f>J47/J26</f>
        <v>0.26590546228651601</v>
      </c>
      <c r="K48" s="260">
        <f>K47/K26</f>
        <v>0.30491960643148547</v>
      </c>
      <c r="L48" s="260">
        <f>L47/L26</f>
        <v>0.31821305841924397</v>
      </c>
      <c r="M48" s="260">
        <f>M47/M26</f>
        <v>0.29563269876819709</v>
      </c>
      <c r="N48" s="261">
        <f>AVERAGE(I48:M48)</f>
        <v>0.29236232541135954</v>
      </c>
      <c r="O48" s="261">
        <f t="shared" ref="O48:R48" si="9">AVERAGE(J48:N48)</f>
        <v>0.29540663026336034</v>
      </c>
      <c r="P48" s="261">
        <f t="shared" si="9"/>
        <v>0.30130686385872929</v>
      </c>
      <c r="Q48" s="261">
        <f t="shared" si="9"/>
        <v>0.30058431534417807</v>
      </c>
      <c r="R48" s="261">
        <f t="shared" si="9"/>
        <v>0.29705856672916486</v>
      </c>
    </row>
    <row r="50" spans="3:21" ht="17.5" thickBot="1" x14ac:dyDescent="0.45">
      <c r="C50" s="58" t="s">
        <v>642</v>
      </c>
      <c r="D50" s="58"/>
      <c r="E50" s="58"/>
      <c r="F50" s="58"/>
      <c r="G50" s="58"/>
      <c r="H50" s="58"/>
      <c r="I50" s="58"/>
      <c r="J50" s="58"/>
      <c r="K50" s="58"/>
      <c r="L50" s="58"/>
      <c r="M50" s="58"/>
      <c r="N50" s="58"/>
      <c r="O50" s="58"/>
      <c r="P50" s="58"/>
      <c r="Q50" s="58"/>
      <c r="R50" s="58"/>
      <c r="S50" s="58"/>
      <c r="T50" s="58"/>
      <c r="U50" s="58"/>
    </row>
    <row r="51" spans="3:21" ht="15" thickTop="1" x14ac:dyDescent="0.35">
      <c r="D51" t="s">
        <v>932</v>
      </c>
      <c r="I51" s="67">
        <f>'Hist - CS'!F96</f>
        <v>755</v>
      </c>
      <c r="J51" s="67">
        <f>'Hist - CS'!E96</f>
        <v>760</v>
      </c>
      <c r="K51" s="67">
        <f>'Hist - CS'!D96</f>
        <v>783</v>
      </c>
      <c r="L51" s="67">
        <f>'Hist - CS'!C96</f>
        <v>801</v>
      </c>
      <c r="M51" s="67">
        <f>'Hist - CS'!B96</f>
        <v>822</v>
      </c>
      <c r="N51">
        <f>(N53/100)*$F$59/1000000</f>
        <v>854.18686595673614</v>
      </c>
      <c r="O51">
        <f t="shared" ref="O51:R51" si="10">(O53/100)*$F$59/1000000</f>
        <v>879.81247193543811</v>
      </c>
      <c r="P51">
        <f t="shared" si="10"/>
        <v>906.20684609350144</v>
      </c>
      <c r="Q51">
        <f t="shared" si="10"/>
        <v>933.39305147630648</v>
      </c>
      <c r="R51">
        <f t="shared" si="10"/>
        <v>961.39484302059566</v>
      </c>
    </row>
    <row r="52" spans="3:21" x14ac:dyDescent="0.35">
      <c r="D52" t="s">
        <v>603</v>
      </c>
      <c r="I52" s="74">
        <f>I51/'3-Statement'!I36</f>
        <v>0.59262166405023553</v>
      </c>
      <c r="J52" s="74">
        <f>J51/'3-Statement'!J36</f>
        <v>0.39895013123359579</v>
      </c>
      <c r="K52" s="74">
        <f>K51/'3-Statement'!K36</f>
        <v>0.91578947368421049</v>
      </c>
      <c r="L52" s="74">
        <f>L51/'3-Statement'!L36</f>
        <v>0.75996204933586342</v>
      </c>
      <c r="M52" s="74">
        <f>M51/'3-Statement'!M36</f>
        <v>0.76323119777158777</v>
      </c>
      <c r="N52" s="14">
        <f ca="1">N51/'3-Statement'!N36</f>
        <v>0.54268979558432384</v>
      </c>
      <c r="O52" s="14">
        <f ca="1">O51/'3-Statement'!O36</f>
        <v>0.48913900414111489</v>
      </c>
      <c r="P52" s="14">
        <f ca="1">P51/'3-Statement'!P36</f>
        <v>0.46018344925594257</v>
      </c>
      <c r="Q52" s="14">
        <f ca="1">Q51/'3-Statement'!Q36</f>
        <v>0.41219707611893447</v>
      </c>
      <c r="R52" s="14">
        <f ca="1">R51/'3-Statement'!R36</f>
        <v>0.37067354988414158</v>
      </c>
    </row>
    <row r="53" spans="3:21" x14ac:dyDescent="0.35">
      <c r="D53" t="s">
        <v>644</v>
      </c>
      <c r="E53" s="77" t="s">
        <v>645</v>
      </c>
      <c r="F53" s="69">
        <v>0.03</v>
      </c>
      <c r="L53" s="72">
        <v>8.16</v>
      </c>
      <c r="M53" s="72">
        <v>8.32</v>
      </c>
      <c r="N53">
        <f>M53*(1+$F$53)</f>
        <v>8.5696000000000012</v>
      </c>
      <c r="O53">
        <f t="shared" ref="O53:R53" si="11">N53*(1+$F$53)</f>
        <v>8.8266880000000008</v>
      </c>
      <c r="P53">
        <f t="shared" si="11"/>
        <v>9.0914886400000015</v>
      </c>
      <c r="Q53">
        <f t="shared" si="11"/>
        <v>9.3642332992000021</v>
      </c>
      <c r="R53">
        <f t="shared" si="11"/>
        <v>9.6451602981760018</v>
      </c>
    </row>
    <row r="54" spans="3:21" x14ac:dyDescent="0.35">
      <c r="D54" t="s">
        <v>933</v>
      </c>
    </row>
    <row r="56" spans="3:21" x14ac:dyDescent="0.35">
      <c r="D56" s="70" t="s">
        <v>1199</v>
      </c>
    </row>
    <row r="58" spans="3:21" ht="17.5" thickBot="1" x14ac:dyDescent="0.45">
      <c r="C58" s="58" t="s">
        <v>702</v>
      </c>
      <c r="D58" s="58"/>
      <c r="E58" s="58"/>
      <c r="F58" s="58"/>
      <c r="G58" s="58"/>
      <c r="H58" s="58"/>
      <c r="I58" s="58"/>
      <c r="J58" s="58"/>
      <c r="K58" s="58"/>
      <c r="L58" s="58"/>
      <c r="M58" s="58"/>
      <c r="N58" s="58"/>
      <c r="O58" s="58"/>
      <c r="P58" s="58"/>
      <c r="Q58" s="58"/>
      <c r="R58" s="58"/>
      <c r="S58" s="58"/>
      <c r="T58" s="58"/>
      <c r="U58" s="58"/>
    </row>
    <row r="59" spans="3:21" ht="15" thickTop="1" x14ac:dyDescent="0.35">
      <c r="D59" t="s">
        <v>703</v>
      </c>
      <c r="E59" s="77" t="s">
        <v>705</v>
      </c>
      <c r="F59" s="75">
        <f>9967639866</f>
        <v>9967639866</v>
      </c>
    </row>
    <row r="60" spans="3:21" x14ac:dyDescent="0.35">
      <c r="D60" t="s">
        <v>704</v>
      </c>
      <c r="E60" s="77" t="s">
        <v>645</v>
      </c>
      <c r="F60" s="75">
        <v>209.7</v>
      </c>
    </row>
    <row r="61" spans="3:21" x14ac:dyDescent="0.35">
      <c r="D61" t="s">
        <v>1061</v>
      </c>
      <c r="E61" s="77" t="s">
        <v>711</v>
      </c>
      <c r="F61" s="78">
        <v>5.3699999999999998E-2</v>
      </c>
    </row>
    <row r="62" spans="3:21" x14ac:dyDescent="0.35">
      <c r="D62" t="str">
        <f>'3-Statement'!D34</f>
        <v>Equity in Earnings/(Loss) of Affiliates (after Taxes)</v>
      </c>
      <c r="N62" s="75">
        <v>0</v>
      </c>
      <c r="O62" s="75">
        <v>0</v>
      </c>
      <c r="P62" s="75">
        <v>0</v>
      </c>
      <c r="Q62" s="75">
        <v>0</v>
      </c>
      <c r="R62" s="75">
        <v>0</v>
      </c>
    </row>
    <row r="64" spans="3:21" x14ac:dyDescent="0.35">
      <c r="D64" s="70" t="s">
        <v>1204</v>
      </c>
    </row>
    <row r="66" spans="3:21" ht="17.5" thickBot="1" x14ac:dyDescent="0.45">
      <c r="C66" s="58" t="s">
        <v>938</v>
      </c>
      <c r="D66" s="58"/>
      <c r="E66" s="58"/>
      <c r="F66" s="58"/>
      <c r="G66" s="58"/>
      <c r="H66" s="58"/>
      <c r="I66" s="58"/>
      <c r="J66" s="58"/>
      <c r="K66" s="58"/>
      <c r="L66" s="58"/>
      <c r="M66" s="58"/>
      <c r="N66" s="58"/>
      <c r="O66" s="58"/>
      <c r="P66" s="58"/>
      <c r="Q66" s="58"/>
      <c r="R66" s="58"/>
      <c r="S66" s="58"/>
      <c r="T66" s="58"/>
      <c r="U66" s="58"/>
    </row>
    <row r="67" spans="3:21" ht="15" thickTop="1" x14ac:dyDescent="0.35">
      <c r="D67" t="s">
        <v>939</v>
      </c>
      <c r="E67" s="70" t="s">
        <v>711</v>
      </c>
      <c r="F67" s="78">
        <v>0.25</v>
      </c>
    </row>
    <row r="68" spans="3:21" x14ac:dyDescent="0.35">
      <c r="D68" s="70" t="s">
        <v>940</v>
      </c>
    </row>
    <row r="70" spans="3:21" x14ac:dyDescent="0.35">
      <c r="D70" t="str">
        <f>'3-Statement'!D28</f>
        <v>EBT</v>
      </c>
      <c r="I70" s="72"/>
      <c r="J70" s="72"/>
      <c r="K70" s="67">
        <f>'3-Statement'!K28</f>
        <v>1207</v>
      </c>
      <c r="L70" s="67">
        <f>'3-Statement'!L28</f>
        <v>1342</v>
      </c>
      <c r="M70" s="67">
        <f>'3-Statement'!M28</f>
        <v>1646</v>
      </c>
    </row>
    <row r="71" spans="3:21" x14ac:dyDescent="0.35">
      <c r="D71" t="str">
        <f>'3-Statement'!D30</f>
        <v>Current Taxes</v>
      </c>
      <c r="I71" s="72"/>
      <c r="J71" s="72"/>
      <c r="K71" s="67">
        <f>'3-Statement'!K30</f>
        <v>-97</v>
      </c>
      <c r="L71" s="67">
        <f>'3-Statement'!L30</f>
        <v>-84</v>
      </c>
      <c r="M71" s="67">
        <f>'3-Statement'!M30</f>
        <v>-82</v>
      </c>
    </row>
    <row r="72" spans="3:21" x14ac:dyDescent="0.35">
      <c r="D72" t="str">
        <f>'3-Statement'!D31</f>
        <v>Deferred Taxes</v>
      </c>
      <c r="I72" s="72"/>
      <c r="J72" s="72"/>
      <c r="K72" s="67">
        <f>'3-Statement'!K31</f>
        <v>-234</v>
      </c>
      <c r="L72" s="67">
        <f>'3-Statement'!L31</f>
        <v>-196</v>
      </c>
      <c r="M72" s="67">
        <f>'3-Statement'!M31</f>
        <v>-277</v>
      </c>
    </row>
    <row r="73" spans="3:21" x14ac:dyDescent="0.35">
      <c r="D73" t="str">
        <f>'3-Statement'!D32</f>
        <v>Total Taxes</v>
      </c>
      <c r="I73" s="72"/>
      <c r="J73" s="72"/>
      <c r="K73" s="67">
        <f>'3-Statement'!K32</f>
        <v>-331</v>
      </c>
      <c r="L73" s="67">
        <f>'3-Statement'!L32</f>
        <v>-280</v>
      </c>
      <c r="M73" s="67">
        <f>'3-Statement'!M32</f>
        <v>-359</v>
      </c>
    </row>
    <row r="74" spans="3:21" x14ac:dyDescent="0.35">
      <c r="K74" s="14"/>
      <c r="L74" s="14"/>
      <c r="M74" s="14"/>
    </row>
    <row r="75" spans="3:21" x14ac:dyDescent="0.35">
      <c r="D75" t="s">
        <v>1066</v>
      </c>
      <c r="I75" s="14"/>
      <c r="J75" s="14"/>
      <c r="K75" s="74">
        <f>-K73/K70</f>
        <v>0.27423363711681858</v>
      </c>
      <c r="L75" s="74">
        <f t="shared" ref="L75:M75" si="12">-L73/L70</f>
        <v>0.20864381520119224</v>
      </c>
      <c r="M75" s="74">
        <f t="shared" si="12"/>
        <v>0.21810449574726609</v>
      </c>
    </row>
    <row r="76" spans="3:21" x14ac:dyDescent="0.35">
      <c r="D76" t="s">
        <v>1067</v>
      </c>
      <c r="I76" s="185"/>
      <c r="J76" s="185"/>
      <c r="K76" s="67">
        <f>-K71/K75</f>
        <v>353.71299093655585</v>
      </c>
      <c r="L76" s="67">
        <f t="shared" ref="L76:M76" si="13">-L71/L75</f>
        <v>402.6</v>
      </c>
      <c r="M76" s="67">
        <f t="shared" si="13"/>
        <v>375.96657381615603</v>
      </c>
    </row>
    <row r="77" spans="3:21" x14ac:dyDescent="0.35">
      <c r="D77" t="s">
        <v>1068</v>
      </c>
      <c r="I77" s="185"/>
      <c r="J77" s="185"/>
      <c r="K77" s="67">
        <f>K70-K76</f>
        <v>853.2870090634442</v>
      </c>
      <c r="L77" s="67">
        <f t="shared" ref="L77:M77" si="14">L70-L76</f>
        <v>939.4</v>
      </c>
      <c r="M77" s="67">
        <f t="shared" si="14"/>
        <v>1270.0334261838439</v>
      </c>
      <c r="N77" s="75">
        <v>1270.0334261838439</v>
      </c>
      <c r="O77" s="75">
        <v>1270.0334261838439</v>
      </c>
      <c r="P77" s="75">
        <v>1270.0334261838439</v>
      </c>
      <c r="Q77" s="75">
        <v>1270.0334261838439</v>
      </c>
      <c r="R77" s="75">
        <v>1270.0334261838439</v>
      </c>
    </row>
    <row r="78" spans="3:21" x14ac:dyDescent="0.35">
      <c r="K78" s="14"/>
      <c r="L78" s="14"/>
      <c r="M78" s="14"/>
    </row>
    <row r="79" spans="3:21" x14ac:dyDescent="0.35">
      <c r="D79" s="70" t="s">
        <v>1069</v>
      </c>
      <c r="K79" s="14"/>
      <c r="L79" s="14"/>
      <c r="M79" s="14"/>
    </row>
    <row r="80" spans="3:21" x14ac:dyDescent="0.35">
      <c r="K80" s="14"/>
      <c r="L80" s="14"/>
      <c r="M80" s="14"/>
    </row>
    <row r="82" spans="2:21" ht="21.5" thickBot="1" x14ac:dyDescent="0.55000000000000004">
      <c r="B82" s="21" t="s">
        <v>942</v>
      </c>
      <c r="C82" s="21"/>
      <c r="D82" s="21"/>
      <c r="E82" s="21"/>
      <c r="F82" s="21"/>
      <c r="G82" s="21"/>
      <c r="H82" s="21"/>
      <c r="I82" s="21"/>
      <c r="J82" s="21"/>
      <c r="K82" s="21"/>
      <c r="L82" s="21"/>
      <c r="M82" s="21"/>
      <c r="N82" s="21"/>
      <c r="O82" s="21"/>
      <c r="P82" s="21"/>
      <c r="Q82" s="21"/>
      <c r="R82" s="21"/>
      <c r="S82" s="21"/>
      <c r="T82" s="21"/>
      <c r="U82" s="21"/>
    </row>
    <row r="83" spans="2:21" ht="15" thickTop="1" x14ac:dyDescent="0.35"/>
    <row r="84" spans="2:21" ht="17.5" thickBot="1" x14ac:dyDescent="0.45">
      <c r="C84" s="58" t="s">
        <v>943</v>
      </c>
      <c r="D84" s="58"/>
      <c r="E84" s="58"/>
      <c r="F84" s="58"/>
      <c r="G84" s="58"/>
      <c r="H84" s="58"/>
      <c r="I84" s="58"/>
      <c r="J84" s="58"/>
      <c r="K84" s="58"/>
      <c r="L84" s="58"/>
      <c r="M84" s="58"/>
      <c r="N84" s="58"/>
      <c r="O84" s="58"/>
      <c r="P84" s="58"/>
      <c r="Q84" s="58"/>
      <c r="R84" s="58"/>
      <c r="S84" s="58"/>
      <c r="T84" s="58"/>
      <c r="U84" s="58"/>
    </row>
    <row r="85" spans="2:21" ht="15" thickTop="1" x14ac:dyDescent="0.35">
      <c r="D85" t="str">
        <f>'Hist - BS'!B240</f>
        <v>Inventories</v>
      </c>
      <c r="E85" s="70" t="s">
        <v>947</v>
      </c>
      <c r="K85" s="14"/>
      <c r="L85" s="74">
        <f>'Hist - BS'!J240/L38</f>
        <v>4.8841670355614576E-2</v>
      </c>
      <c r="M85" s="74">
        <f>'Hist - BS'!K240/M38</f>
        <v>5.6533827618164965E-2</v>
      </c>
      <c r="N85" s="228">
        <f>AVERAGE(L85:M85)</f>
        <v>5.2687748986889771E-2</v>
      </c>
      <c r="O85" s="228">
        <f t="shared" ref="O85:R86" si="15">AVERAGE(M85:N85)</f>
        <v>5.4610788302527372E-2</v>
      </c>
      <c r="P85" s="228">
        <f t="shared" si="15"/>
        <v>5.3649268644708571E-2</v>
      </c>
      <c r="Q85" s="228">
        <f t="shared" si="15"/>
        <v>5.4130028473617975E-2</v>
      </c>
      <c r="R85" s="228">
        <f t="shared" si="15"/>
        <v>5.388964855916327E-2</v>
      </c>
    </row>
    <row r="86" spans="2:21" x14ac:dyDescent="0.35">
      <c r="D86" t="str">
        <f>'Hist - BS'!B314</f>
        <v>Trade and other receivables</v>
      </c>
      <c r="E86" s="70" t="s">
        <v>946</v>
      </c>
      <c r="K86" s="14"/>
      <c r="L86" s="74">
        <f>'Hist - BS'!J314/L26</f>
        <v>0.17005400098183604</v>
      </c>
      <c r="M86" s="74">
        <f>'Hist - BS'!K314/M26</f>
        <v>0.18064746004275681</v>
      </c>
      <c r="N86" s="272">
        <f>AVERAGE(L86:M86)</f>
        <v>0.17535073051229644</v>
      </c>
      <c r="O86" s="272">
        <f t="shared" si="15"/>
        <v>0.17799909527752661</v>
      </c>
      <c r="P86" s="272">
        <f t="shared" si="15"/>
        <v>0.17667491289491152</v>
      </c>
      <c r="Q86" s="272">
        <f t="shared" si="15"/>
        <v>0.17733700408621905</v>
      </c>
      <c r="R86" s="272">
        <f t="shared" si="15"/>
        <v>0.17700595849056527</v>
      </c>
    </row>
    <row r="87" spans="2:21" x14ac:dyDescent="0.35">
      <c r="D87" t="str">
        <f>'Hist - BS'!B242</f>
        <v>Preference shares in joint</v>
      </c>
      <c r="E87" s="70" t="s">
        <v>948</v>
      </c>
      <c r="K87" s="14"/>
      <c r="L87" s="67">
        <f>'Hist - BS'!J242</f>
        <v>161</v>
      </c>
      <c r="M87" s="67">
        <f>'Hist - BS'!K242</f>
        <v>282</v>
      </c>
      <c r="N87" s="185">
        <f>M87</f>
        <v>282</v>
      </c>
      <c r="O87" s="185">
        <f t="shared" ref="O87:R88" si="16">N87</f>
        <v>282</v>
      </c>
      <c r="P87" s="185">
        <f t="shared" si="16"/>
        <v>282</v>
      </c>
      <c r="Q87" s="185">
        <f t="shared" si="16"/>
        <v>282</v>
      </c>
      <c r="R87" s="185">
        <f t="shared" si="16"/>
        <v>282</v>
      </c>
    </row>
    <row r="88" spans="2:21" x14ac:dyDescent="0.35">
      <c r="D88" t="str">
        <f>'Hist - BS'!B243</f>
        <v>Contract assets</v>
      </c>
      <c r="E88" s="70" t="s">
        <v>947</v>
      </c>
      <c r="K88" s="14"/>
      <c r="L88" s="74">
        <f>'Hist - BS'!J243/L38</f>
        <v>0.1761841522797698</v>
      </c>
      <c r="M88" s="74">
        <f>'Hist - BS'!K243/M38</f>
        <v>0.15585418597466791</v>
      </c>
      <c r="N88" s="272">
        <f>M88</f>
        <v>0.15585418597466791</v>
      </c>
      <c r="O88" s="272">
        <f t="shared" si="16"/>
        <v>0.15585418597466791</v>
      </c>
      <c r="P88" s="272">
        <f t="shared" si="16"/>
        <v>0.15585418597466791</v>
      </c>
      <c r="Q88" s="272">
        <f t="shared" si="16"/>
        <v>0.15585418597466791</v>
      </c>
      <c r="R88" s="272">
        <f t="shared" si="16"/>
        <v>0.15585418597466791</v>
      </c>
    </row>
    <row r="89" spans="2:21" x14ac:dyDescent="0.35">
      <c r="D89" t="str">
        <f>'Hist - BS'!B244</f>
        <v>Assets classified as held</v>
      </c>
      <c r="E89" s="70" t="s">
        <v>948</v>
      </c>
      <c r="K89" s="14"/>
      <c r="L89" s="67">
        <f>'Hist - BS'!J244</f>
        <v>245</v>
      </c>
      <c r="M89" s="67">
        <f>'Hist - BS'!K244</f>
        <v>0</v>
      </c>
      <c r="N89" s="185">
        <v>0</v>
      </c>
      <c r="O89" s="185">
        <v>0</v>
      </c>
      <c r="P89" s="185">
        <v>0</v>
      </c>
      <c r="Q89" s="185">
        <v>0</v>
      </c>
      <c r="R89" s="185">
        <v>0</v>
      </c>
    </row>
    <row r="90" spans="2:21" x14ac:dyDescent="0.35">
      <c r="D90" t="str">
        <f>'Hist - BS'!B309</f>
        <v>Short Term Investments</v>
      </c>
      <c r="E90" s="70" t="s">
        <v>949</v>
      </c>
      <c r="K90" s="14"/>
      <c r="L90" s="67">
        <f>'Hist - BS'!J309</f>
        <v>2761</v>
      </c>
      <c r="M90" s="67">
        <f>'Hist - BS'!K309</f>
        <v>1550</v>
      </c>
      <c r="N90" s="185">
        <f>M90</f>
        <v>1550</v>
      </c>
      <c r="O90" s="185">
        <f t="shared" ref="O90:R90" si="17">N90</f>
        <v>1550</v>
      </c>
      <c r="P90" s="185">
        <f t="shared" si="17"/>
        <v>1550</v>
      </c>
      <c r="Q90" s="185">
        <f t="shared" si="17"/>
        <v>1550</v>
      </c>
      <c r="R90" s="185">
        <f t="shared" si="17"/>
        <v>1550</v>
      </c>
    </row>
    <row r="92" spans="2:21" ht="17.5" thickBot="1" x14ac:dyDescent="0.45">
      <c r="C92" s="58" t="s">
        <v>292</v>
      </c>
      <c r="D92" s="58"/>
      <c r="E92" s="58"/>
      <c r="F92" s="58"/>
      <c r="G92" s="58"/>
      <c r="H92" s="58"/>
      <c r="I92" s="58"/>
      <c r="J92" s="58"/>
      <c r="K92" s="58"/>
      <c r="L92" s="58"/>
      <c r="M92" s="58"/>
      <c r="N92" s="58"/>
      <c r="O92" s="58"/>
      <c r="P92" s="58"/>
      <c r="Q92" s="58"/>
      <c r="R92" s="58"/>
      <c r="S92" s="58"/>
      <c r="T92" s="58"/>
      <c r="U92" s="58"/>
    </row>
    <row r="93" spans="2:21" ht="15" thickTop="1" x14ac:dyDescent="0.35">
      <c r="D93" t="str">
        <f>'Hist - BS'!B253</f>
        <v>Goodwill</v>
      </c>
      <c r="E93" s="70" t="s">
        <v>950</v>
      </c>
      <c r="L93" s="67">
        <f>'Hist - BS'!J253</f>
        <v>7310</v>
      </c>
      <c r="M93" s="67">
        <f>'Hist - BS'!K253</f>
        <v>7305</v>
      </c>
      <c r="N93" s="185">
        <v>7305</v>
      </c>
      <c r="O93" s="185">
        <v>7305</v>
      </c>
      <c r="P93" s="185">
        <v>7305</v>
      </c>
      <c r="Q93" s="185">
        <v>7305</v>
      </c>
      <c r="R93" s="185">
        <v>7305</v>
      </c>
    </row>
    <row r="94" spans="2:21" x14ac:dyDescent="0.35">
      <c r="D94" t="str">
        <f>'Hist - BS'!B254</f>
        <v>Other intangible assets</v>
      </c>
      <c r="E94" s="70" t="s">
        <v>947</v>
      </c>
      <c r="L94" s="74">
        <f>'Hist - BS'!J254/L38</f>
        <v>0.75593920613840937</v>
      </c>
      <c r="M94" s="74">
        <f>'Hist - BS'!K254/M38</f>
        <v>0.72026567809700337</v>
      </c>
      <c r="N94" s="272">
        <f>AVERAGE(L94:M94)</f>
        <v>0.73810244211770637</v>
      </c>
      <c r="O94" s="272">
        <f t="shared" ref="O94:R94" si="18">AVERAGE(M94:N94)</f>
        <v>0.72918406010735493</v>
      </c>
      <c r="P94" s="272">
        <f t="shared" si="18"/>
        <v>0.73364325111253059</v>
      </c>
      <c r="Q94" s="272">
        <f t="shared" si="18"/>
        <v>0.73141365560994276</v>
      </c>
      <c r="R94" s="272">
        <f t="shared" si="18"/>
        <v>0.73252845336123662</v>
      </c>
    </row>
    <row r="95" spans="2:21" x14ac:dyDescent="0.35">
      <c r="D95" t="str">
        <f>'Hist - BS'!B325</f>
        <v>Long Term Investments</v>
      </c>
      <c r="E95" s="70" t="s">
        <v>950</v>
      </c>
      <c r="L95" s="67">
        <f>'Hist - BS'!J325</f>
        <v>921</v>
      </c>
      <c r="M95" s="67">
        <f>'Hist - BS'!K325</f>
        <v>850</v>
      </c>
      <c r="N95" s="185">
        <f>M95</f>
        <v>850</v>
      </c>
      <c r="O95" s="185">
        <f t="shared" ref="O95:R95" si="19">N95</f>
        <v>850</v>
      </c>
      <c r="P95" s="185">
        <f t="shared" si="19"/>
        <v>850</v>
      </c>
      <c r="Q95" s="185">
        <f t="shared" si="19"/>
        <v>850</v>
      </c>
      <c r="R95" s="185">
        <f t="shared" si="19"/>
        <v>850</v>
      </c>
    </row>
    <row r="96" spans="2:21" x14ac:dyDescent="0.35">
      <c r="D96" t="str">
        <f>'Hist - BS'!B259</f>
        <v>Joint ventures and associates</v>
      </c>
      <c r="E96" s="70" t="s">
        <v>950</v>
      </c>
      <c r="L96" s="67">
        <f>'Hist - BS'!J259</f>
        <v>252</v>
      </c>
      <c r="M96" s="67">
        <f>'Hist - BS'!K259</f>
        <v>4</v>
      </c>
      <c r="N96" s="185">
        <v>4</v>
      </c>
      <c r="O96" s="185">
        <v>4</v>
      </c>
      <c r="P96" s="185">
        <v>4</v>
      </c>
      <c r="Q96" s="185">
        <v>4</v>
      </c>
      <c r="R96" s="185">
        <v>4</v>
      </c>
    </row>
    <row r="97" spans="3:21" x14ac:dyDescent="0.35">
      <c r="D97" t="str">
        <f>'Hist - BS'!B260</f>
        <v>Trade and other receivables</v>
      </c>
      <c r="E97" s="70" t="s">
        <v>957</v>
      </c>
      <c r="L97" s="74">
        <f>'Hist - BS'!J260/L26</f>
        <v>3.215513009327442E-2</v>
      </c>
      <c r="M97" s="74">
        <f>'Hist - BS'!K260/M26</f>
        <v>3.4663544741932201E-2</v>
      </c>
      <c r="N97" s="272">
        <f>AVERAGE(L97:M97)</f>
        <v>3.340933741760331E-2</v>
      </c>
      <c r="O97" s="272">
        <f t="shared" ref="O97:R97" si="20">AVERAGE(M97:N97)</f>
        <v>3.4036441079767756E-2</v>
      </c>
      <c r="P97" s="272">
        <f t="shared" si="20"/>
        <v>3.3722889248685536E-2</v>
      </c>
      <c r="Q97" s="272">
        <f t="shared" si="20"/>
        <v>3.3879665164226649E-2</v>
      </c>
      <c r="R97" s="272">
        <f t="shared" si="20"/>
        <v>3.3801277206456093E-2</v>
      </c>
    </row>
    <row r="98" spans="3:21" x14ac:dyDescent="0.35">
      <c r="D98" t="str">
        <f>'Hist - BS'!B261</f>
        <v>Preference shares in joint</v>
      </c>
      <c r="E98" s="70" t="s">
        <v>950</v>
      </c>
      <c r="L98" s="67">
        <f>'Hist - BS'!J261</f>
        <v>234</v>
      </c>
      <c r="M98" s="67">
        <f>'Hist - BS'!K261</f>
        <v>0</v>
      </c>
      <c r="N98" s="185">
        <v>0</v>
      </c>
      <c r="O98" s="185">
        <v>0</v>
      </c>
      <c r="P98" s="185">
        <v>0</v>
      </c>
      <c r="Q98" s="185">
        <v>0</v>
      </c>
      <c r="R98" s="185">
        <v>0</v>
      </c>
    </row>
    <row r="99" spans="3:21" x14ac:dyDescent="0.35">
      <c r="D99" t="str">
        <f>'Hist - BS'!B262</f>
        <v>Contract assets</v>
      </c>
      <c r="E99" s="70" t="s">
        <v>947</v>
      </c>
      <c r="L99" s="74">
        <f>'Hist - BS'!J262/L38</f>
        <v>4.5152722443559098E-2</v>
      </c>
      <c r="M99" s="74">
        <f>'Hist - BS'!K262/M38</f>
        <v>5.9005251776336115E-2</v>
      </c>
      <c r="N99" s="272">
        <f>AVERAGE(L99:M99)</f>
        <v>5.2078987109947607E-2</v>
      </c>
      <c r="O99" s="272">
        <f t="shared" ref="O99:R99" si="21">AVERAGE(M99:N99)</f>
        <v>5.5542119443141857E-2</v>
      </c>
      <c r="P99" s="272">
        <f t="shared" si="21"/>
        <v>5.3810553276544729E-2</v>
      </c>
      <c r="Q99" s="272">
        <f t="shared" si="21"/>
        <v>5.4676336359843293E-2</v>
      </c>
      <c r="R99" s="272">
        <f t="shared" si="21"/>
        <v>5.4243444818194014E-2</v>
      </c>
    </row>
    <row r="100" spans="3:21" x14ac:dyDescent="0.35">
      <c r="D100" t="str">
        <f>'Hist - BS'!B263</f>
        <v>Retirement benefit surplus</v>
      </c>
      <c r="E100" s="70" t="s">
        <v>953</v>
      </c>
      <c r="L100" s="74">
        <f>'Hist - BS'!J263/L47</f>
        <v>2.1906818883060782E-2</v>
      </c>
      <c r="M100" s="74">
        <f>'Hist - BS'!K263/M47</f>
        <v>2.9269972451790634E-2</v>
      </c>
      <c r="N100" s="272">
        <f>AVERAGE(L100:M100)</f>
        <v>2.5588395667425708E-2</v>
      </c>
      <c r="O100" s="272">
        <f t="shared" ref="O100:R100" si="22">AVERAGE(M100:N100)</f>
        <v>2.7429184059608171E-2</v>
      </c>
      <c r="P100" s="272">
        <f t="shared" si="22"/>
        <v>2.650878986351694E-2</v>
      </c>
      <c r="Q100" s="272">
        <f t="shared" si="22"/>
        <v>2.6968986961562556E-2</v>
      </c>
      <c r="R100" s="272">
        <f t="shared" si="22"/>
        <v>2.6738888412539748E-2</v>
      </c>
    </row>
    <row r="101" spans="3:21" x14ac:dyDescent="0.35">
      <c r="D101" t="str">
        <f>'Hist - BS'!B264</f>
        <v>Deferred tax assets</v>
      </c>
      <c r="E101" s="70"/>
      <c r="L101" s="67">
        <f>'Hist - BS'!J264</f>
        <v>959</v>
      </c>
      <c r="M101" s="67">
        <f>'Hist - BS'!K264</f>
        <v>1124</v>
      </c>
      <c r="N101" s="273"/>
      <c r="O101" s="273"/>
      <c r="P101" s="273"/>
      <c r="Q101" s="273"/>
      <c r="R101" s="273"/>
    </row>
    <row r="103" spans="3:21" ht="16" x14ac:dyDescent="0.5">
      <c r="D103" s="114" t="s">
        <v>955</v>
      </c>
    </row>
    <row r="104" spans="3:21" x14ac:dyDescent="0.35">
      <c r="D104" t="s">
        <v>600</v>
      </c>
      <c r="I104" s="72">
        <f>'Hist - CS'!F46</f>
        <v>4607</v>
      </c>
      <c r="J104" s="72">
        <f>'Hist - CS'!E46</f>
        <v>5307</v>
      </c>
      <c r="K104" s="72">
        <f>'Hist - CS'!D46</f>
        <v>4969</v>
      </c>
      <c r="L104" s="72">
        <f>'Hist - CS'!C46</f>
        <v>4937</v>
      </c>
      <c r="M104" s="72">
        <f>'Hist - CS'!B46</f>
        <v>5169</v>
      </c>
      <c r="N104" s="185">
        <f>M104*(1+$N$105)</f>
        <v>4958.7827733924387</v>
      </c>
      <c r="O104" s="185">
        <f t="shared" ref="O104:Q104" si="23">N104*(1+$N$105)</f>
        <v>4757.1148372400085</v>
      </c>
      <c r="P104" s="185">
        <f t="shared" si="23"/>
        <v>4563.6485018292378</v>
      </c>
      <c r="Q104" s="185">
        <f t="shared" si="23"/>
        <v>4378.0502175834854</v>
      </c>
      <c r="R104" s="75">
        <v>4200</v>
      </c>
    </row>
    <row r="105" spans="3:21" ht="48.5" x14ac:dyDescent="0.35">
      <c r="D105" s="71" t="s">
        <v>956</v>
      </c>
      <c r="I105" s="72"/>
      <c r="J105" s="72"/>
      <c r="K105" s="72"/>
      <c r="L105" s="72"/>
      <c r="M105" s="72"/>
      <c r="N105" s="262">
        <f>_xlfn.RRI(5,M104,R104)</f>
        <v>-4.0668838577589739E-2</v>
      </c>
    </row>
    <row r="106" spans="3:21" x14ac:dyDescent="0.35">
      <c r="D106" t="s">
        <v>601</v>
      </c>
      <c r="I106" s="72">
        <f>-'3-Statement'!I20</f>
        <v>4405</v>
      </c>
      <c r="J106" s="72">
        <f>-'3-Statement'!J20</f>
        <v>4742</v>
      </c>
      <c r="K106" s="72">
        <f>-'3-Statement'!K20</f>
        <v>4792</v>
      </c>
      <c r="L106" s="72">
        <f>-'3-Statement'!L20</f>
        <v>4883</v>
      </c>
      <c r="M106" s="72">
        <f>-'3-Statement'!M20</f>
        <v>4853</v>
      </c>
      <c r="N106">
        <f>N104*N107</f>
        <v>4780.0893218987176</v>
      </c>
      <c r="O106">
        <f t="shared" ref="O106:R106" si="24">O104*O107</f>
        <v>4525.9917672503643</v>
      </c>
      <c r="P106">
        <f t="shared" si="24"/>
        <v>4370.5594742207422</v>
      </c>
      <c r="Q106">
        <f t="shared" si="24"/>
        <v>4179.0788953439514</v>
      </c>
      <c r="R106">
        <f t="shared" si="24"/>
        <v>4015.7088176373436</v>
      </c>
    </row>
    <row r="107" spans="3:21" x14ac:dyDescent="0.35">
      <c r="E107" s="70" t="s">
        <v>985</v>
      </c>
      <c r="I107" s="14">
        <f>I106/I104</f>
        <v>0.95615367918385064</v>
      </c>
      <c r="J107" s="14">
        <f t="shared" ref="J107:M107" si="25">J106/J104</f>
        <v>0.89353683813830787</v>
      </c>
      <c r="K107" s="14">
        <f t="shared" si="25"/>
        <v>0.96437915073455427</v>
      </c>
      <c r="L107" s="14">
        <f t="shared" si="25"/>
        <v>0.98906218351225439</v>
      </c>
      <c r="M107" s="14">
        <f t="shared" si="25"/>
        <v>0.93886631843683499</v>
      </c>
      <c r="N107" s="228">
        <f>AVERAGE(L107:M107)</f>
        <v>0.96396425097454475</v>
      </c>
      <c r="O107" s="228">
        <f t="shared" ref="O107:R107" si="26">AVERAGE(M107:N107)</f>
        <v>0.95141528470568981</v>
      </c>
      <c r="P107" s="228">
        <f t="shared" si="26"/>
        <v>0.95768976784011728</v>
      </c>
      <c r="Q107" s="228">
        <f t="shared" si="26"/>
        <v>0.95455252627290355</v>
      </c>
      <c r="R107" s="228">
        <f t="shared" si="26"/>
        <v>0.95612114705651041</v>
      </c>
    </row>
    <row r="108" spans="3:21" x14ac:dyDescent="0.35">
      <c r="D108" s="70" t="s">
        <v>986</v>
      </c>
    </row>
    <row r="111" spans="3:21" ht="17.5" thickBot="1" x14ac:dyDescent="0.45">
      <c r="C111" s="58" t="s">
        <v>345</v>
      </c>
      <c r="D111" s="58"/>
      <c r="E111" s="58"/>
      <c r="F111" s="58"/>
      <c r="G111" s="58"/>
      <c r="H111" s="58"/>
      <c r="I111" s="58"/>
      <c r="J111" s="58"/>
      <c r="K111" s="58"/>
      <c r="L111" s="58"/>
      <c r="M111" s="58"/>
      <c r="N111" s="58"/>
      <c r="O111" s="58"/>
      <c r="P111" s="58"/>
      <c r="Q111" s="58"/>
      <c r="R111" s="58"/>
      <c r="S111" s="58"/>
      <c r="T111" s="58"/>
      <c r="U111" s="58"/>
    </row>
    <row r="112" spans="3:21" ht="15" thickTop="1" x14ac:dyDescent="0.35">
      <c r="D112" t="str">
        <f>'Hist - BS'!B269</f>
        <v>Derivative financial instruments</v>
      </c>
      <c r="E112" s="70" t="s">
        <v>948</v>
      </c>
      <c r="L112" s="67">
        <f>'Hist - BS'!J269</f>
        <v>106</v>
      </c>
      <c r="M112" s="67">
        <f>'Hist - BS'!K269</f>
        <v>85</v>
      </c>
      <c r="N112" s="185">
        <f>M112</f>
        <v>85</v>
      </c>
      <c r="O112" s="185">
        <f t="shared" ref="O112:S112" si="27">N112</f>
        <v>85</v>
      </c>
      <c r="P112" s="185">
        <f t="shared" si="27"/>
        <v>85</v>
      </c>
      <c r="Q112" s="185">
        <f t="shared" si="27"/>
        <v>85</v>
      </c>
      <c r="R112" s="185">
        <f t="shared" si="27"/>
        <v>85</v>
      </c>
      <c r="S112" s="185">
        <f t="shared" si="27"/>
        <v>85</v>
      </c>
    </row>
    <row r="113" spans="3:21" x14ac:dyDescent="0.35">
      <c r="D113" t="str">
        <f>'Hist - BS'!B270</f>
        <v>Trade and other payables</v>
      </c>
      <c r="E113" s="70" t="s">
        <v>947</v>
      </c>
      <c r="L113" s="74">
        <f>'Hist - BS'!J270/L38</f>
        <v>0.87870739265161579</v>
      </c>
      <c r="M113" s="74">
        <f>'Hist - BS'!K270/M38</f>
        <v>0.91056533827618169</v>
      </c>
      <c r="N113" s="272">
        <f>AVERAGE(L113:M113)</f>
        <v>0.89463636546389869</v>
      </c>
      <c r="O113" s="272">
        <f t="shared" ref="O113:S113" si="28">AVERAGE(M113:N113)</f>
        <v>0.90260085187004013</v>
      </c>
      <c r="P113" s="272">
        <f t="shared" si="28"/>
        <v>0.89861860866696941</v>
      </c>
      <c r="Q113" s="272">
        <f t="shared" si="28"/>
        <v>0.90060973026850477</v>
      </c>
      <c r="R113" s="272">
        <f t="shared" si="28"/>
        <v>0.89961416946773709</v>
      </c>
      <c r="S113" s="272">
        <f t="shared" si="28"/>
        <v>0.90011194986812093</v>
      </c>
    </row>
    <row r="114" spans="3:21" x14ac:dyDescent="0.35">
      <c r="D114" t="str">
        <f>'Hist - BS'!B271</f>
        <v>Contract liabilities</v>
      </c>
      <c r="E114" s="70" t="s">
        <v>951</v>
      </c>
      <c r="L114" s="74">
        <f>'Hist - BS'!J271/L26</f>
        <v>4.4133529700540013E-2</v>
      </c>
      <c r="M114" s="74">
        <f>'Hist - BS'!K271/M26</f>
        <v>4.9017611727578132E-2</v>
      </c>
      <c r="N114" s="272">
        <f>AVERAGE(L114:M114)</f>
        <v>4.6575570714059072E-2</v>
      </c>
      <c r="O114" s="272">
        <f t="shared" ref="O114:S114" si="29">AVERAGE(M114:N114)</f>
        <v>4.7796591220818599E-2</v>
      </c>
      <c r="P114" s="272">
        <f t="shared" si="29"/>
        <v>4.7186080967438836E-2</v>
      </c>
      <c r="Q114" s="272">
        <f t="shared" si="29"/>
        <v>4.7491336094128714E-2</v>
      </c>
      <c r="R114" s="272">
        <f t="shared" si="29"/>
        <v>4.7338708530783771E-2</v>
      </c>
      <c r="S114" s="272">
        <f t="shared" si="29"/>
        <v>4.7415022312456243E-2</v>
      </c>
    </row>
    <row r="115" spans="3:21" x14ac:dyDescent="0.35">
      <c r="D115" t="str">
        <f>'Hist - BS'!B272</f>
        <v>Lease liabilities</v>
      </c>
      <c r="E115" s="70" t="s">
        <v>951</v>
      </c>
      <c r="L115" s="74">
        <f>'Hist - BS'!J272/L26</f>
        <v>3.4609720176730488E-2</v>
      </c>
      <c r="M115" s="74">
        <f>'Hist - BS'!K272/M26</f>
        <v>3.9651837524177946E-2</v>
      </c>
      <c r="N115" s="272">
        <f>AVERAGE(L115:M115)</f>
        <v>3.7130778850454217E-2</v>
      </c>
      <c r="O115" s="272">
        <f t="shared" ref="O115:S115" si="30">AVERAGE(M115:N115)</f>
        <v>3.8391308187316078E-2</v>
      </c>
      <c r="P115" s="272">
        <f t="shared" si="30"/>
        <v>3.7761043518885151E-2</v>
      </c>
      <c r="Q115" s="272">
        <f t="shared" si="30"/>
        <v>3.8076175853100615E-2</v>
      </c>
      <c r="R115" s="272">
        <f t="shared" si="30"/>
        <v>3.791860968599288E-2</v>
      </c>
      <c r="S115" s="272">
        <f t="shared" si="30"/>
        <v>3.7997392769546751E-2</v>
      </c>
    </row>
    <row r="116" spans="3:21" x14ac:dyDescent="0.35">
      <c r="D116" t="str">
        <f>'Hist - BS'!B273</f>
        <v>Liabilities held for sale</v>
      </c>
      <c r="E116" s="70" t="s">
        <v>948</v>
      </c>
      <c r="L116" s="67">
        <f>'Hist - BS'!J273</f>
        <v>188</v>
      </c>
      <c r="M116" s="67">
        <f>'Hist - BS'!K273</f>
        <v>0</v>
      </c>
      <c r="N116" s="185">
        <f>M116</f>
        <v>0</v>
      </c>
      <c r="O116" s="185">
        <f t="shared" ref="O116:S116" si="31">N116</f>
        <v>0</v>
      </c>
      <c r="P116" s="185">
        <f t="shared" si="31"/>
        <v>0</v>
      </c>
      <c r="Q116" s="185">
        <f t="shared" si="31"/>
        <v>0</v>
      </c>
      <c r="R116" s="185">
        <f t="shared" si="31"/>
        <v>0</v>
      </c>
      <c r="S116" s="185">
        <f t="shared" si="31"/>
        <v>0</v>
      </c>
    </row>
    <row r="117" spans="3:21" x14ac:dyDescent="0.35">
      <c r="D117" t="str">
        <f>'Hist - BS'!B274</f>
        <v>Current tax liabilities</v>
      </c>
      <c r="E117" s="70" t="s">
        <v>952</v>
      </c>
      <c r="L117" s="74">
        <f>'Hist - BS'!J274/'3-Statement'!L28</f>
        <v>6.1102831594634872E-2</v>
      </c>
      <c r="M117" s="74">
        <f>'Hist - BS'!K274/'3-Statement'!M28</f>
        <v>4.0097205346294046E-2</v>
      </c>
      <c r="N117" s="272">
        <f>M117</f>
        <v>4.0097205346294046E-2</v>
      </c>
      <c r="O117" s="272">
        <f t="shared" ref="O117:S117" si="32">N117</f>
        <v>4.0097205346294046E-2</v>
      </c>
      <c r="P117" s="272">
        <f t="shared" si="32"/>
        <v>4.0097205346294046E-2</v>
      </c>
      <c r="Q117" s="272">
        <f t="shared" si="32"/>
        <v>4.0097205346294046E-2</v>
      </c>
      <c r="R117" s="272">
        <f t="shared" si="32"/>
        <v>4.0097205346294046E-2</v>
      </c>
      <c r="S117" s="272">
        <f t="shared" si="32"/>
        <v>4.0097205346294046E-2</v>
      </c>
    </row>
    <row r="118" spans="3:21" x14ac:dyDescent="0.35">
      <c r="D118" t="str">
        <f>'Hist - BS'!B275</f>
        <v>Provisions</v>
      </c>
      <c r="E118" s="70" t="s">
        <v>952</v>
      </c>
      <c r="L118" s="74">
        <f>'Hist - BS'!J275/'3-Statement'!L28</f>
        <v>0.19225037257824143</v>
      </c>
      <c r="M118" s="74">
        <f>'Hist - BS'!K275/'3-Statement'!M28</f>
        <v>0.1221142162818955</v>
      </c>
      <c r="N118" s="272">
        <f>M118</f>
        <v>0.1221142162818955</v>
      </c>
      <c r="O118" s="272">
        <f t="shared" ref="O118:S118" si="33">N118</f>
        <v>0.1221142162818955</v>
      </c>
      <c r="P118" s="272">
        <f t="shared" si="33"/>
        <v>0.1221142162818955</v>
      </c>
      <c r="Q118" s="272">
        <f t="shared" si="33"/>
        <v>0.1221142162818955</v>
      </c>
      <c r="R118" s="272">
        <f t="shared" si="33"/>
        <v>0.1221142162818955</v>
      </c>
      <c r="S118" s="272">
        <f t="shared" si="33"/>
        <v>0.1221142162818955</v>
      </c>
    </row>
    <row r="120" spans="3:21" ht="17.5" thickBot="1" x14ac:dyDescent="0.45">
      <c r="C120" s="58" t="s">
        <v>362</v>
      </c>
      <c r="D120" s="58"/>
      <c r="E120" s="58"/>
      <c r="F120" s="58"/>
      <c r="G120" s="58"/>
      <c r="H120" s="58"/>
      <c r="I120" s="58"/>
      <c r="J120" s="58"/>
      <c r="K120" s="58"/>
      <c r="L120" s="58"/>
      <c r="M120" s="58"/>
      <c r="N120" s="58"/>
      <c r="O120" s="58"/>
      <c r="P120" s="58"/>
      <c r="Q120" s="58"/>
      <c r="R120" s="58"/>
      <c r="S120" s="58"/>
      <c r="T120" s="58"/>
      <c r="U120" s="58"/>
    </row>
    <row r="121" spans="3:21" ht="15" thickTop="1" x14ac:dyDescent="0.35">
      <c r="D121" t="str">
        <f>'Hist - BS'!B280</f>
        <v>Loans and other borrowings</v>
      </c>
      <c r="L121" s="67">
        <f>'Hist - BS'!J331</f>
        <v>18762</v>
      </c>
      <c r="M121" s="67">
        <f>'Hist - BS'!K331</f>
        <v>18536</v>
      </c>
      <c r="N121" s="274"/>
      <c r="O121" s="274"/>
      <c r="P121" s="274"/>
      <c r="Q121" s="274"/>
      <c r="R121" s="274"/>
      <c r="S121" s="274"/>
    </row>
    <row r="122" spans="3:21" x14ac:dyDescent="0.35">
      <c r="D122" t="str">
        <f>'Hist - BS'!B281</f>
        <v>Derivative financial instruments</v>
      </c>
      <c r="E122" s="70" t="s">
        <v>948</v>
      </c>
      <c r="L122" s="67">
        <f>'Hist - BS'!J281</f>
        <v>391</v>
      </c>
      <c r="M122" s="67">
        <f>'Hist - BS'!K281</f>
        <v>313</v>
      </c>
      <c r="N122" s="185">
        <v>313</v>
      </c>
      <c r="O122" s="185">
        <v>313</v>
      </c>
      <c r="P122" s="185">
        <v>313</v>
      </c>
      <c r="Q122" s="185">
        <v>313</v>
      </c>
      <c r="R122" s="185">
        <v>313</v>
      </c>
      <c r="S122" s="185">
        <v>313</v>
      </c>
    </row>
    <row r="123" spans="3:21" x14ac:dyDescent="0.35">
      <c r="D123" t="str">
        <f>'Hist - BS'!B282</f>
        <v>Contract liabilities</v>
      </c>
      <c r="E123" s="70" t="s">
        <v>951</v>
      </c>
      <c r="L123" s="74">
        <f>'Hist - BS'!J282/L26</f>
        <v>1.2616593028964163E-2</v>
      </c>
      <c r="M123" s="74">
        <f>'Hist - BS'!K282/M26</f>
        <v>1.3946859411585055E-2</v>
      </c>
      <c r="N123" s="272">
        <f>M123</f>
        <v>1.3946859411585055E-2</v>
      </c>
      <c r="O123" s="272">
        <f t="shared" ref="O123:S123" si="34">N123</f>
        <v>1.3946859411585055E-2</v>
      </c>
      <c r="P123" s="272">
        <f t="shared" si="34"/>
        <v>1.3946859411585055E-2</v>
      </c>
      <c r="Q123" s="272">
        <f t="shared" si="34"/>
        <v>1.3946859411585055E-2</v>
      </c>
      <c r="R123" s="272">
        <f t="shared" si="34"/>
        <v>1.3946859411585055E-2</v>
      </c>
      <c r="S123" s="272">
        <f t="shared" si="34"/>
        <v>1.3946859411585055E-2</v>
      </c>
    </row>
    <row r="124" spans="3:21" x14ac:dyDescent="0.35">
      <c r="D124" t="str">
        <f>'Hist - BS'!B283</f>
        <v>Lease liabilities</v>
      </c>
      <c r="E124" s="70" t="s">
        <v>948</v>
      </c>
      <c r="L124" s="67">
        <f>'Hist - BS'!J283</f>
        <v>3866</v>
      </c>
      <c r="M124" s="67">
        <f>'Hist - BS'!K283</f>
        <v>3405</v>
      </c>
      <c r="N124" s="185">
        <f>M124</f>
        <v>3405</v>
      </c>
      <c r="O124" s="185">
        <f t="shared" ref="O124:S124" si="35">N124</f>
        <v>3405</v>
      </c>
      <c r="P124" s="185">
        <f t="shared" si="35"/>
        <v>3405</v>
      </c>
      <c r="Q124" s="185">
        <f t="shared" si="35"/>
        <v>3405</v>
      </c>
      <c r="R124" s="185">
        <f t="shared" si="35"/>
        <v>3405</v>
      </c>
      <c r="S124" s="185">
        <f t="shared" si="35"/>
        <v>3405</v>
      </c>
    </row>
    <row r="125" spans="3:21" x14ac:dyDescent="0.35">
      <c r="D125" t="str">
        <f>'Hist - BS'!B284</f>
        <v>Retirement benefit obligations</v>
      </c>
      <c r="E125" s="70" t="s">
        <v>953</v>
      </c>
      <c r="L125" s="74">
        <f>'Hist - BS'!J284/L47</f>
        <v>0.65257636531934593</v>
      </c>
      <c r="M125" s="74">
        <f>'Hist - BS'!K284/M47</f>
        <v>0.75396005509641872</v>
      </c>
      <c r="N125" s="272">
        <f>M125</f>
        <v>0.75396005509641872</v>
      </c>
      <c r="O125" s="272">
        <f t="shared" ref="O125:S125" si="36">N125</f>
        <v>0.75396005509641872</v>
      </c>
      <c r="P125" s="272">
        <f t="shared" si="36"/>
        <v>0.75396005509641872</v>
      </c>
      <c r="Q125" s="272">
        <f t="shared" si="36"/>
        <v>0.75396005509641872</v>
      </c>
      <c r="R125" s="272">
        <f t="shared" si="36"/>
        <v>0.75396005509641872</v>
      </c>
      <c r="S125" s="272">
        <f t="shared" si="36"/>
        <v>0.75396005509641872</v>
      </c>
    </row>
    <row r="126" spans="3:21" x14ac:dyDescent="0.35">
      <c r="D126" t="str">
        <f>'Hist - BS'!B285</f>
        <v>Other payables</v>
      </c>
      <c r="E126" s="70" t="s">
        <v>947</v>
      </c>
      <c r="L126" s="74">
        <f>'Hist - BS'!J285/L38</f>
        <v>4.072598494909252E-2</v>
      </c>
      <c r="M126" s="74">
        <f>'Hist - BS'!K285/M38</f>
        <v>2.7340129749768304E-2</v>
      </c>
      <c r="N126" s="272">
        <f>AVERAGE(L126:M126)</f>
        <v>3.4033057349430414E-2</v>
      </c>
      <c r="O126" s="272">
        <f t="shared" ref="O126:S126" si="37">AVERAGE(M126:N126)</f>
        <v>3.0686593549599357E-2</v>
      </c>
      <c r="P126" s="272">
        <f t="shared" si="37"/>
        <v>3.2359825449514885E-2</v>
      </c>
      <c r="Q126" s="272">
        <f t="shared" si="37"/>
        <v>3.1523209499557121E-2</v>
      </c>
      <c r="R126" s="272">
        <f t="shared" si="37"/>
        <v>3.1941517474536003E-2</v>
      </c>
      <c r="S126" s="272">
        <f t="shared" si="37"/>
        <v>3.1732363487046562E-2</v>
      </c>
    </row>
    <row r="127" spans="3:21" x14ac:dyDescent="0.35">
      <c r="D127" t="str">
        <f>'Hist - BS'!B286</f>
        <v>Deferred tax liabilities</v>
      </c>
      <c r="E127" s="70"/>
      <c r="L127" s="67">
        <f>'Hist - BS'!J286</f>
        <v>1717</v>
      </c>
      <c r="M127" s="67">
        <f>'Hist - BS'!K286</f>
        <v>1969</v>
      </c>
      <c r="N127" s="273"/>
      <c r="O127" s="273"/>
      <c r="P127" s="273"/>
      <c r="Q127" s="273"/>
      <c r="R127" s="273"/>
      <c r="S127" s="273"/>
    </row>
    <row r="128" spans="3:21" x14ac:dyDescent="0.35">
      <c r="D128" t="str">
        <f>'Hist - BS'!B287</f>
        <v>Provisions</v>
      </c>
      <c r="E128" s="70" t="s">
        <v>952</v>
      </c>
      <c r="L128" s="74">
        <f>'Hist - BS'!J287/'3-Statement'!L28</f>
        <v>0.28464977645305511</v>
      </c>
      <c r="M128" s="74">
        <f>'Hist - BS'!K287/'3-Statement'!M28</f>
        <v>0.22478736330498178</v>
      </c>
      <c r="N128" s="272">
        <f>AVERAGE(L128:M128)</f>
        <v>0.25471856987901842</v>
      </c>
      <c r="O128" s="272">
        <f t="shared" ref="O128:S128" si="38">AVERAGE(M128:N128)</f>
        <v>0.2397529665920001</v>
      </c>
      <c r="P128" s="272">
        <f t="shared" si="38"/>
        <v>0.24723576823550925</v>
      </c>
      <c r="Q128" s="272">
        <f t="shared" si="38"/>
        <v>0.24349436741375469</v>
      </c>
      <c r="R128" s="272">
        <f t="shared" si="38"/>
        <v>0.24536506782463197</v>
      </c>
      <c r="S128" s="272">
        <f t="shared" si="38"/>
        <v>0.24442971761919333</v>
      </c>
    </row>
    <row r="130" spans="3:21" ht="17.5" thickBot="1" x14ac:dyDescent="0.45">
      <c r="C130" s="58" t="s">
        <v>609</v>
      </c>
      <c r="D130" s="58"/>
      <c r="E130" s="58"/>
      <c r="F130" s="58"/>
      <c r="G130" s="58"/>
      <c r="H130" s="58"/>
      <c r="I130" s="58"/>
      <c r="J130" s="58"/>
      <c r="K130" s="58"/>
      <c r="L130" s="58"/>
      <c r="M130" s="58"/>
      <c r="N130" s="58"/>
      <c r="O130" s="58"/>
      <c r="P130" s="58"/>
      <c r="Q130" s="58"/>
      <c r="R130" s="58"/>
      <c r="S130" s="58"/>
      <c r="T130" s="58"/>
      <c r="U130" s="58"/>
    </row>
    <row r="131" spans="3:21" ht="15" thickTop="1" x14ac:dyDescent="0.35">
      <c r="D131">
        <f>'Hist - BS'!B290</f>
        <v>0</v>
      </c>
    </row>
    <row r="133" spans="3:21" x14ac:dyDescent="0.35">
      <c r="D133" t="str">
        <f>'Hist - BS'!B292</f>
        <v>Share capital</v>
      </c>
      <c r="E133" s="70" t="s">
        <v>948</v>
      </c>
      <c r="L133" s="67">
        <f>'Hist - BS'!J292</f>
        <v>499</v>
      </c>
      <c r="M133" s="67">
        <f>'Hist - BS'!K292</f>
        <v>499</v>
      </c>
      <c r="N133" s="185">
        <f>M133</f>
        <v>499</v>
      </c>
      <c r="O133" s="185">
        <f t="shared" ref="O133:S133" si="39">N133</f>
        <v>499</v>
      </c>
      <c r="P133" s="185">
        <f t="shared" si="39"/>
        <v>499</v>
      </c>
      <c r="Q133" s="185">
        <f t="shared" si="39"/>
        <v>499</v>
      </c>
      <c r="R133" s="185">
        <f t="shared" si="39"/>
        <v>499</v>
      </c>
      <c r="S133" s="185">
        <f t="shared" si="39"/>
        <v>499</v>
      </c>
    </row>
    <row r="134" spans="3:21" x14ac:dyDescent="0.35">
      <c r="D134" t="str">
        <f>'Hist - BS'!B293</f>
        <v>Share premium</v>
      </c>
      <c r="E134" s="70" t="s">
        <v>948</v>
      </c>
      <c r="L134" s="67">
        <f>'Hist - BS'!J293</f>
        <v>1051</v>
      </c>
      <c r="M134" s="67">
        <f>'Hist - BS'!K293</f>
        <v>1051</v>
      </c>
      <c r="N134" s="185">
        <f>M134</f>
        <v>1051</v>
      </c>
      <c r="O134" s="185">
        <f t="shared" ref="O134:S134" si="40">N134</f>
        <v>1051</v>
      </c>
      <c r="P134" s="185">
        <f t="shared" si="40"/>
        <v>1051</v>
      </c>
      <c r="Q134" s="185">
        <f t="shared" si="40"/>
        <v>1051</v>
      </c>
      <c r="R134" s="185">
        <f t="shared" si="40"/>
        <v>1051</v>
      </c>
      <c r="S134" s="185">
        <f t="shared" si="40"/>
        <v>1051</v>
      </c>
    </row>
    <row r="135" spans="3:21" x14ac:dyDescent="0.35">
      <c r="D135" t="str">
        <f>'Hist - BS'!B294</f>
        <v>Own shares</v>
      </c>
      <c r="E135" s="70" t="s">
        <v>948</v>
      </c>
      <c r="L135" s="67">
        <f>'Hist - BS'!J294</f>
        <v>-378</v>
      </c>
      <c r="M135" s="67">
        <f>'Hist - BS'!K294</f>
        <v>-188</v>
      </c>
      <c r="N135" s="185">
        <f>M135</f>
        <v>-188</v>
      </c>
      <c r="O135" s="185">
        <f t="shared" ref="O135:S135" si="41">N135</f>
        <v>-188</v>
      </c>
      <c r="P135" s="185">
        <f t="shared" si="41"/>
        <v>-188</v>
      </c>
      <c r="Q135" s="185">
        <f t="shared" si="41"/>
        <v>-188</v>
      </c>
      <c r="R135" s="185">
        <f t="shared" si="41"/>
        <v>-188</v>
      </c>
      <c r="S135" s="185">
        <f t="shared" si="41"/>
        <v>-188</v>
      </c>
    </row>
    <row r="136" spans="3:21" x14ac:dyDescent="0.35">
      <c r="D136" t="str">
        <f>'Hist - BS'!B295</f>
        <v>Merger reserve</v>
      </c>
      <c r="E136" s="70" t="s">
        <v>948</v>
      </c>
      <c r="L136" s="67">
        <f>'Hist - BS'!J295</f>
        <v>998</v>
      </c>
      <c r="M136" s="67">
        <f>'Hist - BS'!K295</f>
        <v>998</v>
      </c>
      <c r="N136" s="185">
        <f>M136</f>
        <v>998</v>
      </c>
      <c r="O136" s="185">
        <f t="shared" ref="O136:S136" si="42">N136</f>
        <v>998</v>
      </c>
      <c r="P136" s="185">
        <f t="shared" si="42"/>
        <v>998</v>
      </c>
      <c r="Q136" s="185">
        <f t="shared" si="42"/>
        <v>998</v>
      </c>
      <c r="R136" s="185">
        <f t="shared" si="42"/>
        <v>998</v>
      </c>
      <c r="S136" s="185">
        <f t="shared" si="42"/>
        <v>998</v>
      </c>
    </row>
    <row r="137" spans="3:21" x14ac:dyDescent="0.35">
      <c r="D137" t="str">
        <f>'Hist - BS'!B296</f>
        <v>Other reserves</v>
      </c>
      <c r="E137" s="70" t="s">
        <v>948</v>
      </c>
      <c r="L137" s="67">
        <f>'Hist - BS'!J296</f>
        <v>828</v>
      </c>
      <c r="M137" s="67">
        <f>'Hist - BS'!K296</f>
        <v>650</v>
      </c>
      <c r="N137" s="185">
        <f>M137</f>
        <v>650</v>
      </c>
      <c r="O137" s="185">
        <f t="shared" ref="O137:S137" si="43">N137</f>
        <v>650</v>
      </c>
      <c r="P137" s="185">
        <f t="shared" si="43"/>
        <v>650</v>
      </c>
      <c r="Q137" s="185">
        <f t="shared" si="43"/>
        <v>650</v>
      </c>
      <c r="R137" s="185">
        <f t="shared" si="43"/>
        <v>650</v>
      </c>
      <c r="S137" s="185">
        <f t="shared" si="43"/>
        <v>650</v>
      </c>
    </row>
    <row r="138" spans="3:21" x14ac:dyDescent="0.35">
      <c r="D138" t="str">
        <f>'Hist - BS'!B297</f>
        <v>Retained earnings</v>
      </c>
      <c r="L138" s="67">
        <f>'Hist - BS'!J297</f>
        <v>9910</v>
      </c>
      <c r="M138" s="67">
        <f>'Hist - BS'!K297</f>
        <v>9554</v>
      </c>
      <c r="N138" s="273"/>
      <c r="O138" s="273"/>
      <c r="P138" s="273"/>
      <c r="Q138" s="273"/>
      <c r="R138" s="273"/>
      <c r="S138" s="273"/>
    </row>
    <row r="140" spans="3:21" x14ac:dyDescent="0.35">
      <c r="D140" s="70" t="s">
        <v>954</v>
      </c>
    </row>
    <row r="142" spans="3:21" ht="17.5" thickBot="1" x14ac:dyDescent="0.45">
      <c r="C142" s="58" t="s">
        <v>1095</v>
      </c>
      <c r="D142" s="58"/>
      <c r="E142" s="58"/>
      <c r="F142" s="58"/>
      <c r="G142" s="58"/>
      <c r="H142" s="58"/>
      <c r="I142" s="58"/>
      <c r="J142" s="58"/>
      <c r="K142" s="58"/>
      <c r="L142" s="58"/>
      <c r="M142" s="58"/>
      <c r="N142" s="58"/>
      <c r="O142" s="58"/>
      <c r="P142" s="58"/>
      <c r="Q142" s="58"/>
      <c r="R142" s="58"/>
      <c r="S142" s="58"/>
      <c r="T142" s="58"/>
      <c r="U142" s="58"/>
    </row>
    <row r="143" spans="3:21" ht="15" thickTop="1" x14ac:dyDescent="0.35"/>
    <row r="144" spans="3:21" x14ac:dyDescent="0.35">
      <c r="D144" t="s">
        <v>1096</v>
      </c>
      <c r="E144" s="77" t="s">
        <v>711</v>
      </c>
      <c r="F144" s="78">
        <v>3.7499999999999999E-2</v>
      </c>
    </row>
    <row r="145" spans="4:15" x14ac:dyDescent="0.35">
      <c r="D145" s="70" t="s">
        <v>1097</v>
      </c>
    </row>
    <row r="146" spans="4:15" x14ac:dyDescent="0.35">
      <c r="D146" t="str">
        <f>D61</f>
        <v>10 Year  Uk Bond Yield</v>
      </c>
      <c r="E146" s="77" t="s">
        <v>711</v>
      </c>
      <c r="F146" s="152">
        <f>F61</f>
        <v>5.3699999999999998E-2</v>
      </c>
    </row>
    <row r="147" spans="4:15" x14ac:dyDescent="0.35">
      <c r="D147" t="s">
        <v>1196</v>
      </c>
      <c r="F147" s="75" t="s">
        <v>1195</v>
      </c>
    </row>
    <row r="148" spans="4:15" x14ac:dyDescent="0.35">
      <c r="D148" t="s">
        <v>1200</v>
      </c>
      <c r="E148" s="77" t="s">
        <v>1201</v>
      </c>
      <c r="F148" s="213">
        <f>M14</f>
        <v>46319</v>
      </c>
    </row>
    <row r="149" spans="4:15" x14ac:dyDescent="0.35">
      <c r="D149" t="s">
        <v>1235</v>
      </c>
      <c r="E149" s="77" t="s">
        <v>711</v>
      </c>
      <c r="F149" s="228">
        <f>AVERAGE(F160:F185)</f>
        <v>4.1134954751131221E-2</v>
      </c>
    </row>
    <row r="150" spans="4:15" x14ac:dyDescent="0.35">
      <c r="D150" s="70" t="s">
        <v>1260</v>
      </c>
      <c r="E150" s="77"/>
      <c r="F150" s="228"/>
    </row>
    <row r="151" spans="4:15" x14ac:dyDescent="0.35">
      <c r="D151" t="s">
        <v>1245</v>
      </c>
      <c r="E151" s="77" t="s">
        <v>711</v>
      </c>
      <c r="F151" s="228">
        <v>2.5000000000000001E-2</v>
      </c>
    </row>
    <row r="152" spans="4:15" x14ac:dyDescent="0.35">
      <c r="D152" t="s">
        <v>1243</v>
      </c>
      <c r="E152" s="77" t="s">
        <v>711</v>
      </c>
      <c r="F152" s="228">
        <f>F144-F151</f>
        <v>1.2499999999999997E-2</v>
      </c>
    </row>
    <row r="153" spans="4:15" x14ac:dyDescent="0.35">
      <c r="D153" s="70" t="s">
        <v>1244</v>
      </c>
      <c r="E153" s="77"/>
      <c r="F153" s="228"/>
    </row>
    <row r="154" spans="4:15" x14ac:dyDescent="0.35">
      <c r="D154" s="231" t="s">
        <v>1257</v>
      </c>
      <c r="E154" s="77" t="s">
        <v>711</v>
      </c>
      <c r="F154" s="233"/>
    </row>
    <row r="155" spans="4:15" x14ac:dyDescent="0.35">
      <c r="D155" t="s">
        <v>1252</v>
      </c>
      <c r="E155" s="77" t="str">
        <f>money</f>
        <v>[£'M]</v>
      </c>
      <c r="F155" s="185">
        <v>2100</v>
      </c>
    </row>
    <row r="156" spans="4:15" x14ac:dyDescent="0.35">
      <c r="D156" t="s">
        <v>1253</v>
      </c>
      <c r="E156" s="77" t="s">
        <v>711</v>
      </c>
      <c r="F156" s="228">
        <v>0.08</v>
      </c>
    </row>
    <row r="157" spans="4:15" x14ac:dyDescent="0.35">
      <c r="D157" s="70"/>
      <c r="E157" s="77"/>
      <c r="F157" s="228"/>
    </row>
    <row r="158" spans="4:15" ht="15" thickBot="1" x14ac:dyDescent="0.4">
      <c r="F158" s="212" t="s">
        <v>1205</v>
      </c>
      <c r="G158" s="212"/>
      <c r="H158" s="212"/>
      <c r="I158" s="212"/>
      <c r="J158" s="212"/>
      <c r="K158" s="212"/>
      <c r="L158" s="211"/>
      <c r="M158" s="211"/>
      <c r="N158" s="211"/>
      <c r="O158" s="211"/>
    </row>
    <row r="159" spans="4:15" ht="15.5" thickTop="1" thickBot="1" x14ac:dyDescent="0.4">
      <c r="F159" s="201" t="s">
        <v>1236</v>
      </c>
      <c r="I159" s="201" t="s">
        <v>1206</v>
      </c>
      <c r="J159" s="201" t="s">
        <v>48</v>
      </c>
      <c r="K159" s="201" t="s">
        <v>1221</v>
      </c>
      <c r="L159" s="201" t="s">
        <v>750</v>
      </c>
      <c r="M159" s="201" t="s">
        <v>741</v>
      </c>
      <c r="N159" s="201" t="s">
        <v>742</v>
      </c>
      <c r="O159" s="201" t="s">
        <v>743</v>
      </c>
    </row>
    <row r="160" spans="4:15" ht="15" thickTop="1" x14ac:dyDescent="0.35">
      <c r="F160" s="74">
        <f>'Debt Structure'!G26/100</f>
        <v>3.125E-2</v>
      </c>
      <c r="I160" s="216">
        <v>1</v>
      </c>
      <c r="J160" t="s">
        <v>1208</v>
      </c>
      <c r="K160" s="219">
        <f>YEAR('Debt Structure'!D18)</f>
        <v>2027</v>
      </c>
      <c r="L160" s="128"/>
      <c r="M160">
        <f>'Debt Structure'!E18/1000000</f>
        <v>976.18201099999999</v>
      </c>
      <c r="N160">
        <f>'Debt Structure'!F18/1000000</f>
        <v>976.18201099999999</v>
      </c>
      <c r="O160" s="14">
        <f>'Debt Structure'!G18/100</f>
        <v>1.4999999999999999E-2</v>
      </c>
    </row>
    <row r="161" spans="6:17" x14ac:dyDescent="0.35">
      <c r="F161" s="74">
        <f>'Debt Structure'!G27/100</f>
        <v>3.125E-2</v>
      </c>
      <c r="I161" s="216">
        <v>2</v>
      </c>
      <c r="J161" t="s">
        <v>1209</v>
      </c>
      <c r="K161" s="219">
        <f>YEAR('Debt Structure'!D19)</f>
        <v>2028</v>
      </c>
      <c r="L161" s="128"/>
      <c r="M161">
        <f>'Debt Structure'!E19/1000000</f>
        <v>424.42696100000001</v>
      </c>
      <c r="N161">
        <f>'Debt Structure'!F19/1000000</f>
        <v>424.42696100000001</v>
      </c>
      <c r="O161" s="14">
        <f>'Debt Structure'!G19/100</f>
        <v>2.1250000000000002E-2</v>
      </c>
    </row>
    <row r="162" spans="6:17" x14ac:dyDescent="0.35">
      <c r="F162" s="74">
        <f>'Debt Structure'!G28/100</f>
        <v>3.3750000000000002E-2</v>
      </c>
      <c r="I162" s="216">
        <v>3</v>
      </c>
      <c r="J162" t="s">
        <v>1210</v>
      </c>
      <c r="K162" s="219">
        <f>YEAR('Debt Structure'!D20)</f>
        <v>2028</v>
      </c>
      <c r="L162" s="128"/>
      <c r="M162">
        <f>'Debt Structure'!E20/1000000</f>
        <v>529.54081199999996</v>
      </c>
      <c r="N162">
        <f>'Debt Structure'!F20/1000000</f>
        <v>529.54081199999996</v>
      </c>
      <c r="O162" s="14">
        <f>'Debt Structure'!G20/100</f>
        <v>5.1249999999999997E-2</v>
      </c>
    </row>
    <row r="163" spans="6:17" x14ac:dyDescent="0.35">
      <c r="F163" s="74">
        <f>'Debt Structure'!G29/100</f>
        <v>3.3750000000000002E-2</v>
      </c>
      <c r="I163" s="216">
        <v>4</v>
      </c>
      <c r="J163" t="s">
        <v>1211</v>
      </c>
      <c r="K163" s="219">
        <f>YEAR('Debt Structure'!D21)</f>
        <v>2028</v>
      </c>
      <c r="L163" s="128"/>
      <c r="M163">
        <f>'Debt Structure'!E21/1000000</f>
        <v>600</v>
      </c>
      <c r="N163">
        <f>'Debt Structure'!F21/1000000</f>
        <v>600</v>
      </c>
      <c r="O163" s="14">
        <f>'Debt Structure'!G21/100</f>
        <v>5.7500000000000002E-2</v>
      </c>
      <c r="Q163" s="217"/>
    </row>
    <row r="164" spans="6:17" x14ac:dyDescent="0.35">
      <c r="F164" s="74">
        <f>'Debt Structure'!G30/100</f>
        <v>4.2500000000000003E-2</v>
      </c>
      <c r="I164" s="216">
        <v>5</v>
      </c>
      <c r="J164" t="s">
        <v>1212</v>
      </c>
      <c r="K164" s="219">
        <f>YEAR('Debt Structure'!D22)</f>
        <v>2029</v>
      </c>
      <c r="L164" s="128"/>
      <c r="M164">
        <f>'Debt Structure'!E22/1000000</f>
        <v>636.64044200000001</v>
      </c>
      <c r="N164">
        <f>'Debt Structure'!F22/1000000</f>
        <v>636.64044200000001</v>
      </c>
      <c r="O164" s="14">
        <f>'Debt Structure'!G22/100</f>
        <v>1.125E-2</v>
      </c>
    </row>
    <row r="165" spans="6:17" x14ac:dyDescent="0.35">
      <c r="F165" s="74">
        <f>'Debt Structure'!G31/100</f>
        <v>4.7100000000000003E-2</v>
      </c>
      <c r="I165" s="216">
        <v>6</v>
      </c>
      <c r="J165" t="s">
        <v>1213</v>
      </c>
      <c r="K165" s="219">
        <f>YEAR('Debt Structure'!D23)</f>
        <v>2029</v>
      </c>
      <c r="L165" s="128"/>
      <c r="M165">
        <f>'Debt Structure'!E23/1000000</f>
        <v>756.48687500000005</v>
      </c>
      <c r="N165">
        <f>'Debt Structure'!F23/1000000</f>
        <v>756.48687500000005</v>
      </c>
      <c r="O165" s="14">
        <f>'Debt Structure'!G23/100</f>
        <v>3.2500000000000001E-2</v>
      </c>
    </row>
    <row r="166" spans="6:17" x14ac:dyDescent="0.35">
      <c r="F166" s="74">
        <f>'Debt Structure'!G32/100</f>
        <v>3.6400000000000002E-2</v>
      </c>
      <c r="I166" s="216">
        <v>7</v>
      </c>
      <c r="J166" t="s">
        <v>1214</v>
      </c>
      <c r="K166" s="219">
        <f>YEAR('Debt Structure'!D24)</f>
        <v>2030</v>
      </c>
      <c r="L166" s="128"/>
      <c r="M166">
        <f>'Debt Structure'!E24/1000000</f>
        <v>2019.819956</v>
      </c>
      <c r="N166">
        <f>'Debt Structure'!F24/1000000</f>
        <v>2118.1632500000001</v>
      </c>
      <c r="O166" s="14">
        <f>'Debt Structure'!G24/100</f>
        <v>9.6250000000000002E-2</v>
      </c>
      <c r="Q166" s="217"/>
    </row>
    <row r="167" spans="6:17" x14ac:dyDescent="0.35">
      <c r="F167" s="74">
        <f>'Debt Structure'!G33/100</f>
        <v>1.6129999999999999E-2</v>
      </c>
      <c r="I167" s="216">
        <v>8</v>
      </c>
      <c r="J167" t="s">
        <v>1215</v>
      </c>
      <c r="K167" s="219">
        <f>YEAR('Debt Structure'!D25)</f>
        <v>2031</v>
      </c>
      <c r="L167" s="128"/>
      <c r="M167">
        <f>'Debt Structure'!E25/1000000</f>
        <v>679.08313799999996</v>
      </c>
      <c r="N167">
        <f>'Debt Structure'!F25/1000000</f>
        <v>679.08313799999996</v>
      </c>
      <c r="O167" s="14">
        <f>'Debt Structure'!G25/100</f>
        <v>3.7499999999999999E-2</v>
      </c>
    </row>
    <row r="168" spans="6:17" x14ac:dyDescent="0.35">
      <c r="F168" s="74">
        <f>'Debt Structure'!G34/100</f>
        <v>3.875E-2</v>
      </c>
      <c r="I168" s="216">
        <v>9</v>
      </c>
      <c r="J168" t="s">
        <v>1216</v>
      </c>
      <c r="K168" s="219">
        <f>YEAR('Debt Structure'!D26)</f>
        <v>2031</v>
      </c>
      <c r="L168" s="226">
        <v>2027</v>
      </c>
      <c r="M168">
        <f>'Debt Structure'!E35/1000000</f>
        <v>721.52583400000003</v>
      </c>
      <c r="N168">
        <f>'Debt Structure'!F35/1000000</f>
        <v>721.52583400000003</v>
      </c>
      <c r="O168" s="14">
        <f>'Debt Structure'!G35/100</f>
        <v>3.875E-2</v>
      </c>
    </row>
    <row r="169" spans="6:17" x14ac:dyDescent="0.35">
      <c r="F169" s="74">
        <f>'Debt Structure'!G36/100</f>
        <v>3.7499999999999999E-2</v>
      </c>
    </row>
    <row r="170" spans="6:17" x14ac:dyDescent="0.35">
      <c r="F170" s="74">
        <f>'Debt Structure'!G37/100</f>
        <v>6.3750000000000001E-2</v>
      </c>
      <c r="I170" s="168" t="s">
        <v>1229</v>
      </c>
      <c r="J170" s="170">
        <f>SUM(M160:M167)</f>
        <v>6622.1801949999999</v>
      </c>
      <c r="O170" s="16"/>
    </row>
    <row r="171" spans="6:17" x14ac:dyDescent="0.35">
      <c r="F171" s="74">
        <f>'Debt Structure'!G38/100</f>
        <v>3.8830000000000003E-2</v>
      </c>
    </row>
    <row r="172" spans="6:17" x14ac:dyDescent="0.35">
      <c r="F172" s="74">
        <f>'Debt Structure'!G39/100</f>
        <v>1.7390000000000003E-2</v>
      </c>
      <c r="I172" s="70" t="s">
        <v>1228</v>
      </c>
    </row>
    <row r="173" spans="6:17" x14ac:dyDescent="0.35">
      <c r="F173" s="74">
        <f>'Debt Structure'!G40/100</f>
        <v>5.7500000000000002E-2</v>
      </c>
    </row>
    <row r="174" spans="6:17" x14ac:dyDescent="0.35">
      <c r="F174" s="74">
        <f>'Debt Structure'!G41/100</f>
        <v>5.6250000000000001E-2</v>
      </c>
      <c r="I174" s="70" t="s">
        <v>1240</v>
      </c>
    </row>
    <row r="175" spans="6:17" x14ac:dyDescent="0.35">
      <c r="F175" s="74">
        <f>'Debt Structure'!G42/100</f>
        <v>3.9239999999999997E-2</v>
      </c>
    </row>
    <row r="176" spans="6:17" x14ac:dyDescent="0.35">
      <c r="F176" s="74">
        <f>'Debt Structure'!G43/100</f>
        <v>1.7739999999999999E-2</v>
      </c>
    </row>
    <row r="177" spans="6:6" x14ac:dyDescent="0.35">
      <c r="F177" s="74">
        <f>'Debt Structure'!G44/100</f>
        <v>2.0799999999999999E-2</v>
      </c>
    </row>
    <row r="178" spans="6:6" x14ac:dyDescent="0.35">
      <c r="F178" s="74">
        <f>'Debt Structure'!G45/100</f>
        <v>3.6249999999999998E-2</v>
      </c>
    </row>
    <row r="179" spans="6:6" x14ac:dyDescent="0.35">
      <c r="F179" s="74">
        <f>'Debt Structure'!G46/100</f>
        <v>4.2500000000000003E-2</v>
      </c>
    </row>
    <row r="180" spans="6:6" x14ac:dyDescent="0.35">
      <c r="F180" s="74">
        <f>'Debt Structure'!G47/100</f>
        <v>5.1249999999999997E-2</v>
      </c>
    </row>
    <row r="181" spans="6:6" x14ac:dyDescent="0.35">
      <c r="F181" s="74">
        <f>'Debt Structure'!G48/100</f>
        <v>6.3750000000000001E-2</v>
      </c>
    </row>
    <row r="182" spans="6:6" x14ac:dyDescent="0.35">
      <c r="F182" s="74">
        <f>'Debt Structure'!G49/100</f>
        <v>4.8750000000000002E-2</v>
      </c>
    </row>
    <row r="183" spans="6:6" x14ac:dyDescent="0.35">
      <c r="F183" s="74">
        <f>'Debt Structure'!G50/100</f>
        <v>4.2500000000000003E-2</v>
      </c>
    </row>
    <row r="184" spans="6:6" x14ac:dyDescent="0.35">
      <c r="F184" s="74">
        <f>'Debt Structure'!G51/100</f>
        <v>8.3750000000000005E-2</v>
      </c>
    </row>
    <row r="185" spans="6:6" x14ac:dyDescent="0.35">
      <c r="F185" s="74">
        <f>'Debt Structure'!G52/100</f>
        <v>4.0878823529411766E-2</v>
      </c>
    </row>
  </sheetData>
  <conditionalFormatting sqref="C5:D5">
    <cfRule type="expression" dxfId="8" priority="1">
      <formula>bs_check&lt;&gt;0</formula>
    </cfRule>
  </conditionalFormatting>
  <hyperlinks>
    <hyperlink ref="D33" r:id="rId1" display="https://tradingeconomics.com/united-kingdom/gdp-growth-annual" xr:uid="{0C9CA469-071F-41DB-A423-78DBB7034C04}"/>
  </hyperlinks>
  <pageMargins left="0.70866141732283472" right="0.70866141732283472" top="0.74803149606299213" bottom="0.74803149606299213" header="0.31496062992125984" footer="0.31496062992125984"/>
  <pageSetup scale="66" fitToHeight="0" orientation="landscape" r:id="rId2"/>
  <headerFooter>
    <oddFooter xml:space="preserve">&amp;LOpeoluwa Kuku
 H00529768
&amp;F&amp;C&amp;P of &amp;N&amp;RPrinted on &amp;D 
at &amp;D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DA5D0-2D8F-4C85-821C-BE9AC0547BAE}">
  <sheetPr>
    <tabColor theme="3" tint="0.499984740745262"/>
    <pageSetUpPr fitToPage="1"/>
  </sheetPr>
  <dimension ref="A1:U59"/>
  <sheetViews>
    <sheetView showGridLines="0" zoomScale="70" zoomScaleNormal="70" workbookViewId="0">
      <pane ySplit="7" topLeftCell="A8" activePane="bottomLeft" state="frozen"/>
      <selection pane="bottomLeft"/>
    </sheetView>
  </sheetViews>
  <sheetFormatPr defaultColWidth="0" defaultRowHeight="14.5" x14ac:dyDescent="0.35"/>
  <cols>
    <col min="1" max="3" width="2.26953125" customWidth="1"/>
    <col min="4" max="4" width="34.26953125" customWidth="1"/>
    <col min="5" max="5" width="8.7265625" style="77" customWidth="1"/>
    <col min="6" max="6" width="17.26953125" bestFit="1" customWidth="1"/>
    <col min="7" max="8" width="2.453125" customWidth="1"/>
    <col min="9" max="12" width="8.7265625" customWidth="1"/>
    <col min="13" max="18" width="14.453125" bestFit="1" customWidth="1"/>
    <col min="19" max="21" width="8.7265625" customWidth="1"/>
    <col min="22" max="16384" width="8.7265625" hidden="1"/>
  </cols>
  <sheetData>
    <row r="1" spans="1:21" ht="7" customHeight="1" x14ac:dyDescent="0.35">
      <c r="A1" s="22"/>
      <c r="B1" s="22"/>
      <c r="C1" s="22"/>
      <c r="D1" s="22"/>
      <c r="E1" s="22"/>
      <c r="F1" s="22"/>
      <c r="G1" s="22"/>
      <c r="H1" s="22"/>
      <c r="I1" s="22"/>
      <c r="J1" s="22"/>
      <c r="K1" s="22"/>
      <c r="L1" s="22"/>
      <c r="M1" s="22"/>
      <c r="N1" s="22"/>
      <c r="O1" s="22"/>
      <c r="P1" s="22"/>
      <c r="Q1" s="22"/>
      <c r="R1" s="22"/>
      <c r="S1" s="22"/>
      <c r="T1" s="22"/>
      <c r="U1" s="22"/>
    </row>
    <row r="2" spans="1:21" ht="47.5" x14ac:dyDescent="1.1000000000000001">
      <c r="A2" s="22"/>
      <c r="B2" s="23" t="str">
        <f>company_name</f>
        <v>BT GROUP PLC</v>
      </c>
      <c r="C2" s="24"/>
      <c r="D2" s="22"/>
      <c r="E2" s="22"/>
      <c r="F2" s="22"/>
      <c r="G2" s="22"/>
      <c r="H2" s="22"/>
      <c r="I2" s="22"/>
      <c r="J2" s="22"/>
      <c r="K2" s="22"/>
      <c r="L2" s="22"/>
      <c r="M2" s="22"/>
      <c r="N2" s="22"/>
      <c r="O2" s="22"/>
      <c r="P2" s="22"/>
      <c r="Q2" s="22"/>
      <c r="R2" s="22"/>
      <c r="S2" s="22"/>
      <c r="T2" s="22"/>
      <c r="U2" s="22"/>
    </row>
    <row r="3" spans="1:21" ht="26" x14ac:dyDescent="0.6">
      <c r="A3" s="22"/>
      <c r="B3" s="22"/>
      <c r="C3" s="25" t="s">
        <v>712</v>
      </c>
      <c r="D3" s="22"/>
      <c r="E3" s="22"/>
      <c r="F3" s="22"/>
      <c r="G3" s="22"/>
      <c r="H3" s="22"/>
      <c r="I3" s="22"/>
      <c r="J3" s="22"/>
      <c r="K3" s="22"/>
      <c r="L3" s="22"/>
      <c r="M3" s="22"/>
      <c r="N3" s="22"/>
      <c r="O3" s="22"/>
      <c r="P3" s="22"/>
      <c r="Q3" s="22"/>
      <c r="R3" s="22"/>
      <c r="S3" s="22"/>
      <c r="T3" s="22"/>
      <c r="U3" s="22"/>
    </row>
    <row r="4" spans="1:21" x14ac:dyDescent="0.35">
      <c r="A4" s="22"/>
      <c r="B4" s="22"/>
      <c r="C4" s="22"/>
      <c r="D4" s="22"/>
      <c r="E4" s="22"/>
      <c r="F4" s="22"/>
      <c r="G4" s="22"/>
      <c r="H4" s="22"/>
      <c r="I4" s="22"/>
      <c r="J4" s="22"/>
      <c r="K4" s="22"/>
      <c r="L4" s="22"/>
      <c r="M4" s="22"/>
      <c r="N4" s="22"/>
      <c r="O4" s="22"/>
      <c r="P4" s="22"/>
      <c r="Q4" s="22"/>
      <c r="R4" s="22"/>
      <c r="S4" s="22"/>
      <c r="T4" s="22"/>
      <c r="U4" s="22"/>
    </row>
    <row r="5" spans="1:21" x14ac:dyDescent="0.35">
      <c r="C5" t="str">
        <f ca="1">"Balance Sheet Check: "&amp;IF(bs_check=0,"Balanced as all things should be","Error!!!")</f>
        <v>Balance Sheet Check: Balanced as all things should be</v>
      </c>
      <c r="E5"/>
    </row>
    <row r="6" spans="1:21" x14ac:dyDescent="0.35">
      <c r="D6" t="s">
        <v>48</v>
      </c>
      <c r="E6" t="s">
        <v>49</v>
      </c>
      <c r="F6" t="s">
        <v>50</v>
      </c>
      <c r="I6" s="128" t="s">
        <v>51</v>
      </c>
      <c r="J6" s="128" t="s">
        <v>51</v>
      </c>
      <c r="K6" s="128" t="s">
        <v>51</v>
      </c>
      <c r="L6" s="128" t="s">
        <v>51</v>
      </c>
      <c r="M6" s="128" t="s">
        <v>51</v>
      </c>
      <c r="N6" s="128" t="s">
        <v>52</v>
      </c>
      <c r="O6" s="128" t="s">
        <v>52</v>
      </c>
      <c r="P6" s="128" t="s">
        <v>52</v>
      </c>
      <c r="Q6" s="128" t="s">
        <v>52</v>
      </c>
      <c r="R6" s="128" t="s">
        <v>52</v>
      </c>
      <c r="S6" s="128" t="s">
        <v>53</v>
      </c>
    </row>
    <row r="7" spans="1:21" x14ac:dyDescent="0.35">
      <c r="A7" s="82"/>
      <c r="B7" s="82"/>
      <c r="C7" s="82"/>
      <c r="D7" s="82"/>
      <c r="E7" s="82"/>
      <c r="F7" s="82"/>
      <c r="G7" s="82"/>
      <c r="H7" s="82"/>
      <c r="I7" s="129">
        <v>2022</v>
      </c>
      <c r="J7" s="129">
        <v>2023</v>
      </c>
      <c r="K7" s="129">
        <v>2024</v>
      </c>
      <c r="L7" s="129">
        <v>2025</v>
      </c>
      <c r="M7" s="129">
        <f>base_year</f>
        <v>2026</v>
      </c>
      <c r="N7" s="130">
        <f>M7+1</f>
        <v>2027</v>
      </c>
      <c r="O7" s="130">
        <f>N7+1</f>
        <v>2028</v>
      </c>
      <c r="P7" s="130">
        <f t="shared" ref="P7:R7" si="0">O7+1</f>
        <v>2029</v>
      </c>
      <c r="Q7" s="130">
        <f t="shared" si="0"/>
        <v>2030</v>
      </c>
      <c r="R7" s="130">
        <f t="shared" si="0"/>
        <v>2031</v>
      </c>
      <c r="S7" s="135"/>
      <c r="T7" s="82"/>
      <c r="U7" s="82"/>
    </row>
    <row r="8" spans="1:21" x14ac:dyDescent="0.35">
      <c r="E8"/>
    </row>
    <row r="9" spans="1:21" x14ac:dyDescent="0.35">
      <c r="E9"/>
    </row>
    <row r="10" spans="1:21" ht="18.5" x14ac:dyDescent="0.45">
      <c r="C10" s="64" t="s">
        <v>706</v>
      </c>
      <c r="E10"/>
    </row>
    <row r="11" spans="1:21" x14ac:dyDescent="0.35">
      <c r="D11" t="s">
        <v>722</v>
      </c>
      <c r="F11" s="14">
        <f>'3-Statement'!M36/'3-Statement'!M11</f>
        <v>5.4820319657945635E-2</v>
      </c>
    </row>
    <row r="12" spans="1:21" x14ac:dyDescent="0.35">
      <c r="D12" t="s">
        <v>680</v>
      </c>
      <c r="F12" s="14">
        <f>'3-Statement'!M11/'Hist - BS'!E250</f>
        <v>0.3931086921722427</v>
      </c>
      <c r="I12" s="14"/>
    </row>
    <row r="13" spans="1:21" x14ac:dyDescent="0.35">
      <c r="D13" t="s">
        <v>723</v>
      </c>
      <c r="F13" s="207">
        <f>'3-Statement'!M70/'3-Statement'!M101</f>
        <v>3.9777141037886024</v>
      </c>
    </row>
    <row r="14" spans="1:21" x14ac:dyDescent="0.35">
      <c r="D14" t="s">
        <v>709</v>
      </c>
      <c r="E14" s="77" t="s">
        <v>711</v>
      </c>
      <c r="F14" s="14">
        <f>F11*F12*F13</f>
        <v>8.5721107927411652E-2</v>
      </c>
    </row>
    <row r="15" spans="1:21" x14ac:dyDescent="0.35">
      <c r="D15" t="s">
        <v>707</v>
      </c>
      <c r="E15" s="77" t="s">
        <v>711</v>
      </c>
      <c r="F15" s="14">
        <f>Inputs!M52</f>
        <v>0.76323119777158777</v>
      </c>
    </row>
    <row r="16" spans="1:21" x14ac:dyDescent="0.35">
      <c r="D16" t="s">
        <v>708</v>
      </c>
      <c r="E16" s="77" t="s">
        <v>711</v>
      </c>
      <c r="F16" s="16">
        <f>1-F15</f>
        <v>0.23676880222841223</v>
      </c>
    </row>
    <row r="17" spans="4:19" x14ac:dyDescent="0.35">
      <c r="D17" s="17" t="s">
        <v>595</v>
      </c>
      <c r="E17" s="77" t="s">
        <v>711</v>
      </c>
      <c r="F17" s="19">
        <f>F14*F16</f>
        <v>2.0296084049665708E-2</v>
      </c>
    </row>
    <row r="18" spans="4:19" x14ac:dyDescent="0.35">
      <c r="D18" s="70" t="s">
        <v>1014</v>
      </c>
    </row>
    <row r="19" spans="4:19" x14ac:dyDescent="0.35">
      <c r="D19" s="70" t="s">
        <v>1059</v>
      </c>
    </row>
    <row r="20" spans="4:19" x14ac:dyDescent="0.35">
      <c r="D20" s="70"/>
    </row>
    <row r="21" spans="4:19" x14ac:dyDescent="0.35">
      <c r="D21" s="17" t="s">
        <v>710</v>
      </c>
      <c r="E21" s="77" t="s">
        <v>711</v>
      </c>
      <c r="F21" s="74">
        <f>'Investment recommendation'!Q57</f>
        <v>9.2604507576748513E-2</v>
      </c>
    </row>
    <row r="22" spans="4:19" x14ac:dyDescent="0.35">
      <c r="D22" s="17" t="s">
        <v>595</v>
      </c>
      <c r="E22" s="77" t="s">
        <v>711</v>
      </c>
      <c r="F22" s="74">
        <f>'Investment recommendation'!Q58</f>
        <v>2.0296084049665708E-2</v>
      </c>
    </row>
    <row r="24" spans="4:19" x14ac:dyDescent="0.35">
      <c r="D24" t="s">
        <v>602</v>
      </c>
      <c r="E24" s="62" t="s">
        <v>720</v>
      </c>
      <c r="I24" s="72">
        <f>Inputs!I51</f>
        <v>755</v>
      </c>
      <c r="J24" s="72">
        <f>Inputs!J51</f>
        <v>760</v>
      </c>
      <c r="K24" s="72">
        <f>Inputs!K51</f>
        <v>783</v>
      </c>
      <c r="L24" s="72">
        <f>Inputs!L51</f>
        <v>801</v>
      </c>
      <c r="M24" s="72">
        <f>Inputs!M51</f>
        <v>822</v>
      </c>
      <c r="N24" s="67">
        <f>Inputs!N51</f>
        <v>854.18686595673614</v>
      </c>
      <c r="O24" s="67">
        <f>Inputs!O51</f>
        <v>879.81247193543811</v>
      </c>
      <c r="P24" s="67">
        <f>Inputs!P51</f>
        <v>906.20684609350144</v>
      </c>
      <c r="Q24" s="67">
        <f>Inputs!Q51</f>
        <v>933.39305147630648</v>
      </c>
      <c r="R24" s="67">
        <f>Inputs!R51</f>
        <v>961.39484302059566</v>
      </c>
      <c r="S24" s="67">
        <f>R24*(1+F22)</f>
        <v>980.90739355945686</v>
      </c>
    </row>
    <row r="25" spans="4:19" x14ac:dyDescent="0.35">
      <c r="D25" t="s">
        <v>707</v>
      </c>
      <c r="E25" s="77" t="s">
        <v>711</v>
      </c>
      <c r="I25" s="74">
        <f>Inputs!I52</f>
        <v>0.59262166405023553</v>
      </c>
      <c r="J25" s="74">
        <f>Inputs!J52</f>
        <v>0.39895013123359579</v>
      </c>
      <c r="K25" s="74">
        <f>Inputs!K52</f>
        <v>0.91578947368421049</v>
      </c>
      <c r="L25" s="74">
        <f>Inputs!L52</f>
        <v>0.75996204933586342</v>
      </c>
      <c r="M25" s="74">
        <f>Inputs!M52</f>
        <v>0.76323119777158777</v>
      </c>
      <c r="N25" s="74">
        <f ca="1">Inputs!N52</f>
        <v>0.54268979558432384</v>
      </c>
      <c r="O25" s="74">
        <f ca="1">Inputs!O52</f>
        <v>0.48913900414111489</v>
      </c>
      <c r="P25" s="74">
        <f ca="1">Inputs!P52</f>
        <v>0.46018344925594257</v>
      </c>
      <c r="Q25" s="74">
        <f ca="1">Inputs!Q52</f>
        <v>0.41219707611893447</v>
      </c>
      <c r="R25" s="74">
        <f ca="1">Inputs!R52</f>
        <v>0.37067354988414158</v>
      </c>
      <c r="S25">
        <f>Inputs!S52</f>
        <v>0</v>
      </c>
    </row>
    <row r="26" spans="4:19" x14ac:dyDescent="0.35">
      <c r="E26"/>
    </row>
    <row r="27" spans="4:19" x14ac:dyDescent="0.35">
      <c r="N27" s="141">
        <f>N7</f>
        <v>2027</v>
      </c>
      <c r="O27" s="141">
        <f>O7</f>
        <v>2028</v>
      </c>
      <c r="P27" s="141">
        <f>P7</f>
        <v>2029</v>
      </c>
      <c r="Q27" s="141">
        <f>Q7</f>
        <v>2030</v>
      </c>
      <c r="R27" s="141">
        <f>R7</f>
        <v>2031</v>
      </c>
    </row>
    <row r="28" spans="4:19" x14ac:dyDescent="0.35">
      <c r="D28" t="s">
        <v>602</v>
      </c>
      <c r="E28" s="62" t="s">
        <v>720</v>
      </c>
      <c r="N28">
        <f>N24</f>
        <v>854.18686595673614</v>
      </c>
      <c r="O28">
        <f t="shared" ref="O28:R28" si="1">O24</f>
        <v>879.81247193543811</v>
      </c>
      <c r="P28">
        <f t="shared" si="1"/>
        <v>906.20684609350144</v>
      </c>
      <c r="Q28">
        <f t="shared" si="1"/>
        <v>933.39305147630648</v>
      </c>
      <c r="R28">
        <f t="shared" si="1"/>
        <v>961.39484302059566</v>
      </c>
    </row>
    <row r="29" spans="4:19" x14ac:dyDescent="0.35">
      <c r="D29" t="s">
        <v>713</v>
      </c>
      <c r="E29" s="62" t="s">
        <v>720</v>
      </c>
      <c r="R29">
        <f>S24/(F21-F22)</f>
        <v>13565.603365589381</v>
      </c>
    </row>
    <row r="30" spans="4:19" x14ac:dyDescent="0.35">
      <c r="D30" s="17" t="s">
        <v>714</v>
      </c>
      <c r="E30" s="62" t="s">
        <v>720</v>
      </c>
      <c r="N30" s="18">
        <f>SUM(N28:N29)</f>
        <v>854.18686595673614</v>
      </c>
      <c r="O30" s="18">
        <f t="shared" ref="O30:R30" si="2">SUM(O28:O29)</f>
        <v>879.81247193543811</v>
      </c>
      <c r="P30" s="18">
        <f t="shared" si="2"/>
        <v>906.20684609350144</v>
      </c>
      <c r="Q30" s="18">
        <f t="shared" si="2"/>
        <v>933.39305147630648</v>
      </c>
      <c r="R30" s="18">
        <f t="shared" si="2"/>
        <v>14526.998208609977</v>
      </c>
    </row>
    <row r="31" spans="4:19" x14ac:dyDescent="0.35">
      <c r="D31" s="17"/>
      <c r="E31" s="62"/>
      <c r="N31" s="142"/>
      <c r="O31" s="142"/>
      <c r="P31" s="142"/>
      <c r="Q31" s="142"/>
      <c r="R31" s="142"/>
    </row>
    <row r="32" spans="4:19" x14ac:dyDescent="0.35">
      <c r="D32" s="17"/>
      <c r="E32" s="62"/>
      <c r="M32" s="159" t="s">
        <v>702</v>
      </c>
      <c r="N32" s="156" t="s">
        <v>1048</v>
      </c>
      <c r="O32" s="157"/>
      <c r="P32" s="157"/>
      <c r="Q32" s="157"/>
      <c r="R32" s="158"/>
    </row>
    <row r="33" spans="3:18" x14ac:dyDescent="0.35">
      <c r="D33" s="17"/>
      <c r="E33" s="62"/>
      <c r="M33" s="160" t="s">
        <v>1049</v>
      </c>
      <c r="N33" s="115" t="s">
        <v>1049</v>
      </c>
      <c r="O33" s="83" t="s">
        <v>1049</v>
      </c>
      <c r="P33" s="83" t="s">
        <v>1049</v>
      </c>
      <c r="Q33" s="83" t="s">
        <v>1049</v>
      </c>
      <c r="R33" s="85" t="s">
        <v>1049</v>
      </c>
    </row>
    <row r="34" spans="3:18" x14ac:dyDescent="0.35">
      <c r="M34" s="161">
        <v>46308</v>
      </c>
      <c r="N34" s="162">
        <v>46477</v>
      </c>
      <c r="O34" s="163">
        <f>EDATE(N34,12)</f>
        <v>46843</v>
      </c>
      <c r="P34" s="163">
        <f t="shared" ref="P34:R34" si="3">EDATE(O34,12)</f>
        <v>47208</v>
      </c>
      <c r="Q34" s="163">
        <f t="shared" si="3"/>
        <v>47573</v>
      </c>
      <c r="R34" s="164">
        <f t="shared" si="3"/>
        <v>47938</v>
      </c>
    </row>
    <row r="35" spans="3:18" x14ac:dyDescent="0.35">
      <c r="M35" s="167"/>
      <c r="N35" s="167"/>
      <c r="O35" s="167"/>
      <c r="P35" s="167"/>
      <c r="Q35" s="167"/>
      <c r="R35" s="167"/>
    </row>
    <row r="36" spans="3:18" x14ac:dyDescent="0.35">
      <c r="D36" t="s">
        <v>715</v>
      </c>
      <c r="M36">
        <v>0</v>
      </c>
      <c r="N36" s="15">
        <f>M36+YEARFRAC(M34,N34)</f>
        <v>0.46666666666666667</v>
      </c>
      <c r="O36" s="15">
        <f t="shared" ref="O36:R36" si="4">N36+YEARFRAC(N34,O34)</f>
        <v>1.4666666666666668</v>
      </c>
      <c r="P36" s="15">
        <f t="shared" si="4"/>
        <v>2.4666666666666668</v>
      </c>
      <c r="Q36" s="15">
        <f t="shared" si="4"/>
        <v>3.4666666666666668</v>
      </c>
      <c r="R36" s="15">
        <f t="shared" si="4"/>
        <v>4.4666666666666668</v>
      </c>
    </row>
    <row r="37" spans="3:18" x14ac:dyDescent="0.35">
      <c r="D37" t="s">
        <v>716</v>
      </c>
      <c r="E37" s="62" t="s">
        <v>720</v>
      </c>
      <c r="N37" s="18">
        <f>N30/(1+$F$21)^N36</f>
        <v>819.60291633875931</v>
      </c>
      <c r="O37" s="18">
        <f>O30/(1+$F$21)^O36</f>
        <v>772.64096749996509</v>
      </c>
      <c r="P37" s="18">
        <f>P30/(1+$F$21)^P36</f>
        <v>728.36986394096755</v>
      </c>
      <c r="Q37" s="18">
        <f>Q30/(1+$F$21)^Q36</f>
        <v>686.63542448958674</v>
      </c>
      <c r="R37" s="18">
        <f>R30/(1+$F$21)^R36</f>
        <v>9780.8035734506484</v>
      </c>
    </row>
    <row r="39" spans="3:18" x14ac:dyDescent="0.35">
      <c r="C39" s="244" t="s">
        <v>712</v>
      </c>
      <c r="D39" s="245"/>
      <c r="E39" s="246"/>
      <c r="F39" s="247"/>
    </row>
    <row r="40" spans="3:18" x14ac:dyDescent="0.35">
      <c r="C40" s="115"/>
      <c r="D40" s="83" t="s">
        <v>717</v>
      </c>
      <c r="E40" s="171" t="s">
        <v>720</v>
      </c>
      <c r="F40" s="85">
        <f>SUM(N37:R37)</f>
        <v>12788.052745719928</v>
      </c>
    </row>
    <row r="41" spans="3:18" x14ac:dyDescent="0.35">
      <c r="C41" s="86"/>
      <c r="D41" s="87" t="s">
        <v>703</v>
      </c>
      <c r="E41" s="88" t="s">
        <v>718</v>
      </c>
      <c r="F41" s="89">
        <f>Inputs!F59/1000000</f>
        <v>9967.6398659999995</v>
      </c>
    </row>
    <row r="42" spans="3:18" x14ac:dyDescent="0.35">
      <c r="C42" s="86"/>
      <c r="D42" s="238" t="s">
        <v>1200</v>
      </c>
      <c r="E42" s="88" t="s">
        <v>1201</v>
      </c>
      <c r="F42" s="248">
        <f>M34</f>
        <v>46308</v>
      </c>
    </row>
    <row r="43" spans="3:18" ht="18.5" x14ac:dyDescent="0.45">
      <c r="C43" s="86"/>
      <c r="D43" s="87" t="s">
        <v>719</v>
      </c>
      <c r="E43" s="88" t="s">
        <v>721</v>
      </c>
      <c r="F43" s="89">
        <f>F40/F41*100</f>
        <v>128.29569404228241</v>
      </c>
      <c r="M43" s="254"/>
      <c r="N43" s="87"/>
      <c r="O43" s="253"/>
      <c r="P43" s="254"/>
      <c r="Q43" s="254"/>
      <c r="R43" s="254"/>
    </row>
    <row r="44" spans="3:18" x14ac:dyDescent="0.35">
      <c r="C44" s="86"/>
      <c r="D44" s="87" t="s">
        <v>704</v>
      </c>
      <c r="E44" s="88" t="s">
        <v>721</v>
      </c>
      <c r="F44" s="89">
        <f>Inputs!F60</f>
        <v>209.7</v>
      </c>
      <c r="M44" s="87"/>
      <c r="N44" s="87"/>
      <c r="O44" s="87"/>
      <c r="P44" s="87"/>
      <c r="Q44" s="87"/>
      <c r="R44" s="87"/>
    </row>
    <row r="45" spans="3:18" x14ac:dyDescent="0.35">
      <c r="C45" s="90"/>
      <c r="D45" s="208" t="s">
        <v>1267</v>
      </c>
      <c r="E45" s="91" t="s">
        <v>1268</v>
      </c>
      <c r="F45" s="243" t="str">
        <f>IF(F44&lt;F43, "Undervalued", "Overvalued")</f>
        <v>Overvalued</v>
      </c>
      <c r="M45" s="87"/>
      <c r="N45" s="254"/>
      <c r="O45" s="254"/>
      <c r="P45" s="254"/>
      <c r="Q45" s="254"/>
      <c r="R45" s="254"/>
    </row>
    <row r="46" spans="3:18" x14ac:dyDescent="0.35">
      <c r="M46" s="87"/>
      <c r="N46" s="87"/>
      <c r="O46" s="181"/>
      <c r="P46" s="181"/>
      <c r="Q46" s="181"/>
      <c r="R46" s="181"/>
    </row>
    <row r="47" spans="3:18" x14ac:dyDescent="0.35">
      <c r="M47" s="329"/>
      <c r="N47" s="181"/>
      <c r="O47" s="87"/>
      <c r="P47" s="87"/>
      <c r="Q47" s="87"/>
      <c r="R47" s="87"/>
    </row>
    <row r="48" spans="3:18" x14ac:dyDescent="0.35">
      <c r="M48" s="329"/>
      <c r="N48" s="255"/>
      <c r="O48" s="87"/>
      <c r="P48" s="87"/>
      <c r="Q48" s="87"/>
      <c r="R48" s="87"/>
    </row>
    <row r="49" spans="5:19" x14ac:dyDescent="0.35">
      <c r="M49" s="329"/>
      <c r="N49" s="255"/>
      <c r="O49" s="87"/>
      <c r="P49" s="87"/>
      <c r="Q49" s="87"/>
      <c r="R49" s="87"/>
    </row>
    <row r="50" spans="5:19" x14ac:dyDescent="0.35">
      <c r="M50" s="329"/>
      <c r="N50" s="87"/>
      <c r="O50" s="87"/>
      <c r="P50" s="87"/>
      <c r="Q50" s="87"/>
      <c r="R50" s="87"/>
    </row>
    <row r="51" spans="5:19" x14ac:dyDescent="0.35">
      <c r="M51" s="87"/>
      <c r="N51" s="87"/>
      <c r="O51" s="87"/>
      <c r="P51" s="87"/>
      <c r="Q51" s="87"/>
      <c r="R51" s="87"/>
      <c r="S51" s="211"/>
    </row>
    <row r="53" spans="5:19" x14ac:dyDescent="0.35">
      <c r="S53" s="211"/>
    </row>
    <row r="59" spans="5:19" x14ac:dyDescent="0.35">
      <c r="E59"/>
    </row>
  </sheetData>
  <mergeCells count="1">
    <mergeCell ref="M47:M50"/>
  </mergeCells>
  <conditionalFormatting sqref="C5:D5">
    <cfRule type="expression" dxfId="7" priority="1">
      <formula>bs_check&lt;&gt;0</formula>
    </cfRule>
  </conditionalFormatting>
  <pageMargins left="0.70866141732283472" right="0.70866141732283472" top="0.74803149606299213" bottom="0.74803149606299213" header="0.31496062992125984" footer="0.31496062992125984"/>
  <pageSetup scale="69" fitToHeight="0" orientation="landscape" r:id="rId1"/>
  <headerFooter>
    <oddFooter xml:space="preserve">&amp;LOpeoluwa Kuku
 H00529768
&amp;F&amp;C&amp;P of &amp;N&amp;RPrinted on &amp;D 
at &amp;D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3D7FD-5322-459F-BF22-A44DB7AC622F}">
  <sheetPr>
    <tabColor theme="3" tint="0.499984740745262"/>
    <pageSetUpPr fitToPage="1"/>
  </sheetPr>
  <dimension ref="A1:U51"/>
  <sheetViews>
    <sheetView showGridLines="0" zoomScale="70" zoomScaleNormal="70" workbookViewId="0"/>
  </sheetViews>
  <sheetFormatPr defaultColWidth="0" defaultRowHeight="14.5" x14ac:dyDescent="0.35"/>
  <cols>
    <col min="1" max="3" width="2.26953125" customWidth="1"/>
    <col min="4" max="4" width="34.26953125" customWidth="1"/>
    <col min="5" max="5" width="9.7265625" customWidth="1"/>
    <col min="6" max="6" width="19.08984375" bestFit="1" customWidth="1"/>
    <col min="7" max="8" width="2.453125" customWidth="1"/>
    <col min="9" max="12" width="8.7265625" customWidth="1"/>
    <col min="13" max="18" width="17" bestFit="1" customWidth="1"/>
    <col min="19" max="19" width="12.90625" bestFit="1" customWidth="1"/>
    <col min="20" max="21" width="8.7265625" customWidth="1"/>
    <col min="22" max="16384" width="8.7265625" hidden="1"/>
  </cols>
  <sheetData>
    <row r="1" spans="1:21" ht="7" customHeight="1" x14ac:dyDescent="0.35">
      <c r="A1" s="22"/>
      <c r="B1" s="22"/>
      <c r="C1" s="22"/>
      <c r="D1" s="22"/>
      <c r="E1" s="22"/>
      <c r="F1" s="22"/>
      <c r="G1" s="22"/>
      <c r="H1" s="22"/>
      <c r="I1" s="22"/>
      <c r="J1" s="22"/>
      <c r="K1" s="22"/>
      <c r="L1" s="22"/>
      <c r="M1" s="22"/>
      <c r="N1" s="22"/>
      <c r="O1" s="22"/>
      <c r="P1" s="22"/>
      <c r="Q1" s="22"/>
      <c r="R1" s="22"/>
      <c r="S1" s="22"/>
      <c r="T1" s="22"/>
      <c r="U1" s="22"/>
    </row>
    <row r="2" spans="1:21" ht="47.5" x14ac:dyDescent="1.1000000000000001">
      <c r="A2" s="22"/>
      <c r="B2" s="23" t="str">
        <f>company_name</f>
        <v>BT GROUP PLC</v>
      </c>
      <c r="C2" s="24"/>
      <c r="D2" s="22"/>
      <c r="E2" s="22"/>
      <c r="F2" s="22"/>
      <c r="G2" s="22"/>
      <c r="H2" s="22"/>
      <c r="I2" s="22"/>
      <c r="J2" s="22"/>
      <c r="K2" s="22"/>
      <c r="L2" s="22"/>
      <c r="M2" s="22"/>
      <c r="N2" s="22"/>
      <c r="O2" s="22"/>
      <c r="P2" s="22"/>
      <c r="Q2" s="22"/>
      <c r="R2" s="22"/>
      <c r="S2" s="22"/>
      <c r="T2" s="22"/>
      <c r="U2" s="22"/>
    </row>
    <row r="3" spans="1:21" ht="26" x14ac:dyDescent="0.6">
      <c r="A3" s="22"/>
      <c r="B3" s="22"/>
      <c r="C3" s="25" t="s">
        <v>1005</v>
      </c>
      <c r="D3" s="22"/>
      <c r="E3" s="22"/>
      <c r="F3" s="22"/>
      <c r="G3" s="22"/>
      <c r="H3" s="22"/>
      <c r="I3" s="22"/>
      <c r="J3" s="22"/>
      <c r="K3" s="22"/>
      <c r="L3" s="22"/>
      <c r="M3" s="22"/>
      <c r="N3" s="22"/>
      <c r="O3" s="22"/>
      <c r="P3" s="22"/>
      <c r="Q3" s="22"/>
      <c r="R3" s="22"/>
      <c r="S3" s="22"/>
      <c r="T3" s="22"/>
      <c r="U3" s="22"/>
    </row>
    <row r="4" spans="1:21" x14ac:dyDescent="0.35">
      <c r="A4" s="22"/>
      <c r="B4" s="22"/>
      <c r="C4" s="22"/>
      <c r="D4" s="22"/>
      <c r="E4" s="22"/>
      <c r="F4" s="22"/>
      <c r="G4" s="22"/>
      <c r="H4" s="22"/>
      <c r="I4" s="22"/>
      <c r="J4" s="22"/>
      <c r="K4" s="22"/>
      <c r="L4" s="22"/>
      <c r="M4" s="22"/>
      <c r="N4" s="22"/>
      <c r="O4" s="22"/>
      <c r="P4" s="22"/>
      <c r="Q4" s="22"/>
      <c r="R4" s="22"/>
      <c r="S4" s="22"/>
      <c r="T4" s="22"/>
      <c r="U4" s="22"/>
    </row>
    <row r="5" spans="1:21" x14ac:dyDescent="0.35">
      <c r="C5" t="str">
        <f ca="1">"Balance Sheet Check: "&amp;IF(bs_check=0,"Balanced as all things should be","Error!!!")</f>
        <v>Balance Sheet Check: Balanced as all things should be</v>
      </c>
    </row>
    <row r="6" spans="1:21" x14ac:dyDescent="0.35">
      <c r="D6" t="s">
        <v>48</v>
      </c>
      <c r="E6" t="s">
        <v>49</v>
      </c>
      <c r="F6" t="s">
        <v>50</v>
      </c>
      <c r="I6" s="128" t="s">
        <v>51</v>
      </c>
      <c r="J6" s="128" t="s">
        <v>51</v>
      </c>
      <c r="K6" s="128" t="s">
        <v>51</v>
      </c>
      <c r="L6" s="128" t="s">
        <v>51</v>
      </c>
      <c r="M6" s="128" t="s">
        <v>51</v>
      </c>
      <c r="N6" s="128" t="s">
        <v>52</v>
      </c>
      <c r="O6" s="128" t="s">
        <v>52</v>
      </c>
      <c r="P6" s="128" t="s">
        <v>52</v>
      </c>
      <c r="Q6" s="128" t="s">
        <v>52</v>
      </c>
      <c r="R6" s="128" t="s">
        <v>52</v>
      </c>
      <c r="S6" t="s">
        <v>53</v>
      </c>
    </row>
    <row r="7" spans="1:21" s="83" customFormat="1" x14ac:dyDescent="0.35">
      <c r="A7" s="82"/>
      <c r="B7" s="82"/>
      <c r="C7" s="82"/>
      <c r="D7" s="82"/>
      <c r="E7" s="82"/>
      <c r="F7" s="82"/>
      <c r="G7" s="82"/>
      <c r="H7" s="82"/>
      <c r="I7" s="129">
        <v>2022</v>
      </c>
      <c r="J7" s="129">
        <v>2023</v>
      </c>
      <c r="K7" s="129">
        <v>2024</v>
      </c>
      <c r="L7" s="129">
        <v>2025</v>
      </c>
      <c r="M7" s="129">
        <f>base_year</f>
        <v>2026</v>
      </c>
      <c r="N7" s="130">
        <f>M7+1</f>
        <v>2027</v>
      </c>
      <c r="O7" s="130">
        <f t="shared" ref="O7:R7" si="0">N7+1</f>
        <v>2028</v>
      </c>
      <c r="P7" s="130">
        <f t="shared" si="0"/>
        <v>2029</v>
      </c>
      <c r="Q7" s="130">
        <f t="shared" si="0"/>
        <v>2030</v>
      </c>
      <c r="R7" s="130">
        <f t="shared" si="0"/>
        <v>2031</v>
      </c>
      <c r="S7" s="135"/>
      <c r="T7" s="82"/>
      <c r="U7" s="82"/>
    </row>
    <row r="8" spans="1:21" s="87" customFormat="1" x14ac:dyDescent="0.35">
      <c r="I8" s="149"/>
      <c r="J8" s="149"/>
      <c r="K8" s="149"/>
      <c r="L8" s="149"/>
      <c r="M8" s="149"/>
      <c r="N8" s="150"/>
      <c r="O8" s="150"/>
      <c r="P8" s="150"/>
      <c r="Q8" s="150"/>
      <c r="R8" s="150"/>
      <c r="S8" s="151"/>
    </row>
    <row r="9" spans="1:21" s="87" customFormat="1" x14ac:dyDescent="0.35">
      <c r="D9" s="87" t="str">
        <f>Inputs!D67</f>
        <v>Uk Corporate  Tax Rate</v>
      </c>
      <c r="E9" s="88" t="str">
        <f>Inputs!E67</f>
        <v>%</v>
      </c>
      <c r="F9" s="152">
        <f>Inputs!F67</f>
        <v>0.25</v>
      </c>
      <c r="I9" s="149"/>
      <c r="J9" s="149"/>
      <c r="K9" s="149"/>
      <c r="L9" s="149"/>
      <c r="M9" s="149"/>
      <c r="N9" s="150"/>
      <c r="O9" s="150"/>
      <c r="P9" s="150"/>
      <c r="Q9" s="150"/>
      <c r="R9" s="150"/>
      <c r="S9" s="151"/>
    </row>
    <row r="10" spans="1:21" s="87" customFormat="1" x14ac:dyDescent="0.35">
      <c r="D10" s="87" t="s">
        <v>992</v>
      </c>
      <c r="E10" s="88" t="s">
        <v>711</v>
      </c>
      <c r="F10" s="152">
        <f>'Investment recommendation'!Q56</f>
        <v>6.8424934519951158E-2</v>
      </c>
      <c r="I10" s="149"/>
      <c r="J10" s="149"/>
      <c r="K10" s="149"/>
      <c r="L10" s="149"/>
      <c r="M10" s="149"/>
      <c r="N10" s="150"/>
      <c r="O10" s="150"/>
      <c r="P10" s="150"/>
      <c r="Q10" s="150"/>
      <c r="R10" s="150"/>
      <c r="S10" s="151"/>
    </row>
    <row r="11" spans="1:21" s="87" customFormat="1" x14ac:dyDescent="0.35">
      <c r="D11" s="87" t="str">
        <f>Inputs!D32</f>
        <v>UK GDP Growth rate Q2 Y-o-Y</v>
      </c>
      <c r="E11" s="88" t="s">
        <v>711</v>
      </c>
      <c r="F11" s="152">
        <f>'Investment recommendation'!Q59</f>
        <v>1.4E-2</v>
      </c>
      <c r="I11" s="149"/>
      <c r="J11" s="149"/>
      <c r="K11" s="149"/>
      <c r="L11" s="149"/>
      <c r="M11" s="149"/>
      <c r="N11" s="150"/>
      <c r="O11" s="150"/>
      <c r="P11" s="150"/>
      <c r="Q11" s="150"/>
      <c r="R11" s="150"/>
      <c r="S11" s="151"/>
    </row>
    <row r="12" spans="1:21" s="87" customFormat="1" x14ac:dyDescent="0.35">
      <c r="D12" s="87" t="str">
        <f>Inputs!D59</f>
        <v>Shares Outstanding</v>
      </c>
      <c r="E12" s="88" t="str">
        <f>Inputs!E59</f>
        <v>Unit</v>
      </c>
      <c r="F12" s="67">
        <f>Inputs!F59</f>
        <v>9967639866</v>
      </c>
      <c r="I12" s="149"/>
      <c r="J12" s="149"/>
      <c r="K12" s="149"/>
      <c r="L12" s="149"/>
      <c r="M12" s="149"/>
      <c r="N12" s="150"/>
      <c r="O12" s="150"/>
      <c r="P12" s="150"/>
      <c r="Q12" s="150"/>
      <c r="R12" s="150"/>
      <c r="S12" s="151"/>
    </row>
    <row r="13" spans="1:21" s="87" customFormat="1" x14ac:dyDescent="0.35">
      <c r="I13" s="149"/>
      <c r="J13" s="149"/>
      <c r="K13" s="149"/>
      <c r="L13" s="149"/>
      <c r="M13" s="149"/>
      <c r="N13" s="150"/>
      <c r="O13" s="150"/>
      <c r="P13" s="150"/>
      <c r="Q13" s="150"/>
      <c r="R13" s="150"/>
      <c r="S13" s="151"/>
    </row>
    <row r="14" spans="1:21" ht="17.5" thickBot="1" x14ac:dyDescent="0.45">
      <c r="B14" s="58" t="s">
        <v>1032</v>
      </c>
      <c r="C14" s="58"/>
      <c r="D14" s="58"/>
      <c r="E14" s="58"/>
      <c r="F14" s="58"/>
      <c r="G14" s="58"/>
      <c r="H14" s="58"/>
      <c r="I14" s="58"/>
      <c r="J14" s="58"/>
      <c r="K14" s="58"/>
      <c r="L14" s="58"/>
      <c r="M14" s="58"/>
      <c r="N14" s="58"/>
      <c r="O14" s="58"/>
      <c r="P14" s="58"/>
      <c r="Q14" s="58"/>
      <c r="R14" s="58"/>
      <c r="S14" s="58"/>
      <c r="T14" s="58"/>
      <c r="U14" s="58"/>
    </row>
    <row r="15" spans="1:21" ht="15" thickTop="1" x14ac:dyDescent="0.35">
      <c r="D15" t="str">
        <f>'3-Statement'!D21</f>
        <v>EBIT</v>
      </c>
      <c r="N15" s="266">
        <f>'3-Statement'!N21</f>
        <v>2586.1651864946789</v>
      </c>
      <c r="O15" s="266">
        <f>'3-Statement'!O21</f>
        <v>2879.9705477012376</v>
      </c>
      <c r="P15" s="266">
        <f>'3-Statement'!P21</f>
        <v>3086.0731446357449</v>
      </c>
      <c r="Q15" s="266">
        <f>'3-Statement'!Q21</f>
        <v>3460.7102245774149</v>
      </c>
      <c r="R15" s="266">
        <f>'3-Statement'!R21</f>
        <v>3867.9587042215253</v>
      </c>
      <c r="S15" s="266">
        <f>R15*(1+$F$11)</f>
        <v>3922.1101260806267</v>
      </c>
    </row>
    <row r="16" spans="1:21" x14ac:dyDescent="0.35">
      <c r="D16" t="s">
        <v>1033</v>
      </c>
      <c r="N16" s="266">
        <f>-N15*$F$9</f>
        <v>-646.54129662366972</v>
      </c>
      <c r="O16" s="266">
        <f t="shared" ref="O16:R16" si="1">-O15*$F$9</f>
        <v>-719.9926369253094</v>
      </c>
      <c r="P16" s="266">
        <f t="shared" si="1"/>
        <v>-771.51828615893623</v>
      </c>
      <c r="Q16" s="266">
        <f t="shared" si="1"/>
        <v>-865.17755614435373</v>
      </c>
      <c r="R16" s="266">
        <f t="shared" si="1"/>
        <v>-966.98967605538132</v>
      </c>
      <c r="S16" s="266">
        <f t="shared" ref="S16:S21" si="2">R16*(1+$F$11)</f>
        <v>-980.52753152015669</v>
      </c>
    </row>
    <row r="17" spans="4:19" x14ac:dyDescent="0.35">
      <c r="N17" s="266"/>
      <c r="O17" s="266"/>
      <c r="P17" s="266"/>
      <c r="Q17" s="266"/>
      <c r="R17" s="266"/>
      <c r="S17" s="266"/>
    </row>
    <row r="18" spans="4:19" x14ac:dyDescent="0.35">
      <c r="D18" t="s">
        <v>1034</v>
      </c>
      <c r="N18" s="266">
        <f>SUM(N15:N16)</f>
        <v>1939.6238898710092</v>
      </c>
      <c r="O18" s="266">
        <f t="shared" ref="O18:R18" si="3">SUM(O15:O16)</f>
        <v>2159.9779107759282</v>
      </c>
      <c r="P18" s="266">
        <f t="shared" si="3"/>
        <v>2314.5548584768085</v>
      </c>
      <c r="Q18" s="266">
        <f t="shared" si="3"/>
        <v>2595.5326684330612</v>
      </c>
      <c r="R18" s="266">
        <f t="shared" si="3"/>
        <v>2900.9690281661442</v>
      </c>
      <c r="S18" s="266">
        <f t="shared" si="2"/>
        <v>2941.5825945604702</v>
      </c>
    </row>
    <row r="19" spans="4:19" x14ac:dyDescent="0.35">
      <c r="D19" t="str">
        <f>'3-Statement'!D111</f>
        <v>Depreciation &amp; Amortization</v>
      </c>
      <c r="N19" s="266">
        <f>'3-Statement'!N111</f>
        <v>4780.0893218987176</v>
      </c>
      <c r="O19" s="266">
        <f>'3-Statement'!O111</f>
        <v>4525.9917672503643</v>
      </c>
      <c r="P19" s="266">
        <f>'3-Statement'!P111</f>
        <v>4370.5594742207422</v>
      </c>
      <c r="Q19" s="266">
        <f>'3-Statement'!Q111</f>
        <v>4179.0788953439514</v>
      </c>
      <c r="R19" s="266">
        <f>'3-Statement'!R111</f>
        <v>4015.7088176373436</v>
      </c>
      <c r="S19" s="266">
        <f t="shared" si="2"/>
        <v>4071.9287410842667</v>
      </c>
    </row>
    <row r="20" spans="4:19" s="172" customFormat="1" x14ac:dyDescent="0.35">
      <c r="D20" s="172" t="str">
        <f>'3-Statement'!D114</f>
        <v>Change in UFCF OWC</v>
      </c>
      <c r="N20" s="267">
        <f ca="1">'3-Statement'!N194</f>
        <v>194.05619057886815</v>
      </c>
      <c r="O20" s="267">
        <f ca="1">'3-Statement'!O194</f>
        <v>57.356449961698672</v>
      </c>
      <c r="P20" s="267">
        <f ca="1">'3-Statement'!P194</f>
        <v>58.026850098515752</v>
      </c>
      <c r="Q20" s="267">
        <f ca="1">'3-Statement'!Q194</f>
        <v>101.67064622904581</v>
      </c>
      <c r="R20" s="267">
        <f ca="1">'3-Statement'!R194</f>
        <v>116.79868471323152</v>
      </c>
      <c r="S20" s="267">
        <f ca="1">R20*(1+$F$11)</f>
        <v>118.43386629921676</v>
      </c>
    </row>
    <row r="21" spans="4:19" x14ac:dyDescent="0.35">
      <c r="D21" t="str">
        <f>'3-Statement'!D122</f>
        <v>Investing Cashflows</v>
      </c>
      <c r="N21" s="266">
        <f>'3-Statement'!N122</f>
        <v>-4958.7827733924387</v>
      </c>
      <c r="O21" s="266">
        <f>'3-Statement'!O122</f>
        <v>-4757.1148372400085</v>
      </c>
      <c r="P21" s="266">
        <f>'3-Statement'!P122</f>
        <v>-4563.6485018292378</v>
      </c>
      <c r="Q21" s="266">
        <f>'3-Statement'!Q122</f>
        <v>-4378.0502175834854</v>
      </c>
      <c r="R21" s="266">
        <f>'3-Statement'!R122</f>
        <v>-4200</v>
      </c>
      <c r="S21" s="266">
        <f t="shared" si="2"/>
        <v>-4258.8</v>
      </c>
    </row>
    <row r="22" spans="4:19" x14ac:dyDescent="0.35">
      <c r="D22" s="17" t="s">
        <v>1027</v>
      </c>
      <c r="N22" s="268">
        <f t="shared" ref="N22:S22" ca="1" si="4">SUM(N18:N21)</f>
        <v>1954.986628956156</v>
      </c>
      <c r="O22" s="268">
        <f t="shared" ca="1" si="4"/>
        <v>1986.2112907479832</v>
      </c>
      <c r="P22" s="268">
        <f t="shared" ca="1" si="4"/>
        <v>2179.4926809668286</v>
      </c>
      <c r="Q22" s="268">
        <f t="shared" ca="1" si="4"/>
        <v>2498.2319924225731</v>
      </c>
      <c r="R22" s="268">
        <f t="shared" ca="1" si="4"/>
        <v>2833.4765305167193</v>
      </c>
      <c r="S22" s="268">
        <f t="shared" ca="1" si="4"/>
        <v>2873.145201943953</v>
      </c>
    </row>
    <row r="26" spans="4:19" x14ac:dyDescent="0.35">
      <c r="M26" s="159" t="s">
        <v>702</v>
      </c>
      <c r="N26" s="156" t="s">
        <v>1048</v>
      </c>
      <c r="O26" s="157"/>
      <c r="P26" s="157"/>
      <c r="Q26" s="157"/>
      <c r="R26" s="158"/>
    </row>
    <row r="27" spans="4:19" x14ac:dyDescent="0.35">
      <c r="M27" s="160" t="s">
        <v>1049</v>
      </c>
      <c r="N27" s="115" t="s">
        <v>1049</v>
      </c>
      <c r="O27" s="83" t="s">
        <v>1049</v>
      </c>
      <c r="P27" s="83" t="s">
        <v>1049</v>
      </c>
      <c r="Q27" s="83" t="s">
        <v>1049</v>
      </c>
      <c r="R27" s="85" t="s">
        <v>1049</v>
      </c>
    </row>
    <row r="28" spans="4:19" x14ac:dyDescent="0.35">
      <c r="M28" s="161">
        <v>46308</v>
      </c>
      <c r="N28" s="162">
        <v>46477</v>
      </c>
      <c r="O28" s="163">
        <f>EDATE(N28,12)</f>
        <v>46843</v>
      </c>
      <c r="P28" s="163">
        <f t="shared" ref="P28:R28" si="5">EDATE(O28,12)</f>
        <v>47208</v>
      </c>
      <c r="Q28" s="163">
        <f t="shared" si="5"/>
        <v>47573</v>
      </c>
      <c r="R28" s="164">
        <f t="shared" si="5"/>
        <v>47938</v>
      </c>
    </row>
    <row r="29" spans="4:19" x14ac:dyDescent="0.35">
      <c r="D29" t="s">
        <v>1027</v>
      </c>
      <c r="N29">
        <f ca="1">N22</f>
        <v>1954.986628956156</v>
      </c>
      <c r="O29">
        <f t="shared" ref="O29:R29" ca="1" si="6">O22</f>
        <v>1986.2112907479832</v>
      </c>
      <c r="P29">
        <f t="shared" ca="1" si="6"/>
        <v>2179.4926809668286</v>
      </c>
      <c r="Q29">
        <f t="shared" ca="1" si="6"/>
        <v>2498.2319924225731</v>
      </c>
      <c r="R29">
        <f t="shared" ca="1" si="6"/>
        <v>2833.4765305167193</v>
      </c>
    </row>
    <row r="30" spans="4:19" x14ac:dyDescent="0.35">
      <c r="D30" t="s">
        <v>1035</v>
      </c>
      <c r="R30">
        <f ca="1">S22/(F10-F11)</f>
        <v>52790.972139630445</v>
      </c>
    </row>
    <row r="31" spans="4:19" x14ac:dyDescent="0.35">
      <c r="D31" s="17" t="s">
        <v>1036</v>
      </c>
      <c r="N31" s="178">
        <f ca="1">SUM(N29:N30)</f>
        <v>1954.986628956156</v>
      </c>
      <c r="O31" s="178">
        <f t="shared" ref="O31:R31" ca="1" si="7">SUM(O29:O30)</f>
        <v>1986.2112907479832</v>
      </c>
      <c r="P31" s="178">
        <f t="shared" ca="1" si="7"/>
        <v>2179.4926809668286</v>
      </c>
      <c r="Q31" s="178">
        <f t="shared" ca="1" si="7"/>
        <v>2498.2319924225731</v>
      </c>
      <c r="R31" s="178">
        <f t="shared" ca="1" si="7"/>
        <v>55624.448670147161</v>
      </c>
    </row>
    <row r="34" spans="3:18" ht="18.5" x14ac:dyDescent="0.45">
      <c r="C34" s="64" t="s">
        <v>1050</v>
      </c>
      <c r="D34" s="64"/>
    </row>
    <row r="35" spans="3:18" x14ac:dyDescent="0.35">
      <c r="D35" t="s">
        <v>1051</v>
      </c>
      <c r="M35">
        <v>0</v>
      </c>
      <c r="N35">
        <f>M35+YEARFRAC(M28,N28)</f>
        <v>0.46666666666666667</v>
      </c>
      <c r="O35">
        <f t="shared" ref="O35:R35" si="8">N35+YEARFRAC(N28,O28)</f>
        <v>1.4666666666666668</v>
      </c>
      <c r="P35">
        <f t="shared" si="8"/>
        <v>2.4666666666666668</v>
      </c>
      <c r="Q35">
        <f t="shared" si="8"/>
        <v>3.4666666666666668</v>
      </c>
      <c r="R35">
        <f t="shared" si="8"/>
        <v>4.4666666666666668</v>
      </c>
    </row>
    <row r="37" spans="3:18" x14ac:dyDescent="0.35">
      <c r="D37" t="s">
        <v>1052</v>
      </c>
      <c r="M37">
        <v>0</v>
      </c>
      <c r="N37">
        <f ca="1">N29/(1+$F$10)^N35</f>
        <v>1895.5267506576229</v>
      </c>
      <c r="O37">
        <f t="shared" ref="O37:R37" ca="1" si="9">O29/(1+$F$10)^O35</f>
        <v>1802.4679776285243</v>
      </c>
      <c r="P37">
        <f t="shared" ca="1" si="9"/>
        <v>1851.200724481582</v>
      </c>
      <c r="Q37">
        <f t="shared" ca="1" si="9"/>
        <v>1986.0347694330742</v>
      </c>
      <c r="R37">
        <f t="shared" ca="1" si="9"/>
        <v>2108.2867854285901</v>
      </c>
    </row>
    <row r="38" spans="3:18" x14ac:dyDescent="0.35">
      <c r="D38" t="s">
        <v>713</v>
      </c>
      <c r="M38">
        <v>0</v>
      </c>
      <c r="R38">
        <f ca="1">R30/(1+F10)^R35</f>
        <v>39279.84147855817</v>
      </c>
    </row>
    <row r="39" spans="3:18" x14ac:dyDescent="0.35">
      <c r="D39" s="17" t="s">
        <v>1053</v>
      </c>
      <c r="M39" s="83"/>
      <c r="N39" s="83">
        <f ca="1">SUM(N37:N38)</f>
        <v>1895.5267506576229</v>
      </c>
      <c r="O39" s="83">
        <f t="shared" ref="O39:R39" ca="1" si="10">SUM(O37:O38)</f>
        <v>1802.4679776285243</v>
      </c>
      <c r="P39" s="83">
        <f t="shared" ca="1" si="10"/>
        <v>1851.200724481582</v>
      </c>
      <c r="Q39" s="83">
        <f t="shared" ca="1" si="10"/>
        <v>1986.0347694330742</v>
      </c>
      <c r="R39" s="83">
        <f t="shared" ca="1" si="10"/>
        <v>41388.128263986757</v>
      </c>
    </row>
    <row r="41" spans="3:18" x14ac:dyDescent="0.35">
      <c r="D41" s="244" t="s">
        <v>1005</v>
      </c>
      <c r="E41" s="245"/>
      <c r="F41" s="247"/>
    </row>
    <row r="42" spans="3:18" x14ac:dyDescent="0.35">
      <c r="D42" s="115" t="s">
        <v>678</v>
      </c>
      <c r="E42" s="84" t="str">
        <f>money</f>
        <v>[£'M]</v>
      </c>
      <c r="F42" s="85">
        <f ca="1">SUM(N39:R39)</f>
        <v>48923.358486187557</v>
      </c>
    </row>
    <row r="43" spans="3:18" x14ac:dyDescent="0.35">
      <c r="D43" s="86" t="s">
        <v>1054</v>
      </c>
      <c r="E43" s="88" t="str">
        <f>money</f>
        <v>[£'M]</v>
      </c>
      <c r="F43" s="89">
        <f>-'Cost of Capital'!F16/1000000</f>
        <v>-17410.34500597115</v>
      </c>
    </row>
    <row r="44" spans="3:18" x14ac:dyDescent="0.35">
      <c r="D44" s="86" t="s">
        <v>1055</v>
      </c>
      <c r="E44" s="88" t="str">
        <f>money</f>
        <v>[£'M]</v>
      </c>
      <c r="F44" s="89">
        <f>'3-Statement'!M50</f>
        <v>359</v>
      </c>
    </row>
    <row r="45" spans="3:18" x14ac:dyDescent="0.35">
      <c r="D45" s="86" t="s">
        <v>717</v>
      </c>
      <c r="E45" s="88" t="str">
        <f>money</f>
        <v>[£'M]</v>
      </c>
      <c r="F45" s="89">
        <f ca="1">SUM(F42:F44)</f>
        <v>31872.013480216407</v>
      </c>
    </row>
    <row r="46" spans="3:18" x14ac:dyDescent="0.35">
      <c r="D46" s="86" t="s">
        <v>703</v>
      </c>
      <c r="E46" s="88" t="s">
        <v>705</v>
      </c>
      <c r="F46" s="89">
        <f>F12/1000000</f>
        <v>9967.6398659999995</v>
      </c>
    </row>
    <row r="47" spans="3:18" x14ac:dyDescent="0.35">
      <c r="D47" s="86" t="s">
        <v>704</v>
      </c>
      <c r="E47" s="88" t="s">
        <v>645</v>
      </c>
      <c r="F47" s="89">
        <f>DDM!F44</f>
        <v>209.7</v>
      </c>
    </row>
    <row r="48" spans="3:18" x14ac:dyDescent="0.35">
      <c r="D48" s="86" t="s">
        <v>1287</v>
      </c>
      <c r="E48" s="88" t="s">
        <v>645</v>
      </c>
      <c r="F48" s="89">
        <f ca="1">F45/F46*100</f>
        <v>319.7548658327139</v>
      </c>
    </row>
    <row r="49" spans="4:6" x14ac:dyDescent="0.35">
      <c r="D49" s="239" t="s">
        <v>1267</v>
      </c>
      <c r="E49" s="91" t="s">
        <v>1268</v>
      </c>
      <c r="F49" s="243" t="str">
        <f ca="1">IF(F48&gt;F47, "Undervalued", "Overvalued")</f>
        <v>Undervalued</v>
      </c>
    </row>
    <row r="51" spans="4:6" x14ac:dyDescent="0.35">
      <c r="D51" s="70" t="s">
        <v>1269</v>
      </c>
    </row>
  </sheetData>
  <conditionalFormatting sqref="C5:D5">
    <cfRule type="expression" dxfId="6" priority="1">
      <formula>bs_check&lt;&gt;0</formula>
    </cfRule>
  </conditionalFormatting>
  <pageMargins left="0.70866141732283472" right="0.70866141732283472" top="0.74803149606299213" bottom="0.74803149606299213" header="0.31496062992125984" footer="0.31496062992125984"/>
  <pageSetup scale="69" fitToHeight="0" orientation="landscape" r:id="rId1"/>
  <headerFooter>
    <oddFooter xml:space="preserve">&amp;LOpeoluwa Kuku
 H00529768
&amp;F&amp;C&amp;P of &amp;N&amp;RPrinted on &amp;D 
at &amp;D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EE3DB-C0FE-45D2-A6FC-27C1550EE420}">
  <sheetPr>
    <tabColor theme="3" tint="0.499984740745262"/>
    <pageSetUpPr fitToPage="1"/>
  </sheetPr>
  <dimension ref="A1:U64"/>
  <sheetViews>
    <sheetView showGridLines="0" zoomScale="70" zoomScaleNormal="70" workbookViewId="0"/>
  </sheetViews>
  <sheetFormatPr defaultColWidth="0" defaultRowHeight="14.5" x14ac:dyDescent="0.35"/>
  <cols>
    <col min="1" max="3" width="2.26953125" customWidth="1"/>
    <col min="4" max="4" width="34.26953125" customWidth="1"/>
    <col min="5" max="5" width="10.6328125" bestFit="1" customWidth="1"/>
    <col min="6" max="6" width="12.26953125" customWidth="1"/>
    <col min="7" max="8" width="2.453125" customWidth="1"/>
    <col min="9" max="12" width="8.7265625" customWidth="1"/>
    <col min="13" max="19" width="14.1796875" bestFit="1" customWidth="1"/>
    <col min="20" max="21" width="8.7265625" customWidth="1"/>
    <col min="22" max="16384" width="8.7265625" hidden="1"/>
  </cols>
  <sheetData>
    <row r="1" spans="1:21" ht="7" customHeight="1" x14ac:dyDescent="0.35">
      <c r="A1" s="22"/>
      <c r="B1" s="22"/>
      <c r="C1" s="22"/>
      <c r="D1" s="22"/>
      <c r="E1" s="22"/>
      <c r="F1" s="22"/>
      <c r="G1" s="22"/>
      <c r="H1" s="22"/>
      <c r="I1" s="22"/>
      <c r="J1" s="22"/>
      <c r="K1" s="22"/>
      <c r="L1" s="22"/>
      <c r="M1" s="22"/>
      <c r="N1" s="22"/>
      <c r="O1" s="22"/>
      <c r="P1" s="22"/>
      <c r="Q1" s="22"/>
      <c r="R1" s="22"/>
      <c r="S1" s="22"/>
      <c r="T1" s="22"/>
      <c r="U1" s="22"/>
    </row>
    <row r="2" spans="1:21" ht="47.5" x14ac:dyDescent="1.1000000000000001">
      <c r="A2" s="22"/>
      <c r="B2" s="23" t="str">
        <f>company_name</f>
        <v>BT GROUP PLC</v>
      </c>
      <c r="C2" s="24"/>
      <c r="D2" s="22"/>
      <c r="E2" s="22"/>
      <c r="F2" s="22"/>
      <c r="G2" s="22"/>
      <c r="H2" s="22"/>
      <c r="I2" s="22"/>
      <c r="J2" s="22"/>
      <c r="K2" s="22"/>
      <c r="L2" s="22"/>
      <c r="M2" s="22"/>
      <c r="N2" s="22"/>
      <c r="O2" s="22"/>
      <c r="P2" s="22"/>
      <c r="Q2" s="22"/>
      <c r="R2" s="22"/>
      <c r="S2" s="22"/>
      <c r="T2" s="22"/>
      <c r="U2" s="22"/>
    </row>
    <row r="3" spans="1:21" ht="26" x14ac:dyDescent="0.6">
      <c r="A3" s="22"/>
      <c r="B3" s="22"/>
      <c r="C3" s="25" t="s">
        <v>1040</v>
      </c>
      <c r="D3" s="22"/>
      <c r="E3" s="22"/>
      <c r="F3" s="22"/>
      <c r="G3" s="22"/>
      <c r="H3" s="22"/>
      <c r="I3" s="22"/>
      <c r="J3" s="22"/>
      <c r="K3" s="22"/>
      <c r="L3" s="22"/>
      <c r="M3" s="22"/>
      <c r="N3" s="22"/>
      <c r="O3" s="22"/>
      <c r="P3" s="22"/>
      <c r="Q3" s="22"/>
      <c r="R3" s="22"/>
      <c r="S3" s="22"/>
      <c r="T3" s="22"/>
      <c r="U3" s="22"/>
    </row>
    <row r="4" spans="1:21" x14ac:dyDescent="0.35">
      <c r="A4" s="22"/>
      <c r="B4" s="22"/>
      <c r="C4" s="22"/>
      <c r="D4" s="22"/>
      <c r="E4" s="22"/>
      <c r="F4" s="22"/>
      <c r="G4" s="22"/>
      <c r="H4" s="22"/>
      <c r="I4" s="22"/>
      <c r="J4" s="22"/>
      <c r="K4" s="22"/>
      <c r="L4" s="22"/>
      <c r="M4" s="22"/>
      <c r="N4" s="22"/>
      <c r="O4" s="22"/>
      <c r="P4" s="22"/>
      <c r="Q4" s="22"/>
      <c r="R4" s="22"/>
      <c r="S4" s="22"/>
      <c r="T4" s="22"/>
      <c r="U4" s="22"/>
    </row>
    <row r="5" spans="1:21" x14ac:dyDescent="0.35">
      <c r="C5" t="str">
        <f ca="1">"Balance Sheet Check: "&amp;IF(bs_check=0,"Balanced as all things should be","Error!!!")</f>
        <v>Balance Sheet Check: Balanced as all things should be</v>
      </c>
    </row>
    <row r="6" spans="1:21" x14ac:dyDescent="0.35">
      <c r="D6" t="s">
        <v>48</v>
      </c>
      <c r="E6" t="s">
        <v>49</v>
      </c>
      <c r="F6" t="s">
        <v>50</v>
      </c>
      <c r="I6" t="s">
        <v>51</v>
      </c>
      <c r="J6" t="s">
        <v>51</v>
      </c>
      <c r="K6" t="s">
        <v>51</v>
      </c>
      <c r="L6" t="s">
        <v>51</v>
      </c>
      <c r="M6" t="s">
        <v>51</v>
      </c>
      <c r="N6" t="s">
        <v>52</v>
      </c>
      <c r="O6" t="s">
        <v>52</v>
      </c>
      <c r="P6" t="s">
        <v>52</v>
      </c>
      <c r="Q6" t="s">
        <v>52</v>
      </c>
      <c r="R6" t="s">
        <v>52</v>
      </c>
      <c r="S6" t="s">
        <v>53</v>
      </c>
    </row>
    <row r="7" spans="1:21" s="83" customFormat="1" x14ac:dyDescent="0.35">
      <c r="A7" s="82"/>
      <c r="B7" s="82"/>
      <c r="C7" s="82"/>
      <c r="D7" s="82"/>
      <c r="E7" s="82"/>
      <c r="F7" s="82"/>
      <c r="G7" s="82"/>
      <c r="H7" s="82"/>
      <c r="I7" s="129">
        <v>2022</v>
      </c>
      <c r="J7" s="129">
        <v>2023</v>
      </c>
      <c r="K7" s="129">
        <v>2024</v>
      </c>
      <c r="L7" s="129">
        <v>2025</v>
      </c>
      <c r="M7" s="129">
        <f>base_year</f>
        <v>2026</v>
      </c>
      <c r="N7" s="130">
        <f>M7+1</f>
        <v>2027</v>
      </c>
      <c r="O7" s="130">
        <f t="shared" ref="O7:R7" si="0">N7+1</f>
        <v>2028</v>
      </c>
      <c r="P7" s="130">
        <f t="shared" si="0"/>
        <v>2029</v>
      </c>
      <c r="Q7" s="130">
        <f t="shared" si="0"/>
        <v>2030</v>
      </c>
      <c r="R7" s="130">
        <f t="shared" si="0"/>
        <v>2031</v>
      </c>
      <c r="S7" s="82"/>
      <c r="T7" s="82"/>
      <c r="U7" s="82"/>
    </row>
    <row r="8" spans="1:21" ht="17.5" thickBot="1" x14ac:dyDescent="0.45">
      <c r="B8" s="58" t="s">
        <v>1041</v>
      </c>
      <c r="C8" s="58"/>
      <c r="D8" s="58"/>
      <c r="E8" s="58"/>
      <c r="F8" s="58"/>
      <c r="G8" s="58"/>
      <c r="H8" s="58"/>
      <c r="I8" s="58"/>
      <c r="J8" s="58"/>
      <c r="K8" s="58"/>
      <c r="L8" s="58"/>
      <c r="M8" s="58"/>
      <c r="N8" s="58"/>
      <c r="O8" s="58"/>
      <c r="P8" s="58"/>
      <c r="Q8" s="58"/>
      <c r="R8" s="58"/>
      <c r="S8" s="58"/>
      <c r="T8" s="58"/>
      <c r="U8" s="58"/>
    </row>
    <row r="9" spans="1:21" ht="15" thickTop="1" x14ac:dyDescent="0.35"/>
    <row r="10" spans="1:21" x14ac:dyDescent="0.35">
      <c r="D10" t="str">
        <f>'3-Statement'!D36</f>
        <v>Net Income</v>
      </c>
      <c r="E10" s="77" t="str">
        <f>money</f>
        <v>[£'M]</v>
      </c>
      <c r="M10" s="67">
        <f>'3-Statement'!M36</f>
        <v>1077</v>
      </c>
      <c r="N10" s="67">
        <f ca="1">'3-Statement'!N36</f>
        <v>1573.987336609154</v>
      </c>
      <c r="O10" s="67">
        <f ca="1">'3-Statement'!O36</f>
        <v>1798.696208003922</v>
      </c>
      <c r="P10" s="67">
        <f ca="1">'3-Statement'!P36</f>
        <v>1969.2295486913345</v>
      </c>
      <c r="Q10" s="67">
        <f ca="1">'3-Statement'!Q36</f>
        <v>2264.4339456861826</v>
      </c>
      <c r="R10" s="67">
        <f ca="1">'3-Statement'!R36</f>
        <v>2593.6429597447432</v>
      </c>
    </row>
    <row r="11" spans="1:21" x14ac:dyDescent="0.35">
      <c r="D11" t="str">
        <f>'3-Statement'!D101</f>
        <v>Total Equity</v>
      </c>
      <c r="E11" s="77" t="str">
        <f>money</f>
        <v>[£'M]</v>
      </c>
      <c r="M11" s="67">
        <f>'3-Statement'!M101</f>
        <v>12564</v>
      </c>
      <c r="N11" s="67">
        <f ca="1">'3-Statement'!N101</f>
        <v>13283.800470652419</v>
      </c>
      <c r="O11" s="67">
        <f ca="1">'3-Statement'!O101</f>
        <v>14202.684206720904</v>
      </c>
      <c r="P11" s="67">
        <f ca="1">'3-Statement'!P101</f>
        <v>15265.706909318738</v>
      </c>
      <c r="Q11" s="67">
        <f ca="1">'3-Statement'!Q101</f>
        <v>16596.747803528611</v>
      </c>
      <c r="R11" s="67">
        <f ca="1">'3-Statement'!R101</f>
        <v>18228.995920252761</v>
      </c>
    </row>
    <row r="12" spans="1:21" x14ac:dyDescent="0.35">
      <c r="D12" t="s">
        <v>1043</v>
      </c>
      <c r="E12" s="77" t="s">
        <v>711</v>
      </c>
      <c r="M12" s="14">
        <f>M10/M11</f>
        <v>8.5721107927411652E-2</v>
      </c>
      <c r="N12" s="14">
        <f t="shared" ref="N12:R12" ca="1" si="1">N10/N11</f>
        <v>0.11848923356584032</v>
      </c>
      <c r="O12" s="14">
        <f t="shared" ca="1" si="1"/>
        <v>0.12664480754650267</v>
      </c>
      <c r="P12" s="14">
        <f t="shared" ca="1" si="1"/>
        <v>0.12899694461507352</v>
      </c>
      <c r="Q12" s="14">
        <f t="shared" ca="1" si="1"/>
        <v>0.13643841386833297</v>
      </c>
      <c r="R12" s="14">
        <f t="shared" ca="1" si="1"/>
        <v>0.14228117506259116</v>
      </c>
    </row>
    <row r="13" spans="1:21" x14ac:dyDescent="0.35">
      <c r="D13" t="str">
        <f>'Cost of Equity'!D15</f>
        <v>Cost of Equity</v>
      </c>
      <c r="E13" s="77" t="s">
        <v>711</v>
      </c>
      <c r="F13" s="74">
        <f>'Investment recommendation'!Q57</f>
        <v>9.2604507576748513E-2</v>
      </c>
    </row>
    <row r="14" spans="1:21" x14ac:dyDescent="0.35">
      <c r="D14" t="str">
        <f>DDM!D17</f>
        <v>Growth Rate</v>
      </c>
      <c r="E14" s="77" t="s">
        <v>711</v>
      </c>
      <c r="F14" s="74">
        <f>'Investment recommendation'!Q58</f>
        <v>2.0296084049665708E-2</v>
      </c>
    </row>
    <row r="15" spans="1:21" x14ac:dyDescent="0.35">
      <c r="D15" t="str">
        <f>FCFF!D12</f>
        <v>Shares Outstanding</v>
      </c>
      <c r="E15" s="77" t="str">
        <f>FCFF!E12</f>
        <v>Unit</v>
      </c>
      <c r="F15" s="67">
        <f>FCFF!F12/1000000</f>
        <v>9967.6398659999995</v>
      </c>
    </row>
    <row r="16" spans="1:21" x14ac:dyDescent="0.35">
      <c r="D16" s="70" t="s">
        <v>1044</v>
      </c>
    </row>
    <row r="17" spans="3:21" x14ac:dyDescent="0.35">
      <c r="D17" s="70"/>
    </row>
    <row r="18" spans="3:21" ht="17.5" thickBot="1" x14ac:dyDescent="0.45">
      <c r="C18" s="58" t="s">
        <v>1266</v>
      </c>
      <c r="D18" s="58"/>
      <c r="E18" s="58"/>
      <c r="F18" s="58"/>
      <c r="G18" s="58"/>
      <c r="H18" s="58"/>
      <c r="I18" s="58"/>
      <c r="J18" s="58"/>
      <c r="K18" s="58"/>
      <c r="L18" s="58"/>
      <c r="M18" s="58"/>
      <c r="N18" s="58"/>
      <c r="O18" s="58"/>
      <c r="P18" s="58"/>
      <c r="Q18" s="58"/>
      <c r="R18" s="58"/>
      <c r="S18" s="58"/>
      <c r="T18" s="58"/>
      <c r="U18" s="58"/>
    </row>
    <row r="19" spans="3:21" ht="15" thickTop="1" x14ac:dyDescent="0.35">
      <c r="D19" s="70"/>
    </row>
    <row r="20" spans="3:21" ht="18.5" x14ac:dyDescent="0.45">
      <c r="C20" s="64" t="str">
        <f>'3-Statement'!C254</f>
        <v>Retained Earnings</v>
      </c>
      <c r="D20" s="64"/>
    </row>
    <row r="21" spans="3:21" x14ac:dyDescent="0.35">
      <c r="D21" t="str">
        <f>'3-Statement'!D255</f>
        <v>Beginning Balance</v>
      </c>
      <c r="M21" s="67">
        <f>'3-Statement'!M255</f>
        <v>0</v>
      </c>
      <c r="N21" s="67">
        <f>'3-Statement'!N255</f>
        <v>9554</v>
      </c>
      <c r="O21" s="67">
        <f ca="1">'3-Statement'!O255</f>
        <v>10273.800470652419</v>
      </c>
      <c r="P21" s="67">
        <f ca="1">'3-Statement'!P255</f>
        <v>11192.684206720904</v>
      </c>
      <c r="Q21" s="67">
        <f ca="1">'3-Statement'!Q255</f>
        <v>12255.706909318738</v>
      </c>
      <c r="R21" s="67">
        <f ca="1">'3-Statement'!R255</f>
        <v>13586.747803528613</v>
      </c>
    </row>
    <row r="22" spans="3:21" x14ac:dyDescent="0.35">
      <c r="D22" t="str">
        <f>'3-Statement'!D256</f>
        <v>Net Income</v>
      </c>
      <c r="M22" s="67">
        <f>'3-Statement'!M256</f>
        <v>0</v>
      </c>
      <c r="N22" s="67">
        <f ca="1">'3-Statement'!N256</f>
        <v>1573.987336609154</v>
      </c>
      <c r="O22" s="67">
        <f ca="1">'3-Statement'!O256</f>
        <v>1798.696208003922</v>
      </c>
      <c r="P22" s="67">
        <f ca="1">'3-Statement'!P256</f>
        <v>1969.2295486913345</v>
      </c>
      <c r="Q22" s="67">
        <f ca="1">'3-Statement'!Q256</f>
        <v>2264.4339456861826</v>
      </c>
      <c r="R22" s="67">
        <f ca="1">'3-Statement'!R256</f>
        <v>2593.6429597447432</v>
      </c>
    </row>
    <row r="23" spans="3:21" x14ac:dyDescent="0.35">
      <c r="D23" t="str">
        <f>'3-Statement'!D257</f>
        <v>Dividends</v>
      </c>
      <c r="M23" s="236">
        <f>'3-Statement'!M257</f>
        <v>0</v>
      </c>
      <c r="N23" s="236">
        <f>'3-Statement'!N257</f>
        <v>-854.18686595673614</v>
      </c>
      <c r="O23" s="236">
        <f>'3-Statement'!O257</f>
        <v>-879.81247193543811</v>
      </c>
      <c r="P23" s="236">
        <f>'3-Statement'!P257</f>
        <v>-906.20684609350144</v>
      </c>
      <c r="Q23" s="236">
        <f>'3-Statement'!Q257</f>
        <v>-933.39305147630648</v>
      </c>
      <c r="R23" s="236">
        <f>'3-Statement'!R257</f>
        <v>-961.39484302059566</v>
      </c>
    </row>
    <row r="24" spans="3:21" x14ac:dyDescent="0.35">
      <c r="D24" t="str">
        <f>'3-Statement'!D258</f>
        <v>Ending Balance</v>
      </c>
      <c r="M24" s="237">
        <f>'3-Statement'!M258</f>
        <v>9554</v>
      </c>
      <c r="N24" s="237">
        <f ca="1">'3-Statement'!N258</f>
        <v>10273.800470652419</v>
      </c>
      <c r="O24" s="237">
        <f ca="1">'3-Statement'!O258</f>
        <v>11192.684206720904</v>
      </c>
      <c r="P24" s="237">
        <f ca="1">'3-Statement'!P258</f>
        <v>12255.706909318738</v>
      </c>
      <c r="Q24" s="237">
        <f ca="1">'3-Statement'!Q258</f>
        <v>13586.747803528613</v>
      </c>
      <c r="R24" s="237">
        <f ca="1">'3-Statement'!R258</f>
        <v>15218.995920252761</v>
      </c>
    </row>
    <row r="25" spans="3:21" x14ac:dyDescent="0.35">
      <c r="D25" s="70"/>
    </row>
    <row r="26" spans="3:21" ht="18.5" x14ac:dyDescent="0.45">
      <c r="C26" s="64" t="str">
        <f>'3-Statement'!C94</f>
        <v>Equity</v>
      </c>
      <c r="D26" s="70"/>
    </row>
    <row r="27" spans="3:21" x14ac:dyDescent="0.35">
      <c r="D27" t="str">
        <f>'3-Statement'!D95</f>
        <v>Share capital</v>
      </c>
      <c r="M27" s="67">
        <f>'3-Statement'!M95</f>
        <v>499</v>
      </c>
      <c r="N27" s="67">
        <f>'3-Statement'!N95</f>
        <v>499</v>
      </c>
      <c r="O27" s="67">
        <f>'3-Statement'!O95</f>
        <v>499</v>
      </c>
      <c r="P27" s="67">
        <f>'3-Statement'!P95</f>
        <v>499</v>
      </c>
      <c r="Q27" s="67">
        <f>'3-Statement'!Q95</f>
        <v>499</v>
      </c>
      <c r="R27" s="67">
        <f>'3-Statement'!R95</f>
        <v>499</v>
      </c>
    </row>
    <row r="28" spans="3:21" x14ac:dyDescent="0.35">
      <c r="D28" t="str">
        <f>'3-Statement'!D96</f>
        <v>Share premium</v>
      </c>
      <c r="M28" s="67">
        <f>'3-Statement'!M96</f>
        <v>1051</v>
      </c>
      <c r="N28" s="67">
        <f>'3-Statement'!N96</f>
        <v>1051</v>
      </c>
      <c r="O28" s="67">
        <f>'3-Statement'!O96</f>
        <v>1051</v>
      </c>
      <c r="P28" s="67">
        <f>'3-Statement'!P96</f>
        <v>1051</v>
      </c>
      <c r="Q28" s="67">
        <f>'3-Statement'!Q96</f>
        <v>1051</v>
      </c>
      <c r="R28" s="67">
        <f>'3-Statement'!R96</f>
        <v>1051</v>
      </c>
    </row>
    <row r="29" spans="3:21" x14ac:dyDescent="0.35">
      <c r="D29" t="str">
        <f>'3-Statement'!D97</f>
        <v>Own shares</v>
      </c>
      <c r="M29" s="67">
        <f>'3-Statement'!M97</f>
        <v>-188</v>
      </c>
      <c r="N29" s="67">
        <f>'3-Statement'!N97</f>
        <v>-188</v>
      </c>
      <c r="O29" s="67">
        <f>'3-Statement'!O97</f>
        <v>-188</v>
      </c>
      <c r="P29" s="67">
        <f>'3-Statement'!P97</f>
        <v>-188</v>
      </c>
      <c r="Q29" s="67">
        <f>'3-Statement'!Q97</f>
        <v>-188</v>
      </c>
      <c r="R29" s="67">
        <f>'3-Statement'!R97</f>
        <v>-188</v>
      </c>
    </row>
    <row r="30" spans="3:21" x14ac:dyDescent="0.35">
      <c r="D30" t="str">
        <f>'3-Statement'!D98</f>
        <v>Merger reserve</v>
      </c>
      <c r="M30" s="67">
        <f>'3-Statement'!M98</f>
        <v>998</v>
      </c>
      <c r="N30" s="67">
        <f>'3-Statement'!N98</f>
        <v>998</v>
      </c>
      <c r="O30" s="67">
        <f>'3-Statement'!O98</f>
        <v>998</v>
      </c>
      <c r="P30" s="67">
        <f>'3-Statement'!P98</f>
        <v>998</v>
      </c>
      <c r="Q30" s="67">
        <f>'3-Statement'!Q98</f>
        <v>998</v>
      </c>
      <c r="R30" s="67">
        <f>'3-Statement'!R98</f>
        <v>998</v>
      </c>
    </row>
    <row r="31" spans="3:21" x14ac:dyDescent="0.35">
      <c r="D31" t="str">
        <f>'3-Statement'!D99</f>
        <v>Other reserves</v>
      </c>
      <c r="M31" s="67">
        <f>'3-Statement'!M99</f>
        <v>650</v>
      </c>
      <c r="N31" s="67">
        <f>'3-Statement'!N99</f>
        <v>650</v>
      </c>
      <c r="O31" s="67">
        <f>'3-Statement'!O99</f>
        <v>650</v>
      </c>
      <c r="P31" s="67">
        <f>'3-Statement'!P99</f>
        <v>650</v>
      </c>
      <c r="Q31" s="67">
        <f>'3-Statement'!Q99</f>
        <v>650</v>
      </c>
      <c r="R31" s="67">
        <f>'3-Statement'!R99</f>
        <v>650</v>
      </c>
    </row>
    <row r="32" spans="3:21" x14ac:dyDescent="0.35">
      <c r="D32" t="str">
        <f>'3-Statement'!D100</f>
        <v>Retained earnings</v>
      </c>
      <c r="M32" s="67">
        <f>'3-Statement'!M100</f>
        <v>9554</v>
      </c>
      <c r="N32" s="67">
        <f ca="1">'3-Statement'!N100</f>
        <v>10273.800470652419</v>
      </c>
      <c r="O32" s="67">
        <f ca="1">'3-Statement'!O100</f>
        <v>11192.684206720904</v>
      </c>
      <c r="P32" s="67">
        <f ca="1">'3-Statement'!P100</f>
        <v>12255.706909318738</v>
      </c>
      <c r="Q32" s="67">
        <f ca="1">'3-Statement'!Q100</f>
        <v>13586.747803528613</v>
      </c>
      <c r="R32" s="67">
        <f ca="1">'3-Statement'!R100</f>
        <v>15218.995920252761</v>
      </c>
    </row>
    <row r="33" spans="3:19" x14ac:dyDescent="0.35">
      <c r="D33" t="str">
        <f>'3-Statement'!D101</f>
        <v>Total Equity</v>
      </c>
      <c r="M33" s="67">
        <f>'3-Statement'!M101</f>
        <v>12564</v>
      </c>
      <c r="N33" s="67">
        <f ca="1">'3-Statement'!N101</f>
        <v>13283.800470652419</v>
      </c>
      <c r="O33" s="67">
        <f ca="1">'3-Statement'!O101</f>
        <v>14202.684206720904</v>
      </c>
      <c r="P33" s="67">
        <f ca="1">'3-Statement'!P101</f>
        <v>15265.706909318738</v>
      </c>
      <c r="Q33" s="67">
        <f ca="1">'3-Statement'!Q101</f>
        <v>16596.747803528611</v>
      </c>
      <c r="R33" s="67">
        <f ca="1">'3-Statement'!R101</f>
        <v>18228.995920252761</v>
      </c>
    </row>
    <row r="34" spans="3:19" ht="18.5" x14ac:dyDescent="0.45">
      <c r="D34" s="64"/>
    </row>
    <row r="35" spans="3:19" ht="18.5" x14ac:dyDescent="0.45">
      <c r="D35" s="64"/>
    </row>
    <row r="36" spans="3:19" ht="18.5" x14ac:dyDescent="0.45">
      <c r="C36" s="64" t="s">
        <v>1045</v>
      </c>
    </row>
    <row r="37" spans="3:19" x14ac:dyDescent="0.35">
      <c r="D37" t="str">
        <f>D12</f>
        <v xml:space="preserve">Return On Equity </v>
      </c>
      <c r="E37" s="77" t="str">
        <f>E12</f>
        <v>%</v>
      </c>
      <c r="M37" s="14">
        <f t="shared" ref="M37:R37" si="2">M12</f>
        <v>8.5721107927411652E-2</v>
      </c>
      <c r="N37" s="14">
        <f t="shared" ca="1" si="2"/>
        <v>0.11848923356584032</v>
      </c>
      <c r="O37" s="14">
        <f t="shared" ca="1" si="2"/>
        <v>0.12664480754650267</v>
      </c>
      <c r="P37" s="14">
        <f t="shared" ca="1" si="2"/>
        <v>0.12899694461507352</v>
      </c>
      <c r="Q37" s="14">
        <f t="shared" ca="1" si="2"/>
        <v>0.13643841386833297</v>
      </c>
      <c r="R37" s="14">
        <f t="shared" ca="1" si="2"/>
        <v>0.14228117506259116</v>
      </c>
    </row>
    <row r="38" spans="3:19" x14ac:dyDescent="0.35">
      <c r="D38" t="s">
        <v>18</v>
      </c>
      <c r="E38" s="77" t="str">
        <f>E13</f>
        <v>%</v>
      </c>
      <c r="M38" s="16">
        <f>$F$13</f>
        <v>9.2604507576748513E-2</v>
      </c>
      <c r="N38" s="16">
        <f t="shared" ref="N38:R38" si="3">$F$13</f>
        <v>9.2604507576748513E-2</v>
      </c>
      <c r="O38" s="16">
        <f t="shared" si="3"/>
        <v>9.2604507576748513E-2</v>
      </c>
      <c r="P38" s="16">
        <f t="shared" si="3"/>
        <v>9.2604507576748513E-2</v>
      </c>
      <c r="Q38" s="16">
        <f t="shared" si="3"/>
        <v>9.2604507576748513E-2</v>
      </c>
      <c r="R38" s="16">
        <f t="shared" si="3"/>
        <v>9.2604507576748513E-2</v>
      </c>
    </row>
    <row r="39" spans="3:19" x14ac:dyDescent="0.35">
      <c r="D39" t="s">
        <v>1046</v>
      </c>
      <c r="E39" s="77" t="str">
        <f>money</f>
        <v>[£'M]</v>
      </c>
      <c r="M39" s="154"/>
      <c r="N39">
        <f>N38*M11</f>
        <v>1163.4830331942683</v>
      </c>
      <c r="O39">
        <f ca="1">O38*N11</f>
        <v>1230.1398013325474</v>
      </c>
      <c r="P39">
        <f ca="1">P38*O11</f>
        <v>1315.2325772314523</v>
      </c>
      <c r="Q39">
        <f ca="1">Q38*P11</f>
        <v>1413.6732711484292</v>
      </c>
      <c r="R39">
        <f ca="1">R38*Q11</f>
        <v>1536.9336577212496</v>
      </c>
    </row>
    <row r="40" spans="3:19" x14ac:dyDescent="0.35">
      <c r="D40" t="s">
        <v>1041</v>
      </c>
      <c r="E40" s="77" t="str">
        <f>money</f>
        <v>[£'M]</v>
      </c>
      <c r="M40" s="155"/>
      <c r="N40">
        <f ca="1">N10-N39</f>
        <v>410.50430341488573</v>
      </c>
      <c r="O40">
        <f ca="1">O10-O39</f>
        <v>568.55640667137459</v>
      </c>
      <c r="P40">
        <f ca="1">P10-P39</f>
        <v>653.99697145988216</v>
      </c>
      <c r="Q40">
        <f ca="1">Q10-Q39</f>
        <v>850.7606745377534</v>
      </c>
      <c r="R40">
        <f ca="1">R10-R39</f>
        <v>1056.7093020234936</v>
      </c>
      <c r="S40">
        <f ca="1">R40*(1+$F$14)</f>
        <v>1078.1563628334261</v>
      </c>
    </row>
    <row r="42" spans="3:19" ht="18.5" x14ac:dyDescent="0.45">
      <c r="C42" s="64"/>
    </row>
    <row r="44" spans="3:19" x14ac:dyDescent="0.35">
      <c r="M44" s="159" t="s">
        <v>702</v>
      </c>
      <c r="N44" s="156" t="s">
        <v>1048</v>
      </c>
      <c r="O44" s="157"/>
      <c r="P44" s="157"/>
      <c r="Q44" s="157"/>
      <c r="R44" s="158"/>
      <c r="S44" s="159" t="s">
        <v>53</v>
      </c>
    </row>
    <row r="45" spans="3:19" x14ac:dyDescent="0.35">
      <c r="M45" s="160" t="s">
        <v>1049</v>
      </c>
      <c r="N45" s="115" t="s">
        <v>1049</v>
      </c>
      <c r="O45" s="83" t="s">
        <v>1049</v>
      </c>
      <c r="P45" s="83" t="s">
        <v>1049</v>
      </c>
      <c r="Q45" s="83" t="s">
        <v>1049</v>
      </c>
      <c r="R45" s="85" t="s">
        <v>1049</v>
      </c>
      <c r="S45" s="85" t="s">
        <v>1049</v>
      </c>
    </row>
    <row r="46" spans="3:19" x14ac:dyDescent="0.35">
      <c r="M46" s="161">
        <v>46308</v>
      </c>
      <c r="N46" s="162">
        <v>46477</v>
      </c>
      <c r="O46" s="163">
        <f>EDATE(N46,12)</f>
        <v>46843</v>
      </c>
      <c r="P46" s="163">
        <f t="shared" ref="P46:S46" si="4">EDATE(O46,12)</f>
        <v>47208</v>
      </c>
      <c r="Q46" s="163">
        <f t="shared" si="4"/>
        <v>47573</v>
      </c>
      <c r="R46" s="164">
        <f t="shared" si="4"/>
        <v>47938</v>
      </c>
      <c r="S46" s="164">
        <f t="shared" si="4"/>
        <v>48304</v>
      </c>
    </row>
    <row r="48" spans="3:19" x14ac:dyDescent="0.35">
      <c r="D48" s="168" t="s">
        <v>715</v>
      </c>
      <c r="E48" s="169"/>
      <c r="F48" s="169"/>
      <c r="G48" s="169"/>
      <c r="H48" s="169"/>
      <c r="I48" s="169"/>
      <c r="J48" s="169"/>
      <c r="K48" s="169"/>
      <c r="L48" s="169"/>
      <c r="M48" s="169">
        <v>0</v>
      </c>
      <c r="N48" s="169">
        <f>M48+YEARFRAC(M46,N46)</f>
        <v>0.46666666666666667</v>
      </c>
      <c r="O48" s="169">
        <f t="shared" ref="O48:R48" si="5">N48+YEARFRAC(N46,O46)</f>
        <v>1.4666666666666668</v>
      </c>
      <c r="P48" s="169">
        <f t="shared" si="5"/>
        <v>2.4666666666666668</v>
      </c>
      <c r="Q48" s="169">
        <f t="shared" si="5"/>
        <v>3.4666666666666668</v>
      </c>
      <c r="R48" s="170">
        <f t="shared" si="5"/>
        <v>4.4666666666666668</v>
      </c>
    </row>
    <row r="49" spans="4:18" x14ac:dyDescent="0.35">
      <c r="M49" s="167"/>
      <c r="N49" s="167"/>
      <c r="O49" s="167"/>
      <c r="P49" s="167"/>
      <c r="Q49" s="167"/>
      <c r="R49" s="167"/>
    </row>
    <row r="50" spans="4:18" x14ac:dyDescent="0.35">
      <c r="D50" t="str">
        <f>D40</f>
        <v>Residual Income</v>
      </c>
      <c r="E50" s="77"/>
      <c r="N50">
        <f t="shared" ref="N50:R50" ca="1" si="6">N40</f>
        <v>410.50430341488573</v>
      </c>
      <c r="O50">
        <f t="shared" ca="1" si="6"/>
        <v>568.55640667137459</v>
      </c>
      <c r="P50">
        <f t="shared" ca="1" si="6"/>
        <v>653.99697145988216</v>
      </c>
      <c r="Q50">
        <f t="shared" ca="1" si="6"/>
        <v>850.7606745377534</v>
      </c>
      <c r="R50">
        <f t="shared" ca="1" si="6"/>
        <v>1056.7093020234936</v>
      </c>
    </row>
    <row r="51" spans="4:18" x14ac:dyDescent="0.35">
      <c r="D51" t="s">
        <v>713</v>
      </c>
      <c r="R51">
        <f ca="1">S40/(F13-F14)</f>
        <v>14910.522318739357</v>
      </c>
    </row>
    <row r="52" spans="4:18" x14ac:dyDescent="0.35">
      <c r="D52" s="17" t="s">
        <v>1036</v>
      </c>
      <c r="N52" s="18">
        <f ca="1">SUM(N50:N51)</f>
        <v>410.50430341488573</v>
      </c>
      <c r="O52" s="18">
        <f t="shared" ref="O52:R52" ca="1" si="7">SUM(O50:O51)</f>
        <v>568.55640667137459</v>
      </c>
      <c r="P52" s="18">
        <f t="shared" ca="1" si="7"/>
        <v>653.99697145988216</v>
      </c>
      <c r="Q52" s="18">
        <f t="shared" ca="1" si="7"/>
        <v>850.7606745377534</v>
      </c>
      <c r="R52" s="18">
        <f t="shared" ca="1" si="7"/>
        <v>15967.23162076285</v>
      </c>
    </row>
    <row r="54" spans="4:18" x14ac:dyDescent="0.35">
      <c r="D54" t="s">
        <v>1060</v>
      </c>
      <c r="N54" s="17">
        <f ca="1">N52/(1+$F$13)^N48</f>
        <v>393.88398213265458</v>
      </c>
      <c r="O54" s="17">
        <f t="shared" ref="O54:R54" ca="1" si="8">O52/(1+$F$13)^O48</f>
        <v>499.29955091738026</v>
      </c>
      <c r="P54" s="17">
        <f t="shared" ca="1" si="8"/>
        <v>525.65447631907398</v>
      </c>
      <c r="Q54" s="17">
        <f t="shared" ca="1" si="8"/>
        <v>625.8482597190258</v>
      </c>
      <c r="R54" s="17">
        <f t="shared" ca="1" si="8"/>
        <v>10750.490490314096</v>
      </c>
    </row>
    <row r="57" spans="4:18" x14ac:dyDescent="0.35">
      <c r="D57" s="240" t="s">
        <v>1041</v>
      </c>
      <c r="E57" s="241"/>
      <c r="F57" s="242"/>
    </row>
    <row r="58" spans="4:18" x14ac:dyDescent="0.35">
      <c r="D58" s="115" t="s">
        <v>1062</v>
      </c>
      <c r="E58" s="84" t="str">
        <f>money</f>
        <v>[£'M]</v>
      </c>
      <c r="F58" s="85">
        <f ca="1">SUM(N54:R54)</f>
        <v>12795.176759402231</v>
      </c>
    </row>
    <row r="59" spans="4:18" x14ac:dyDescent="0.35">
      <c r="D59" s="86" t="s">
        <v>1063</v>
      </c>
      <c r="E59" s="88" t="str">
        <f>money</f>
        <v>[£'M]</v>
      </c>
      <c r="F59" s="89">
        <f>M11</f>
        <v>12564</v>
      </c>
    </row>
    <row r="60" spans="4:18" x14ac:dyDescent="0.35">
      <c r="D60" s="86" t="s">
        <v>717</v>
      </c>
      <c r="E60" s="88" t="str">
        <f>money</f>
        <v>[£'M]</v>
      </c>
      <c r="F60" s="89">
        <f ca="1">SUM(F58:F59)</f>
        <v>25359.176759402231</v>
      </c>
    </row>
    <row r="61" spans="4:18" x14ac:dyDescent="0.35">
      <c r="D61" s="86" t="s">
        <v>703</v>
      </c>
      <c r="E61" s="88" t="s">
        <v>705</v>
      </c>
      <c r="F61" s="89">
        <f>F15</f>
        <v>9967.6398659999995</v>
      </c>
    </row>
    <row r="62" spans="4:18" x14ac:dyDescent="0.35">
      <c r="D62" s="86" t="s">
        <v>1301</v>
      </c>
      <c r="E62" s="88" t="str">
        <f>DDM!E43</f>
        <v>Pence/sh</v>
      </c>
      <c r="F62" s="89">
        <f ca="1">F60/F61*100</f>
        <v>254.415058131297</v>
      </c>
    </row>
    <row r="63" spans="4:18" x14ac:dyDescent="0.35">
      <c r="D63" s="86" t="str">
        <f>DDM!D44</f>
        <v>Current Share Price</v>
      </c>
      <c r="E63" s="88" t="str">
        <f>DDM!E44</f>
        <v>Pence/sh</v>
      </c>
      <c r="F63" s="89">
        <f>DDM!F44</f>
        <v>209.7</v>
      </c>
    </row>
    <row r="64" spans="4:18" x14ac:dyDescent="0.35">
      <c r="D64" s="239" t="s">
        <v>1267</v>
      </c>
      <c r="E64" s="91" t="s">
        <v>1268</v>
      </c>
      <c r="F64" s="92" t="str">
        <f ca="1">IF(F63&lt;F62, "Undervalued", "Overvalued")</f>
        <v>Undervalued</v>
      </c>
    </row>
  </sheetData>
  <conditionalFormatting sqref="C5:D5">
    <cfRule type="expression" dxfId="5" priority="1">
      <formula>bs_check&lt;&gt;0</formula>
    </cfRule>
  </conditionalFormatting>
  <pageMargins left="0.70866141732283472" right="0.70866141732283472" top="0.74803149606299213" bottom="0.74803149606299213" header="0.31496062992125984" footer="0.31496062992125984"/>
  <pageSetup scale="69" fitToHeight="0" orientation="landscape" r:id="rId1"/>
  <headerFooter>
    <oddFooter xml:space="preserve">&amp;LOpeoluwa Kuku
 H00529768
&amp;F&amp;C&amp;P of &amp;N&amp;RPrinted on &amp;D 
at &amp;D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C6D43-7E66-40AE-8898-0C3D469A8307}">
  <sheetPr>
    <tabColor theme="3" tint="0.499984740745262"/>
    <pageSetUpPr fitToPage="1"/>
  </sheetPr>
  <dimension ref="A1:XEZ37"/>
  <sheetViews>
    <sheetView showGridLines="0" zoomScale="70" zoomScaleNormal="70" workbookViewId="0"/>
  </sheetViews>
  <sheetFormatPr defaultColWidth="8.7265625" defaultRowHeight="14.5" x14ac:dyDescent="0.35"/>
  <cols>
    <col min="1" max="2" width="2.26953125" customWidth="1"/>
    <col min="3" max="3" width="24.453125" customWidth="1"/>
    <col min="4" max="4" width="18.6328125" bestFit="1" customWidth="1"/>
    <col min="5" max="6" width="12.453125" bestFit="1" customWidth="1"/>
    <col min="7" max="7" width="19.08984375" bestFit="1" customWidth="1"/>
    <col min="8" max="10" width="12.453125" bestFit="1" customWidth="1"/>
    <col min="11" max="12" width="12.453125" customWidth="1"/>
    <col min="13" max="13" width="6.453125" bestFit="1" customWidth="1"/>
    <col min="14" max="14" width="8.26953125" bestFit="1" customWidth="1"/>
    <col min="15" max="15" width="8.1796875" bestFit="1" customWidth="1"/>
    <col min="16" max="16" width="8.7265625" customWidth="1"/>
    <col min="19" max="19" width="18.453125" bestFit="1" customWidth="1"/>
  </cols>
  <sheetData>
    <row r="1" spans="1:16380" ht="7" customHeight="1" x14ac:dyDescent="0.35">
      <c r="A1" s="22"/>
      <c r="B1" s="22"/>
      <c r="C1" s="22"/>
      <c r="D1" s="22"/>
      <c r="E1" s="22"/>
      <c r="F1" s="22"/>
      <c r="G1" s="22"/>
      <c r="H1" s="22"/>
      <c r="I1" s="22"/>
      <c r="J1" s="22"/>
      <c r="K1" s="22"/>
      <c r="L1" s="22"/>
      <c r="M1" s="22"/>
      <c r="N1" s="22"/>
      <c r="O1" s="22"/>
      <c r="P1" s="22"/>
      <c r="Q1" s="22"/>
      <c r="R1" s="22"/>
      <c r="S1" s="22"/>
    </row>
    <row r="2" spans="1:16380" ht="34.5" x14ac:dyDescent="0.8">
      <c r="A2" s="22"/>
      <c r="B2" s="23" t="str">
        <f>company_name</f>
        <v>BT GROUP PLC</v>
      </c>
      <c r="C2" s="22"/>
      <c r="D2" s="22"/>
      <c r="E2" s="22"/>
      <c r="F2" s="22"/>
      <c r="G2" s="22"/>
      <c r="H2" s="22"/>
      <c r="I2" s="22"/>
      <c r="J2" s="22"/>
      <c r="K2" s="22"/>
      <c r="L2" s="22"/>
      <c r="M2" s="22"/>
      <c r="N2" s="22"/>
      <c r="O2" s="22"/>
      <c r="P2" s="22"/>
      <c r="Q2" s="22"/>
      <c r="R2" s="22"/>
      <c r="S2" s="22"/>
    </row>
    <row r="3" spans="1:16380" x14ac:dyDescent="0.35">
      <c r="A3" s="22"/>
      <c r="B3" s="22"/>
      <c r="C3" s="22"/>
      <c r="D3" s="22"/>
      <c r="E3" s="22"/>
      <c r="F3" s="22"/>
      <c r="G3" s="22"/>
      <c r="H3" s="22"/>
      <c r="I3" s="22"/>
      <c r="J3" s="22"/>
      <c r="K3" s="22"/>
      <c r="L3" s="22"/>
      <c r="M3" s="22"/>
      <c r="N3" s="22"/>
      <c r="O3" s="22"/>
      <c r="P3" s="22"/>
      <c r="Q3" s="22"/>
      <c r="R3" s="22"/>
      <c r="S3" s="22"/>
    </row>
    <row r="4" spans="1:16380" x14ac:dyDescent="0.35">
      <c r="A4" s="22"/>
      <c r="B4" s="22"/>
      <c r="C4" s="22"/>
      <c r="D4" s="22"/>
      <c r="E4" s="22"/>
      <c r="F4" s="22"/>
      <c r="G4" s="22"/>
      <c r="H4" s="22"/>
      <c r="I4" s="22"/>
      <c r="J4" s="22"/>
      <c r="K4" s="22"/>
      <c r="L4" s="22"/>
      <c r="M4" s="22"/>
      <c r="N4" s="22"/>
      <c r="O4" s="22"/>
      <c r="P4" s="22"/>
      <c r="Q4" s="22"/>
      <c r="R4" s="22"/>
      <c r="S4" s="22"/>
    </row>
    <row r="5" spans="1:16380" ht="21" x14ac:dyDescent="0.5">
      <c r="C5" s="269" t="s">
        <v>1299</v>
      </c>
      <c r="D5" s="270">
        <f>'Cover Page'!F16</f>
        <v>46319</v>
      </c>
    </row>
    <row r="6" spans="1:16380" s="83" customFormat="1" ht="72.5" x14ac:dyDescent="0.35">
      <c r="C6" s="280" t="s">
        <v>57</v>
      </c>
      <c r="D6" s="281" t="s">
        <v>1075</v>
      </c>
      <c r="E6" s="281" t="s">
        <v>1074</v>
      </c>
      <c r="F6" s="281" t="s">
        <v>1076</v>
      </c>
      <c r="G6" s="281" t="s">
        <v>1077</v>
      </c>
      <c r="H6" s="281" t="s">
        <v>1078</v>
      </c>
      <c r="I6" s="281" t="s">
        <v>1079</v>
      </c>
      <c r="J6" s="281" t="s">
        <v>1080</v>
      </c>
      <c r="K6" s="281" t="s">
        <v>1084</v>
      </c>
      <c r="L6" s="280" t="s">
        <v>1085</v>
      </c>
      <c r="M6" s="281" t="s">
        <v>1056</v>
      </c>
      <c r="N6" s="281" t="s">
        <v>1057</v>
      </c>
      <c r="O6" s="281" t="s">
        <v>1058</v>
      </c>
      <c r="P6" s="282" t="s">
        <v>1081</v>
      </c>
      <c r="Q6" s="282" t="s">
        <v>1082</v>
      </c>
      <c r="R6" s="283" t="s">
        <v>1083</v>
      </c>
      <c r="S6" s="283" t="s">
        <v>1091</v>
      </c>
      <c r="T6" s="263"/>
      <c r="U6" s="264"/>
      <c r="V6" s="265"/>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c r="AMM6"/>
      <c r="AMN6"/>
      <c r="AMO6"/>
      <c r="AMP6"/>
      <c r="AMQ6"/>
      <c r="AMR6"/>
      <c r="AMS6"/>
      <c r="AMT6"/>
      <c r="AMU6"/>
      <c r="AMV6"/>
      <c r="AMW6"/>
      <c r="AMX6"/>
      <c r="AMY6"/>
      <c r="AMZ6"/>
      <c r="ANA6"/>
      <c r="ANB6"/>
      <c r="ANC6"/>
      <c r="AND6"/>
      <c r="ANE6"/>
      <c r="ANF6"/>
      <c r="ANG6"/>
      <c r="ANH6"/>
      <c r="ANI6"/>
      <c r="ANJ6"/>
      <c r="ANK6"/>
      <c r="ANL6"/>
      <c r="ANM6"/>
      <c r="ANN6"/>
      <c r="ANO6"/>
      <c r="ANP6"/>
      <c r="ANQ6"/>
      <c r="ANR6"/>
      <c r="ANS6"/>
      <c r="ANT6"/>
      <c r="ANU6"/>
      <c r="ANV6"/>
      <c r="ANW6"/>
      <c r="ANX6"/>
      <c r="ANY6"/>
      <c r="ANZ6"/>
      <c r="AOA6"/>
      <c r="AOB6"/>
      <c r="AOC6"/>
      <c r="AOD6"/>
      <c r="AOE6"/>
      <c r="AOF6"/>
      <c r="AOG6"/>
      <c r="AOH6"/>
      <c r="AOI6"/>
      <c r="AOJ6"/>
      <c r="AOK6"/>
      <c r="AOL6"/>
      <c r="AOM6"/>
      <c r="AON6"/>
      <c r="AOO6"/>
      <c r="AOP6"/>
      <c r="AOQ6"/>
      <c r="AOR6"/>
      <c r="AOS6"/>
      <c r="AOT6"/>
      <c r="AOU6"/>
      <c r="AOV6"/>
      <c r="AOW6"/>
      <c r="AOX6"/>
      <c r="AOY6"/>
      <c r="AOZ6"/>
      <c r="APA6"/>
      <c r="APB6"/>
      <c r="APC6"/>
      <c r="APD6"/>
      <c r="APE6"/>
      <c r="APF6"/>
      <c r="APG6"/>
      <c r="APH6"/>
      <c r="API6"/>
      <c r="APJ6"/>
      <c r="APK6"/>
      <c r="APL6"/>
      <c r="APM6"/>
      <c r="APN6"/>
      <c r="APO6"/>
      <c r="APP6"/>
      <c r="APQ6"/>
      <c r="APR6"/>
      <c r="APS6"/>
      <c r="APT6"/>
      <c r="APU6"/>
      <c r="APV6"/>
      <c r="APW6"/>
      <c r="APX6"/>
      <c r="APY6"/>
      <c r="APZ6"/>
      <c r="AQA6"/>
      <c r="AQB6"/>
      <c r="AQC6"/>
      <c r="AQD6"/>
      <c r="AQE6"/>
      <c r="AQF6"/>
      <c r="AQG6"/>
      <c r="AQH6"/>
      <c r="AQI6"/>
      <c r="AQJ6"/>
      <c r="AQK6"/>
      <c r="AQL6"/>
      <c r="AQM6"/>
      <c r="AQN6"/>
      <c r="AQO6"/>
      <c r="AQP6"/>
      <c r="AQQ6"/>
      <c r="AQR6"/>
      <c r="AQS6"/>
      <c r="AQT6"/>
      <c r="AQU6"/>
      <c r="AQV6"/>
      <c r="AQW6"/>
      <c r="AQX6"/>
      <c r="AQY6"/>
      <c r="AQZ6"/>
      <c r="ARA6"/>
      <c r="ARB6"/>
      <c r="ARC6"/>
      <c r="ARD6"/>
      <c r="ARE6"/>
      <c r="ARF6"/>
      <c r="ARG6"/>
      <c r="ARH6"/>
      <c r="ARI6"/>
      <c r="ARJ6"/>
      <c r="ARK6"/>
      <c r="ARL6"/>
      <c r="ARM6"/>
      <c r="ARN6"/>
      <c r="ARO6"/>
      <c r="ARP6"/>
      <c r="ARQ6"/>
      <c r="ARR6"/>
      <c r="ARS6"/>
      <c r="ART6"/>
      <c r="ARU6"/>
      <c r="ARV6"/>
      <c r="ARW6"/>
      <c r="ARX6"/>
      <c r="ARY6"/>
      <c r="ARZ6"/>
      <c r="ASA6"/>
      <c r="ASB6"/>
      <c r="ASC6"/>
      <c r="ASD6"/>
      <c r="ASE6"/>
      <c r="ASF6"/>
      <c r="ASG6"/>
      <c r="ASH6"/>
      <c r="ASI6"/>
      <c r="ASJ6"/>
      <c r="ASK6"/>
      <c r="ASL6"/>
      <c r="ASM6"/>
      <c r="ASN6"/>
      <c r="ASO6"/>
      <c r="ASP6"/>
      <c r="ASQ6"/>
      <c r="ASR6"/>
      <c r="ASS6"/>
      <c r="AST6"/>
      <c r="ASU6"/>
      <c r="ASV6"/>
      <c r="ASW6"/>
      <c r="ASX6"/>
      <c r="ASY6"/>
      <c r="ASZ6"/>
      <c r="ATA6"/>
      <c r="ATB6"/>
      <c r="ATC6"/>
      <c r="ATD6"/>
      <c r="ATE6"/>
      <c r="ATF6"/>
      <c r="ATG6"/>
      <c r="ATH6"/>
      <c r="ATI6"/>
      <c r="ATJ6"/>
      <c r="ATK6"/>
      <c r="ATL6"/>
      <c r="ATM6"/>
      <c r="ATN6"/>
      <c r="ATO6"/>
      <c r="ATP6"/>
      <c r="ATQ6"/>
      <c r="ATR6"/>
      <c r="ATS6"/>
      <c r="ATT6"/>
      <c r="ATU6"/>
      <c r="ATV6"/>
      <c r="ATW6"/>
      <c r="ATX6"/>
      <c r="ATY6"/>
      <c r="ATZ6"/>
      <c r="AUA6"/>
      <c r="AUB6"/>
      <c r="AUC6"/>
      <c r="AUD6"/>
      <c r="AUE6"/>
      <c r="AUF6"/>
      <c r="AUG6"/>
      <c r="AUH6"/>
      <c r="AUI6"/>
      <c r="AUJ6"/>
      <c r="AUK6"/>
      <c r="AUL6"/>
      <c r="AUM6"/>
      <c r="AUN6"/>
      <c r="AUO6"/>
      <c r="AUP6"/>
      <c r="AUQ6"/>
      <c r="AUR6"/>
      <c r="AUS6"/>
      <c r="AUT6"/>
      <c r="AUU6"/>
      <c r="AUV6"/>
      <c r="AUW6"/>
      <c r="AUX6"/>
      <c r="AUY6"/>
      <c r="AUZ6"/>
      <c r="AVA6"/>
      <c r="AVB6"/>
      <c r="AVC6"/>
      <c r="AVD6"/>
      <c r="AVE6"/>
      <c r="AVF6"/>
      <c r="AVG6"/>
      <c r="AVH6"/>
      <c r="AVI6"/>
      <c r="AVJ6"/>
      <c r="AVK6"/>
      <c r="AVL6"/>
      <c r="AVM6"/>
      <c r="AVN6"/>
      <c r="AVO6"/>
      <c r="AVP6"/>
      <c r="AVQ6"/>
      <c r="AVR6"/>
      <c r="AVS6"/>
      <c r="AVT6"/>
      <c r="AVU6"/>
      <c r="AVV6"/>
      <c r="AVW6"/>
      <c r="AVX6"/>
      <c r="AVY6"/>
      <c r="AVZ6"/>
      <c r="AWA6"/>
      <c r="AWB6"/>
      <c r="AWC6"/>
      <c r="AWD6"/>
      <c r="AWE6"/>
      <c r="AWF6"/>
      <c r="AWG6"/>
      <c r="AWH6"/>
      <c r="AWI6"/>
      <c r="AWJ6"/>
      <c r="AWK6"/>
      <c r="AWL6"/>
      <c r="AWM6"/>
      <c r="AWN6"/>
      <c r="AWO6"/>
      <c r="AWP6"/>
      <c r="AWQ6"/>
      <c r="AWR6"/>
      <c r="AWS6"/>
      <c r="AWT6"/>
      <c r="AWU6"/>
      <c r="AWV6"/>
      <c r="AWW6"/>
      <c r="AWX6"/>
      <c r="AWY6"/>
      <c r="AWZ6"/>
      <c r="AXA6"/>
      <c r="AXB6"/>
      <c r="AXC6"/>
      <c r="AXD6"/>
      <c r="AXE6"/>
      <c r="AXF6"/>
      <c r="AXG6"/>
      <c r="AXH6"/>
      <c r="AXI6"/>
      <c r="AXJ6"/>
      <c r="AXK6"/>
      <c r="AXL6"/>
      <c r="AXM6"/>
      <c r="AXN6"/>
      <c r="AXO6"/>
      <c r="AXP6"/>
      <c r="AXQ6"/>
      <c r="AXR6"/>
      <c r="AXS6"/>
      <c r="AXT6"/>
      <c r="AXU6"/>
      <c r="AXV6"/>
      <c r="AXW6"/>
      <c r="AXX6"/>
      <c r="AXY6"/>
      <c r="AXZ6"/>
      <c r="AYA6"/>
      <c r="AYB6"/>
      <c r="AYC6"/>
      <c r="AYD6"/>
      <c r="AYE6"/>
      <c r="AYF6"/>
      <c r="AYG6"/>
      <c r="AYH6"/>
      <c r="AYI6"/>
      <c r="AYJ6"/>
      <c r="AYK6"/>
      <c r="AYL6"/>
      <c r="AYM6"/>
      <c r="AYN6"/>
      <c r="AYO6"/>
      <c r="AYP6"/>
      <c r="AYQ6"/>
      <c r="AYR6"/>
      <c r="AYS6"/>
      <c r="AYT6"/>
      <c r="AYU6"/>
      <c r="AYV6"/>
      <c r="AYW6"/>
      <c r="AYX6"/>
      <c r="AYY6"/>
      <c r="AYZ6"/>
      <c r="AZA6"/>
      <c r="AZB6"/>
      <c r="AZC6"/>
      <c r="AZD6"/>
      <c r="AZE6"/>
      <c r="AZF6"/>
      <c r="AZG6"/>
      <c r="AZH6"/>
      <c r="AZI6"/>
      <c r="AZJ6"/>
      <c r="AZK6"/>
      <c r="AZL6"/>
      <c r="AZM6"/>
      <c r="AZN6"/>
      <c r="AZO6"/>
      <c r="AZP6"/>
      <c r="AZQ6"/>
      <c r="AZR6"/>
      <c r="AZS6"/>
      <c r="AZT6"/>
      <c r="AZU6"/>
      <c r="AZV6"/>
      <c r="AZW6"/>
      <c r="AZX6"/>
      <c r="AZY6"/>
      <c r="AZZ6"/>
      <c r="BAA6"/>
      <c r="BAB6"/>
      <c r="BAC6"/>
      <c r="BAD6"/>
      <c r="BAE6"/>
      <c r="BAF6"/>
      <c r="BAG6"/>
      <c r="BAH6"/>
      <c r="BAI6"/>
      <c r="BAJ6"/>
      <c r="BAK6"/>
      <c r="BAL6"/>
      <c r="BAM6"/>
      <c r="BAN6"/>
      <c r="BAO6"/>
      <c r="BAP6"/>
      <c r="BAQ6"/>
      <c r="BAR6"/>
      <c r="BAS6"/>
      <c r="BAT6"/>
      <c r="BAU6"/>
      <c r="BAV6"/>
      <c r="BAW6"/>
      <c r="BAX6"/>
      <c r="BAY6"/>
      <c r="BAZ6"/>
      <c r="BBA6"/>
      <c r="BBB6"/>
      <c r="BBC6"/>
      <c r="BBD6"/>
      <c r="BBE6"/>
      <c r="BBF6"/>
      <c r="BBG6"/>
      <c r="BBH6"/>
      <c r="BBI6"/>
      <c r="BBJ6"/>
      <c r="BBK6"/>
      <c r="BBL6"/>
      <c r="BBM6"/>
      <c r="BBN6"/>
      <c r="BBO6"/>
      <c r="BBP6"/>
      <c r="BBQ6"/>
      <c r="BBR6"/>
      <c r="BBS6"/>
      <c r="BBT6"/>
      <c r="BBU6"/>
      <c r="BBV6"/>
      <c r="BBW6"/>
      <c r="BBX6"/>
      <c r="BBY6"/>
      <c r="BBZ6"/>
      <c r="BCA6"/>
      <c r="BCB6"/>
      <c r="BCC6"/>
      <c r="BCD6"/>
      <c r="BCE6"/>
      <c r="BCF6"/>
      <c r="BCG6"/>
      <c r="BCH6"/>
      <c r="BCI6"/>
      <c r="BCJ6"/>
      <c r="BCK6"/>
      <c r="BCL6"/>
      <c r="BCM6"/>
      <c r="BCN6"/>
      <c r="BCO6"/>
      <c r="BCP6"/>
      <c r="BCQ6"/>
      <c r="BCR6"/>
      <c r="BCS6"/>
      <c r="BCT6"/>
      <c r="BCU6"/>
      <c r="BCV6"/>
      <c r="BCW6"/>
      <c r="BCX6"/>
      <c r="BCY6"/>
      <c r="BCZ6"/>
      <c r="BDA6"/>
      <c r="BDB6"/>
      <c r="BDC6"/>
      <c r="BDD6"/>
      <c r="BDE6"/>
      <c r="BDF6"/>
      <c r="BDG6"/>
      <c r="BDH6"/>
      <c r="BDI6"/>
      <c r="BDJ6"/>
      <c r="BDK6"/>
      <c r="BDL6"/>
      <c r="BDM6"/>
      <c r="BDN6"/>
      <c r="BDO6"/>
      <c r="BDP6"/>
      <c r="BDQ6"/>
      <c r="BDR6"/>
      <c r="BDS6"/>
      <c r="BDT6"/>
      <c r="BDU6"/>
      <c r="BDV6"/>
      <c r="BDW6"/>
      <c r="BDX6"/>
      <c r="BDY6"/>
      <c r="BDZ6"/>
      <c r="BEA6"/>
      <c r="BEB6"/>
      <c r="BEC6"/>
      <c r="BED6"/>
      <c r="BEE6"/>
      <c r="BEF6"/>
      <c r="BEG6"/>
      <c r="BEH6"/>
      <c r="BEI6"/>
      <c r="BEJ6"/>
      <c r="BEK6"/>
      <c r="BEL6"/>
      <c r="BEM6"/>
      <c r="BEN6"/>
      <c r="BEO6"/>
      <c r="BEP6"/>
      <c r="BEQ6"/>
      <c r="BER6"/>
      <c r="BES6"/>
      <c r="BET6"/>
      <c r="BEU6"/>
      <c r="BEV6"/>
      <c r="BEW6"/>
      <c r="BEX6"/>
      <c r="BEY6"/>
      <c r="BEZ6"/>
      <c r="BFA6"/>
      <c r="BFB6"/>
      <c r="BFC6"/>
      <c r="BFD6"/>
      <c r="BFE6"/>
      <c r="BFF6"/>
      <c r="BFG6"/>
      <c r="BFH6"/>
      <c r="BFI6"/>
      <c r="BFJ6"/>
      <c r="BFK6"/>
      <c r="BFL6"/>
      <c r="BFM6"/>
      <c r="BFN6"/>
      <c r="BFO6"/>
      <c r="BFP6"/>
      <c r="BFQ6"/>
      <c r="BFR6"/>
      <c r="BFS6"/>
      <c r="BFT6"/>
      <c r="BFU6"/>
      <c r="BFV6"/>
      <c r="BFW6"/>
      <c r="BFX6"/>
      <c r="BFY6"/>
      <c r="BFZ6"/>
      <c r="BGA6"/>
      <c r="BGB6"/>
      <c r="BGC6"/>
      <c r="BGD6"/>
      <c r="BGE6"/>
      <c r="BGF6"/>
      <c r="BGG6"/>
      <c r="BGH6"/>
      <c r="BGI6"/>
      <c r="BGJ6"/>
      <c r="BGK6"/>
      <c r="BGL6"/>
      <c r="BGM6"/>
      <c r="BGN6"/>
      <c r="BGO6"/>
      <c r="BGP6"/>
      <c r="BGQ6"/>
      <c r="BGR6"/>
      <c r="BGS6"/>
      <c r="BGT6"/>
      <c r="BGU6"/>
      <c r="BGV6"/>
      <c r="BGW6"/>
      <c r="BGX6"/>
      <c r="BGY6"/>
      <c r="BGZ6"/>
      <c r="BHA6"/>
      <c r="BHB6"/>
      <c r="BHC6"/>
      <c r="BHD6"/>
      <c r="BHE6"/>
      <c r="BHF6"/>
      <c r="BHG6"/>
      <c r="BHH6"/>
      <c r="BHI6"/>
      <c r="BHJ6"/>
      <c r="BHK6"/>
      <c r="BHL6"/>
      <c r="BHM6"/>
      <c r="BHN6"/>
      <c r="BHO6"/>
      <c r="BHP6"/>
      <c r="BHQ6"/>
      <c r="BHR6"/>
      <c r="BHS6"/>
      <c r="BHT6"/>
      <c r="BHU6"/>
      <c r="BHV6"/>
      <c r="BHW6"/>
      <c r="BHX6"/>
      <c r="BHY6"/>
      <c r="BHZ6"/>
      <c r="BIA6"/>
      <c r="BIB6"/>
      <c r="BIC6"/>
      <c r="BID6"/>
      <c r="BIE6"/>
      <c r="BIF6"/>
      <c r="BIG6"/>
      <c r="BIH6"/>
      <c r="BII6"/>
      <c r="BIJ6"/>
      <c r="BIK6"/>
      <c r="BIL6"/>
      <c r="BIM6"/>
      <c r="BIN6"/>
      <c r="BIO6"/>
      <c r="BIP6"/>
      <c r="BIQ6"/>
      <c r="BIR6"/>
      <c r="BIS6"/>
      <c r="BIT6"/>
      <c r="BIU6"/>
      <c r="BIV6"/>
      <c r="BIW6"/>
      <c r="BIX6"/>
      <c r="BIY6"/>
      <c r="BIZ6"/>
      <c r="BJA6"/>
      <c r="BJB6"/>
      <c r="BJC6"/>
      <c r="BJD6"/>
      <c r="BJE6"/>
      <c r="BJF6"/>
      <c r="BJG6"/>
      <c r="BJH6"/>
      <c r="BJI6"/>
      <c r="BJJ6"/>
      <c r="BJK6"/>
      <c r="BJL6"/>
      <c r="BJM6"/>
      <c r="BJN6"/>
      <c r="BJO6"/>
      <c r="BJP6"/>
      <c r="BJQ6"/>
      <c r="BJR6"/>
      <c r="BJS6"/>
      <c r="BJT6"/>
      <c r="BJU6"/>
      <c r="BJV6"/>
      <c r="BJW6"/>
      <c r="BJX6"/>
      <c r="BJY6"/>
      <c r="BJZ6"/>
      <c r="BKA6"/>
      <c r="BKB6"/>
      <c r="BKC6"/>
      <c r="BKD6"/>
      <c r="BKE6"/>
      <c r="BKF6"/>
      <c r="BKG6"/>
      <c r="BKH6"/>
      <c r="BKI6"/>
      <c r="BKJ6"/>
      <c r="BKK6"/>
      <c r="BKL6"/>
      <c r="BKM6"/>
      <c r="BKN6"/>
      <c r="BKO6"/>
      <c r="BKP6"/>
      <c r="BKQ6"/>
      <c r="BKR6"/>
      <c r="BKS6"/>
      <c r="BKT6"/>
      <c r="BKU6"/>
      <c r="BKV6"/>
      <c r="BKW6"/>
      <c r="BKX6"/>
      <c r="BKY6"/>
      <c r="BKZ6"/>
      <c r="BLA6"/>
      <c r="BLB6"/>
      <c r="BLC6"/>
      <c r="BLD6"/>
      <c r="BLE6"/>
      <c r="BLF6"/>
      <c r="BLG6"/>
      <c r="BLH6"/>
      <c r="BLI6"/>
      <c r="BLJ6"/>
      <c r="BLK6"/>
      <c r="BLL6"/>
      <c r="BLM6"/>
      <c r="BLN6"/>
      <c r="BLO6"/>
      <c r="BLP6"/>
      <c r="BLQ6"/>
      <c r="BLR6"/>
      <c r="BLS6"/>
      <c r="BLT6"/>
      <c r="BLU6"/>
      <c r="BLV6"/>
      <c r="BLW6"/>
      <c r="BLX6"/>
      <c r="BLY6"/>
      <c r="BLZ6"/>
      <c r="BMA6"/>
      <c r="BMB6"/>
      <c r="BMC6"/>
      <c r="BMD6"/>
      <c r="BME6"/>
      <c r="BMF6"/>
      <c r="BMG6"/>
      <c r="BMH6"/>
      <c r="BMI6"/>
      <c r="BMJ6"/>
      <c r="BMK6"/>
      <c r="BML6"/>
      <c r="BMM6"/>
      <c r="BMN6"/>
      <c r="BMO6"/>
      <c r="BMP6"/>
      <c r="BMQ6"/>
      <c r="BMR6"/>
      <c r="BMS6"/>
      <c r="BMT6"/>
      <c r="BMU6"/>
      <c r="BMV6"/>
      <c r="BMW6"/>
      <c r="BMX6"/>
      <c r="BMY6"/>
      <c r="BMZ6"/>
      <c r="BNA6"/>
      <c r="BNB6"/>
      <c r="BNC6"/>
      <c r="BND6"/>
      <c r="BNE6"/>
      <c r="BNF6"/>
      <c r="BNG6"/>
      <c r="BNH6"/>
      <c r="BNI6"/>
      <c r="BNJ6"/>
      <c r="BNK6"/>
      <c r="BNL6"/>
      <c r="BNM6"/>
      <c r="BNN6"/>
      <c r="BNO6"/>
      <c r="BNP6"/>
      <c r="BNQ6"/>
      <c r="BNR6"/>
      <c r="BNS6"/>
      <c r="BNT6"/>
      <c r="BNU6"/>
      <c r="BNV6"/>
      <c r="BNW6"/>
      <c r="BNX6"/>
      <c r="BNY6"/>
      <c r="BNZ6"/>
      <c r="BOA6"/>
      <c r="BOB6"/>
      <c r="BOC6"/>
      <c r="BOD6"/>
      <c r="BOE6"/>
      <c r="BOF6"/>
      <c r="BOG6"/>
      <c r="BOH6"/>
      <c r="BOI6"/>
      <c r="BOJ6"/>
      <c r="BOK6"/>
      <c r="BOL6"/>
      <c r="BOM6"/>
      <c r="BON6"/>
      <c r="BOO6"/>
      <c r="BOP6"/>
      <c r="BOQ6"/>
      <c r="BOR6"/>
      <c r="BOS6"/>
      <c r="BOT6"/>
      <c r="BOU6"/>
      <c r="BOV6"/>
      <c r="BOW6"/>
      <c r="BOX6"/>
      <c r="BOY6"/>
      <c r="BOZ6"/>
      <c r="BPA6"/>
      <c r="BPB6"/>
      <c r="BPC6"/>
      <c r="BPD6"/>
      <c r="BPE6"/>
      <c r="BPF6"/>
      <c r="BPG6"/>
      <c r="BPH6"/>
      <c r="BPI6"/>
      <c r="BPJ6"/>
      <c r="BPK6"/>
      <c r="BPL6"/>
      <c r="BPM6"/>
      <c r="BPN6"/>
      <c r="BPO6"/>
      <c r="BPP6"/>
      <c r="BPQ6"/>
      <c r="BPR6"/>
      <c r="BPS6"/>
      <c r="BPT6"/>
      <c r="BPU6"/>
      <c r="BPV6"/>
      <c r="BPW6"/>
      <c r="BPX6"/>
      <c r="BPY6"/>
      <c r="BPZ6"/>
      <c r="BQA6"/>
      <c r="BQB6"/>
      <c r="BQC6"/>
      <c r="BQD6"/>
      <c r="BQE6"/>
      <c r="BQF6"/>
      <c r="BQG6"/>
      <c r="BQH6"/>
      <c r="BQI6"/>
      <c r="BQJ6"/>
      <c r="BQK6"/>
      <c r="BQL6"/>
      <c r="BQM6"/>
      <c r="BQN6"/>
      <c r="BQO6"/>
      <c r="BQP6"/>
      <c r="BQQ6"/>
      <c r="BQR6"/>
      <c r="BQS6"/>
      <c r="BQT6"/>
      <c r="BQU6"/>
      <c r="BQV6"/>
      <c r="BQW6"/>
      <c r="BQX6"/>
      <c r="BQY6"/>
      <c r="BQZ6"/>
      <c r="BRA6"/>
      <c r="BRB6"/>
      <c r="BRC6"/>
      <c r="BRD6"/>
      <c r="BRE6"/>
      <c r="BRF6"/>
      <c r="BRG6"/>
      <c r="BRH6"/>
      <c r="BRI6"/>
      <c r="BRJ6"/>
      <c r="BRK6"/>
      <c r="BRL6"/>
      <c r="BRM6"/>
      <c r="BRN6"/>
      <c r="BRO6"/>
      <c r="BRP6"/>
      <c r="BRQ6"/>
      <c r="BRR6"/>
      <c r="BRS6"/>
      <c r="BRT6"/>
      <c r="BRU6"/>
      <c r="BRV6"/>
      <c r="BRW6"/>
      <c r="BRX6"/>
      <c r="BRY6"/>
      <c r="BRZ6"/>
      <c r="BSA6"/>
      <c r="BSB6"/>
      <c r="BSC6"/>
      <c r="BSD6"/>
      <c r="BSE6"/>
      <c r="BSF6"/>
      <c r="BSG6"/>
      <c r="BSH6"/>
      <c r="BSI6"/>
      <c r="BSJ6"/>
      <c r="BSK6"/>
      <c r="BSL6"/>
      <c r="BSM6"/>
      <c r="BSN6"/>
      <c r="BSO6"/>
      <c r="BSP6"/>
      <c r="BSQ6"/>
      <c r="BSR6"/>
      <c r="BSS6"/>
      <c r="BST6"/>
      <c r="BSU6"/>
      <c r="BSV6"/>
      <c r="BSW6"/>
      <c r="BSX6"/>
      <c r="BSY6"/>
      <c r="BSZ6"/>
      <c r="BTA6"/>
      <c r="BTB6"/>
      <c r="BTC6"/>
      <c r="BTD6"/>
      <c r="BTE6"/>
      <c r="BTF6"/>
      <c r="BTG6"/>
      <c r="BTH6"/>
      <c r="BTI6"/>
      <c r="BTJ6"/>
      <c r="BTK6"/>
      <c r="BTL6"/>
      <c r="BTM6"/>
      <c r="BTN6"/>
      <c r="BTO6"/>
      <c r="BTP6"/>
      <c r="BTQ6"/>
      <c r="BTR6"/>
      <c r="BTS6"/>
      <c r="BTT6"/>
      <c r="BTU6"/>
      <c r="BTV6"/>
      <c r="BTW6"/>
      <c r="BTX6"/>
      <c r="BTY6"/>
      <c r="BTZ6"/>
      <c r="BUA6"/>
      <c r="BUB6"/>
      <c r="BUC6"/>
      <c r="BUD6"/>
      <c r="BUE6"/>
      <c r="BUF6"/>
      <c r="BUG6"/>
      <c r="BUH6"/>
      <c r="BUI6"/>
      <c r="BUJ6"/>
      <c r="BUK6"/>
      <c r="BUL6"/>
      <c r="BUM6"/>
      <c r="BUN6"/>
      <c r="BUO6"/>
      <c r="BUP6"/>
      <c r="BUQ6"/>
      <c r="BUR6"/>
      <c r="BUS6"/>
      <c r="BUT6"/>
      <c r="BUU6"/>
      <c r="BUV6"/>
      <c r="BUW6"/>
      <c r="BUX6"/>
      <c r="BUY6"/>
      <c r="BUZ6"/>
      <c r="BVA6"/>
      <c r="BVB6"/>
      <c r="BVC6"/>
      <c r="BVD6"/>
      <c r="BVE6"/>
      <c r="BVF6"/>
      <c r="BVG6"/>
      <c r="BVH6"/>
      <c r="BVI6"/>
      <c r="BVJ6"/>
      <c r="BVK6"/>
      <c r="BVL6"/>
      <c r="BVM6"/>
      <c r="BVN6"/>
      <c r="BVO6"/>
      <c r="BVP6"/>
      <c r="BVQ6"/>
      <c r="BVR6"/>
      <c r="BVS6"/>
      <c r="BVT6"/>
      <c r="BVU6"/>
      <c r="BVV6"/>
      <c r="BVW6"/>
      <c r="BVX6"/>
      <c r="BVY6"/>
      <c r="BVZ6"/>
      <c r="BWA6"/>
      <c r="BWB6"/>
      <c r="BWC6"/>
      <c r="BWD6"/>
      <c r="BWE6"/>
      <c r="BWF6"/>
      <c r="BWG6"/>
      <c r="BWH6"/>
      <c r="BWI6"/>
      <c r="BWJ6"/>
      <c r="BWK6"/>
      <c r="BWL6"/>
      <c r="BWM6"/>
      <c r="BWN6"/>
      <c r="BWO6"/>
      <c r="BWP6"/>
      <c r="BWQ6"/>
      <c r="BWR6"/>
      <c r="BWS6"/>
      <c r="BWT6"/>
      <c r="BWU6"/>
      <c r="BWV6"/>
      <c r="BWW6"/>
      <c r="BWX6"/>
      <c r="BWY6"/>
      <c r="BWZ6"/>
      <c r="BXA6"/>
      <c r="BXB6"/>
      <c r="BXC6"/>
      <c r="BXD6"/>
      <c r="BXE6"/>
      <c r="BXF6"/>
      <c r="BXG6"/>
      <c r="BXH6"/>
      <c r="BXI6"/>
      <c r="BXJ6"/>
      <c r="BXK6"/>
      <c r="BXL6"/>
      <c r="BXM6"/>
      <c r="BXN6"/>
      <c r="BXO6"/>
      <c r="BXP6"/>
      <c r="BXQ6"/>
      <c r="BXR6"/>
      <c r="BXS6"/>
      <c r="BXT6"/>
      <c r="BXU6"/>
      <c r="BXV6"/>
      <c r="BXW6"/>
      <c r="BXX6"/>
      <c r="BXY6"/>
      <c r="BXZ6"/>
      <c r="BYA6"/>
      <c r="BYB6"/>
      <c r="BYC6"/>
      <c r="BYD6"/>
      <c r="BYE6"/>
      <c r="BYF6"/>
      <c r="BYG6"/>
      <c r="BYH6"/>
      <c r="BYI6"/>
      <c r="BYJ6"/>
      <c r="BYK6"/>
      <c r="BYL6"/>
      <c r="BYM6"/>
      <c r="BYN6"/>
      <c r="BYO6"/>
      <c r="BYP6"/>
      <c r="BYQ6"/>
      <c r="BYR6"/>
      <c r="BYS6"/>
      <c r="BYT6"/>
      <c r="BYU6"/>
      <c r="BYV6"/>
      <c r="BYW6"/>
      <c r="BYX6"/>
      <c r="BYY6"/>
      <c r="BYZ6"/>
      <c r="BZA6"/>
      <c r="BZB6"/>
      <c r="BZC6"/>
      <c r="BZD6"/>
      <c r="BZE6"/>
      <c r="BZF6"/>
      <c r="BZG6"/>
      <c r="BZH6"/>
      <c r="BZI6"/>
      <c r="BZJ6"/>
      <c r="BZK6"/>
      <c r="BZL6"/>
      <c r="BZM6"/>
      <c r="BZN6"/>
      <c r="BZO6"/>
      <c r="BZP6"/>
      <c r="BZQ6"/>
      <c r="BZR6"/>
      <c r="BZS6"/>
      <c r="BZT6"/>
      <c r="BZU6"/>
      <c r="BZV6"/>
      <c r="BZW6"/>
      <c r="BZX6"/>
      <c r="BZY6"/>
      <c r="BZZ6"/>
      <c r="CAA6"/>
      <c r="CAB6"/>
      <c r="CAC6"/>
      <c r="CAD6"/>
      <c r="CAE6"/>
      <c r="CAF6"/>
      <c r="CAG6"/>
      <c r="CAH6"/>
      <c r="CAI6"/>
      <c r="CAJ6"/>
      <c r="CAK6"/>
      <c r="CAL6"/>
      <c r="CAM6"/>
      <c r="CAN6"/>
      <c r="CAO6"/>
      <c r="CAP6"/>
      <c r="CAQ6"/>
      <c r="CAR6"/>
      <c r="CAS6"/>
      <c r="CAT6"/>
      <c r="CAU6"/>
      <c r="CAV6"/>
      <c r="CAW6"/>
      <c r="CAX6"/>
      <c r="CAY6"/>
      <c r="CAZ6"/>
      <c r="CBA6"/>
      <c r="CBB6"/>
      <c r="CBC6"/>
      <c r="CBD6"/>
      <c r="CBE6"/>
      <c r="CBF6"/>
      <c r="CBG6"/>
      <c r="CBH6"/>
      <c r="CBI6"/>
      <c r="CBJ6"/>
      <c r="CBK6"/>
      <c r="CBL6"/>
      <c r="CBM6"/>
      <c r="CBN6"/>
      <c r="CBO6"/>
      <c r="CBP6"/>
      <c r="CBQ6"/>
      <c r="CBR6"/>
      <c r="CBS6"/>
      <c r="CBT6"/>
      <c r="CBU6"/>
      <c r="CBV6"/>
      <c r="CBW6"/>
      <c r="CBX6"/>
      <c r="CBY6"/>
      <c r="CBZ6"/>
      <c r="CCA6"/>
      <c r="CCB6"/>
      <c r="CCC6"/>
      <c r="CCD6"/>
      <c r="CCE6"/>
      <c r="CCF6"/>
      <c r="CCG6"/>
      <c r="CCH6"/>
      <c r="CCI6"/>
      <c r="CCJ6"/>
      <c r="CCK6"/>
      <c r="CCL6"/>
      <c r="CCM6"/>
      <c r="CCN6"/>
      <c r="CCO6"/>
      <c r="CCP6"/>
      <c r="CCQ6"/>
      <c r="CCR6"/>
      <c r="CCS6"/>
      <c r="CCT6"/>
      <c r="CCU6"/>
      <c r="CCV6"/>
      <c r="CCW6"/>
      <c r="CCX6"/>
      <c r="CCY6"/>
      <c r="CCZ6"/>
      <c r="CDA6"/>
      <c r="CDB6"/>
      <c r="CDC6"/>
      <c r="CDD6"/>
      <c r="CDE6"/>
      <c r="CDF6"/>
      <c r="CDG6"/>
      <c r="CDH6"/>
      <c r="CDI6"/>
      <c r="CDJ6"/>
      <c r="CDK6"/>
      <c r="CDL6"/>
      <c r="CDM6"/>
      <c r="CDN6"/>
      <c r="CDO6"/>
      <c r="CDP6"/>
      <c r="CDQ6"/>
      <c r="CDR6"/>
      <c r="CDS6"/>
      <c r="CDT6"/>
      <c r="CDU6"/>
      <c r="CDV6"/>
      <c r="CDW6"/>
      <c r="CDX6"/>
      <c r="CDY6"/>
      <c r="CDZ6"/>
      <c r="CEA6"/>
      <c r="CEB6"/>
      <c r="CEC6"/>
      <c r="CED6"/>
      <c r="CEE6"/>
      <c r="CEF6"/>
      <c r="CEG6"/>
      <c r="CEH6"/>
      <c r="CEI6"/>
      <c r="CEJ6"/>
      <c r="CEK6"/>
      <c r="CEL6"/>
      <c r="CEM6"/>
      <c r="CEN6"/>
      <c r="CEO6"/>
      <c r="CEP6"/>
      <c r="CEQ6"/>
      <c r="CER6"/>
      <c r="CES6"/>
      <c r="CET6"/>
      <c r="CEU6"/>
      <c r="CEV6"/>
      <c r="CEW6"/>
      <c r="CEX6"/>
      <c r="CEY6"/>
      <c r="CEZ6"/>
      <c r="CFA6"/>
      <c r="CFB6"/>
      <c r="CFC6"/>
      <c r="CFD6"/>
      <c r="CFE6"/>
      <c r="CFF6"/>
      <c r="CFG6"/>
      <c r="CFH6"/>
      <c r="CFI6"/>
      <c r="CFJ6"/>
      <c r="CFK6"/>
      <c r="CFL6"/>
      <c r="CFM6"/>
      <c r="CFN6"/>
      <c r="CFO6"/>
      <c r="CFP6"/>
      <c r="CFQ6"/>
      <c r="CFR6"/>
      <c r="CFS6"/>
      <c r="CFT6"/>
      <c r="CFU6"/>
      <c r="CFV6"/>
      <c r="CFW6"/>
      <c r="CFX6"/>
      <c r="CFY6"/>
      <c r="CFZ6"/>
      <c r="CGA6"/>
      <c r="CGB6"/>
      <c r="CGC6"/>
      <c r="CGD6"/>
      <c r="CGE6"/>
      <c r="CGF6"/>
      <c r="CGG6"/>
      <c r="CGH6"/>
      <c r="CGI6"/>
      <c r="CGJ6"/>
      <c r="CGK6"/>
      <c r="CGL6"/>
      <c r="CGM6"/>
      <c r="CGN6"/>
      <c r="CGO6"/>
      <c r="CGP6"/>
      <c r="CGQ6"/>
      <c r="CGR6"/>
      <c r="CGS6"/>
      <c r="CGT6"/>
      <c r="CGU6"/>
      <c r="CGV6"/>
      <c r="CGW6"/>
      <c r="CGX6"/>
      <c r="CGY6"/>
      <c r="CGZ6"/>
      <c r="CHA6"/>
      <c r="CHB6"/>
      <c r="CHC6"/>
      <c r="CHD6"/>
      <c r="CHE6"/>
      <c r="CHF6"/>
      <c r="CHG6"/>
      <c r="CHH6"/>
      <c r="CHI6"/>
      <c r="CHJ6"/>
      <c r="CHK6"/>
      <c r="CHL6"/>
      <c r="CHM6"/>
      <c r="CHN6"/>
      <c r="CHO6"/>
      <c r="CHP6"/>
      <c r="CHQ6"/>
      <c r="CHR6"/>
      <c r="CHS6"/>
      <c r="CHT6"/>
      <c r="CHU6"/>
      <c r="CHV6"/>
      <c r="CHW6"/>
      <c r="CHX6"/>
      <c r="CHY6"/>
      <c r="CHZ6"/>
      <c r="CIA6"/>
      <c r="CIB6"/>
      <c r="CIC6"/>
      <c r="CID6"/>
      <c r="CIE6"/>
      <c r="CIF6"/>
      <c r="CIG6"/>
      <c r="CIH6"/>
      <c r="CII6"/>
      <c r="CIJ6"/>
      <c r="CIK6"/>
      <c r="CIL6"/>
      <c r="CIM6"/>
      <c r="CIN6"/>
      <c r="CIO6"/>
      <c r="CIP6"/>
      <c r="CIQ6"/>
      <c r="CIR6"/>
      <c r="CIS6"/>
      <c r="CIT6"/>
      <c r="CIU6"/>
      <c r="CIV6"/>
      <c r="CIW6"/>
      <c r="CIX6"/>
      <c r="CIY6"/>
      <c r="CIZ6"/>
      <c r="CJA6"/>
      <c r="CJB6"/>
      <c r="CJC6"/>
      <c r="CJD6"/>
      <c r="CJE6"/>
      <c r="CJF6"/>
      <c r="CJG6"/>
      <c r="CJH6"/>
      <c r="CJI6"/>
      <c r="CJJ6"/>
      <c r="CJK6"/>
      <c r="CJL6"/>
      <c r="CJM6"/>
      <c r="CJN6"/>
      <c r="CJO6"/>
      <c r="CJP6"/>
      <c r="CJQ6"/>
      <c r="CJR6"/>
      <c r="CJS6"/>
      <c r="CJT6"/>
      <c r="CJU6"/>
      <c r="CJV6"/>
      <c r="CJW6"/>
      <c r="CJX6"/>
      <c r="CJY6"/>
      <c r="CJZ6"/>
      <c r="CKA6"/>
      <c r="CKB6"/>
      <c r="CKC6"/>
      <c r="CKD6"/>
      <c r="CKE6"/>
      <c r="CKF6"/>
      <c r="CKG6"/>
      <c r="CKH6"/>
      <c r="CKI6"/>
      <c r="CKJ6"/>
      <c r="CKK6"/>
      <c r="CKL6"/>
      <c r="CKM6"/>
      <c r="CKN6"/>
      <c r="CKO6"/>
      <c r="CKP6"/>
      <c r="CKQ6"/>
      <c r="CKR6"/>
      <c r="CKS6"/>
      <c r="CKT6"/>
      <c r="CKU6"/>
      <c r="CKV6"/>
      <c r="CKW6"/>
      <c r="CKX6"/>
      <c r="CKY6"/>
      <c r="CKZ6"/>
      <c r="CLA6"/>
      <c r="CLB6"/>
      <c r="CLC6"/>
      <c r="CLD6"/>
      <c r="CLE6"/>
      <c r="CLF6"/>
      <c r="CLG6"/>
      <c r="CLH6"/>
      <c r="CLI6"/>
      <c r="CLJ6"/>
      <c r="CLK6"/>
      <c r="CLL6"/>
      <c r="CLM6"/>
      <c r="CLN6"/>
      <c r="CLO6"/>
      <c r="CLP6"/>
      <c r="CLQ6"/>
      <c r="CLR6"/>
      <c r="CLS6"/>
      <c r="CLT6"/>
      <c r="CLU6"/>
      <c r="CLV6"/>
      <c r="CLW6"/>
      <c r="CLX6"/>
      <c r="CLY6"/>
      <c r="CLZ6"/>
      <c r="CMA6"/>
      <c r="CMB6"/>
      <c r="CMC6"/>
      <c r="CMD6"/>
      <c r="CME6"/>
      <c r="CMF6"/>
      <c r="CMG6"/>
      <c r="CMH6"/>
      <c r="CMI6"/>
      <c r="CMJ6"/>
      <c r="CMK6"/>
      <c r="CML6"/>
      <c r="CMM6"/>
      <c r="CMN6"/>
      <c r="CMO6"/>
      <c r="CMP6"/>
      <c r="CMQ6"/>
      <c r="CMR6"/>
      <c r="CMS6"/>
      <c r="CMT6"/>
      <c r="CMU6"/>
      <c r="CMV6"/>
      <c r="CMW6"/>
      <c r="CMX6"/>
      <c r="CMY6"/>
      <c r="CMZ6"/>
      <c r="CNA6"/>
      <c r="CNB6"/>
      <c r="CNC6"/>
      <c r="CND6"/>
      <c r="CNE6"/>
      <c r="CNF6"/>
      <c r="CNG6"/>
      <c r="CNH6"/>
      <c r="CNI6"/>
      <c r="CNJ6"/>
      <c r="CNK6"/>
      <c r="CNL6"/>
      <c r="CNM6"/>
      <c r="CNN6"/>
      <c r="CNO6"/>
      <c r="CNP6"/>
      <c r="CNQ6"/>
      <c r="CNR6"/>
      <c r="CNS6"/>
      <c r="CNT6"/>
      <c r="CNU6"/>
      <c r="CNV6"/>
      <c r="CNW6"/>
      <c r="CNX6"/>
      <c r="CNY6"/>
      <c r="CNZ6"/>
      <c r="COA6"/>
      <c r="COB6"/>
      <c r="COC6"/>
      <c r="COD6"/>
      <c r="COE6"/>
      <c r="COF6"/>
      <c r="COG6"/>
      <c r="COH6"/>
      <c r="COI6"/>
      <c r="COJ6"/>
      <c r="COK6"/>
      <c r="COL6"/>
      <c r="COM6"/>
      <c r="CON6"/>
      <c r="COO6"/>
      <c r="COP6"/>
      <c r="COQ6"/>
      <c r="COR6"/>
      <c r="COS6"/>
      <c r="COT6"/>
      <c r="COU6"/>
      <c r="COV6"/>
      <c r="COW6"/>
      <c r="COX6"/>
      <c r="COY6"/>
      <c r="COZ6"/>
      <c r="CPA6"/>
      <c r="CPB6"/>
      <c r="CPC6"/>
      <c r="CPD6"/>
      <c r="CPE6"/>
      <c r="CPF6"/>
      <c r="CPG6"/>
      <c r="CPH6"/>
      <c r="CPI6"/>
      <c r="CPJ6"/>
      <c r="CPK6"/>
      <c r="CPL6"/>
      <c r="CPM6"/>
      <c r="CPN6"/>
      <c r="CPO6"/>
      <c r="CPP6"/>
      <c r="CPQ6"/>
      <c r="CPR6"/>
      <c r="CPS6"/>
      <c r="CPT6"/>
      <c r="CPU6"/>
      <c r="CPV6"/>
      <c r="CPW6"/>
      <c r="CPX6"/>
      <c r="CPY6"/>
      <c r="CPZ6"/>
      <c r="CQA6"/>
      <c r="CQB6"/>
      <c r="CQC6"/>
      <c r="CQD6"/>
      <c r="CQE6"/>
      <c r="CQF6"/>
      <c r="CQG6"/>
      <c r="CQH6"/>
      <c r="CQI6"/>
      <c r="CQJ6"/>
      <c r="CQK6"/>
      <c r="CQL6"/>
      <c r="CQM6"/>
      <c r="CQN6"/>
      <c r="CQO6"/>
      <c r="CQP6"/>
      <c r="CQQ6"/>
      <c r="CQR6"/>
      <c r="CQS6"/>
      <c r="CQT6"/>
      <c r="CQU6"/>
      <c r="CQV6"/>
      <c r="CQW6"/>
      <c r="CQX6"/>
      <c r="CQY6"/>
      <c r="CQZ6"/>
      <c r="CRA6"/>
      <c r="CRB6"/>
      <c r="CRC6"/>
      <c r="CRD6"/>
      <c r="CRE6"/>
      <c r="CRF6"/>
      <c r="CRG6"/>
      <c r="CRH6"/>
      <c r="CRI6"/>
      <c r="CRJ6"/>
      <c r="CRK6"/>
      <c r="CRL6"/>
      <c r="CRM6"/>
      <c r="CRN6"/>
      <c r="CRO6"/>
      <c r="CRP6"/>
      <c r="CRQ6"/>
      <c r="CRR6"/>
      <c r="CRS6"/>
      <c r="CRT6"/>
      <c r="CRU6"/>
      <c r="CRV6"/>
      <c r="CRW6"/>
      <c r="CRX6"/>
      <c r="CRY6"/>
      <c r="CRZ6"/>
      <c r="CSA6"/>
      <c r="CSB6"/>
      <c r="CSC6"/>
      <c r="CSD6"/>
      <c r="CSE6"/>
      <c r="CSF6"/>
      <c r="CSG6"/>
      <c r="CSH6"/>
      <c r="CSI6"/>
      <c r="CSJ6"/>
      <c r="CSK6"/>
      <c r="CSL6"/>
      <c r="CSM6"/>
      <c r="CSN6"/>
      <c r="CSO6"/>
      <c r="CSP6"/>
      <c r="CSQ6"/>
      <c r="CSR6"/>
      <c r="CSS6"/>
      <c r="CST6"/>
      <c r="CSU6"/>
      <c r="CSV6"/>
      <c r="CSW6"/>
      <c r="CSX6"/>
      <c r="CSY6"/>
      <c r="CSZ6"/>
      <c r="CTA6"/>
      <c r="CTB6"/>
      <c r="CTC6"/>
      <c r="CTD6"/>
      <c r="CTE6"/>
      <c r="CTF6"/>
      <c r="CTG6"/>
      <c r="CTH6"/>
      <c r="CTI6"/>
      <c r="CTJ6"/>
      <c r="CTK6"/>
      <c r="CTL6"/>
      <c r="CTM6"/>
      <c r="CTN6"/>
      <c r="CTO6"/>
      <c r="CTP6"/>
      <c r="CTQ6"/>
      <c r="CTR6"/>
      <c r="CTS6"/>
      <c r="CTT6"/>
      <c r="CTU6"/>
      <c r="CTV6"/>
      <c r="CTW6"/>
      <c r="CTX6"/>
      <c r="CTY6"/>
      <c r="CTZ6"/>
      <c r="CUA6"/>
      <c r="CUB6"/>
      <c r="CUC6"/>
      <c r="CUD6"/>
      <c r="CUE6"/>
      <c r="CUF6"/>
      <c r="CUG6"/>
      <c r="CUH6"/>
      <c r="CUI6"/>
      <c r="CUJ6"/>
      <c r="CUK6"/>
      <c r="CUL6"/>
      <c r="CUM6"/>
      <c r="CUN6"/>
      <c r="CUO6"/>
      <c r="CUP6"/>
      <c r="CUQ6"/>
      <c r="CUR6"/>
      <c r="CUS6"/>
      <c r="CUT6"/>
      <c r="CUU6"/>
      <c r="CUV6"/>
      <c r="CUW6"/>
      <c r="CUX6"/>
      <c r="CUY6"/>
      <c r="CUZ6"/>
      <c r="CVA6"/>
      <c r="CVB6"/>
      <c r="CVC6"/>
      <c r="CVD6"/>
      <c r="CVE6"/>
      <c r="CVF6"/>
      <c r="CVG6"/>
      <c r="CVH6"/>
      <c r="CVI6"/>
      <c r="CVJ6"/>
      <c r="CVK6"/>
      <c r="CVL6"/>
      <c r="CVM6"/>
      <c r="CVN6"/>
      <c r="CVO6"/>
      <c r="CVP6"/>
      <c r="CVQ6"/>
      <c r="CVR6"/>
      <c r="CVS6"/>
      <c r="CVT6"/>
      <c r="CVU6"/>
      <c r="CVV6"/>
      <c r="CVW6"/>
      <c r="CVX6"/>
      <c r="CVY6"/>
      <c r="CVZ6"/>
      <c r="CWA6"/>
      <c r="CWB6"/>
      <c r="CWC6"/>
      <c r="CWD6"/>
      <c r="CWE6"/>
      <c r="CWF6"/>
      <c r="CWG6"/>
      <c r="CWH6"/>
      <c r="CWI6"/>
      <c r="CWJ6"/>
      <c r="CWK6"/>
      <c r="CWL6"/>
      <c r="CWM6"/>
      <c r="CWN6"/>
      <c r="CWO6"/>
      <c r="CWP6"/>
      <c r="CWQ6"/>
      <c r="CWR6"/>
      <c r="CWS6"/>
      <c r="CWT6"/>
      <c r="CWU6"/>
      <c r="CWV6"/>
      <c r="CWW6"/>
      <c r="CWX6"/>
      <c r="CWY6"/>
      <c r="CWZ6"/>
      <c r="CXA6"/>
      <c r="CXB6"/>
      <c r="CXC6"/>
      <c r="CXD6"/>
      <c r="CXE6"/>
      <c r="CXF6"/>
      <c r="CXG6"/>
      <c r="CXH6"/>
      <c r="CXI6"/>
      <c r="CXJ6"/>
      <c r="CXK6"/>
      <c r="CXL6"/>
      <c r="CXM6"/>
      <c r="CXN6"/>
      <c r="CXO6"/>
      <c r="CXP6"/>
      <c r="CXQ6"/>
      <c r="CXR6"/>
      <c r="CXS6"/>
      <c r="CXT6"/>
      <c r="CXU6"/>
      <c r="CXV6"/>
      <c r="CXW6"/>
      <c r="CXX6"/>
      <c r="CXY6"/>
      <c r="CXZ6"/>
      <c r="CYA6"/>
      <c r="CYB6"/>
      <c r="CYC6"/>
      <c r="CYD6"/>
      <c r="CYE6"/>
      <c r="CYF6"/>
      <c r="CYG6"/>
      <c r="CYH6"/>
      <c r="CYI6"/>
      <c r="CYJ6"/>
      <c r="CYK6"/>
      <c r="CYL6"/>
      <c r="CYM6"/>
      <c r="CYN6"/>
      <c r="CYO6"/>
      <c r="CYP6"/>
      <c r="CYQ6"/>
      <c r="CYR6"/>
      <c r="CYS6"/>
      <c r="CYT6"/>
      <c r="CYU6"/>
      <c r="CYV6"/>
      <c r="CYW6"/>
      <c r="CYX6"/>
      <c r="CYY6"/>
      <c r="CYZ6"/>
      <c r="CZA6"/>
      <c r="CZB6"/>
      <c r="CZC6"/>
      <c r="CZD6"/>
      <c r="CZE6"/>
      <c r="CZF6"/>
      <c r="CZG6"/>
      <c r="CZH6"/>
      <c r="CZI6"/>
      <c r="CZJ6"/>
      <c r="CZK6"/>
      <c r="CZL6"/>
      <c r="CZM6"/>
      <c r="CZN6"/>
      <c r="CZO6"/>
      <c r="CZP6"/>
      <c r="CZQ6"/>
      <c r="CZR6"/>
      <c r="CZS6"/>
      <c r="CZT6"/>
      <c r="CZU6"/>
      <c r="CZV6"/>
      <c r="CZW6"/>
      <c r="CZX6"/>
      <c r="CZY6"/>
      <c r="CZZ6"/>
      <c r="DAA6"/>
      <c r="DAB6"/>
      <c r="DAC6"/>
      <c r="DAD6"/>
      <c r="DAE6"/>
      <c r="DAF6"/>
      <c r="DAG6"/>
      <c r="DAH6"/>
      <c r="DAI6"/>
      <c r="DAJ6"/>
      <c r="DAK6"/>
      <c r="DAL6"/>
      <c r="DAM6"/>
      <c r="DAN6"/>
      <c r="DAO6"/>
      <c r="DAP6"/>
      <c r="DAQ6"/>
      <c r="DAR6"/>
      <c r="DAS6"/>
      <c r="DAT6"/>
      <c r="DAU6"/>
      <c r="DAV6"/>
      <c r="DAW6"/>
      <c r="DAX6"/>
      <c r="DAY6"/>
      <c r="DAZ6"/>
      <c r="DBA6"/>
      <c r="DBB6"/>
      <c r="DBC6"/>
      <c r="DBD6"/>
      <c r="DBE6"/>
      <c r="DBF6"/>
      <c r="DBG6"/>
      <c r="DBH6"/>
      <c r="DBI6"/>
      <c r="DBJ6"/>
      <c r="DBK6"/>
      <c r="DBL6"/>
      <c r="DBM6"/>
      <c r="DBN6"/>
      <c r="DBO6"/>
      <c r="DBP6"/>
      <c r="DBQ6"/>
      <c r="DBR6"/>
      <c r="DBS6"/>
      <c r="DBT6"/>
      <c r="DBU6"/>
      <c r="DBV6"/>
      <c r="DBW6"/>
      <c r="DBX6"/>
      <c r="DBY6"/>
      <c r="DBZ6"/>
      <c r="DCA6"/>
      <c r="DCB6"/>
      <c r="DCC6"/>
      <c r="DCD6"/>
      <c r="DCE6"/>
      <c r="DCF6"/>
      <c r="DCG6"/>
      <c r="DCH6"/>
      <c r="DCI6"/>
      <c r="DCJ6"/>
      <c r="DCK6"/>
      <c r="DCL6"/>
      <c r="DCM6"/>
      <c r="DCN6"/>
      <c r="DCO6"/>
      <c r="DCP6"/>
      <c r="DCQ6"/>
      <c r="DCR6"/>
      <c r="DCS6"/>
      <c r="DCT6"/>
      <c r="DCU6"/>
      <c r="DCV6"/>
      <c r="DCW6"/>
      <c r="DCX6"/>
      <c r="DCY6"/>
      <c r="DCZ6"/>
      <c r="DDA6"/>
      <c r="DDB6"/>
      <c r="DDC6"/>
      <c r="DDD6"/>
      <c r="DDE6"/>
      <c r="DDF6"/>
      <c r="DDG6"/>
      <c r="DDH6"/>
      <c r="DDI6"/>
      <c r="DDJ6"/>
      <c r="DDK6"/>
      <c r="DDL6"/>
      <c r="DDM6"/>
      <c r="DDN6"/>
      <c r="DDO6"/>
      <c r="DDP6"/>
      <c r="DDQ6"/>
      <c r="DDR6"/>
      <c r="DDS6"/>
      <c r="DDT6"/>
      <c r="DDU6"/>
      <c r="DDV6"/>
      <c r="DDW6"/>
      <c r="DDX6"/>
      <c r="DDY6"/>
      <c r="DDZ6"/>
      <c r="DEA6"/>
      <c r="DEB6"/>
      <c r="DEC6"/>
      <c r="DED6"/>
      <c r="DEE6"/>
      <c r="DEF6"/>
      <c r="DEG6"/>
      <c r="DEH6"/>
      <c r="DEI6"/>
      <c r="DEJ6"/>
      <c r="DEK6"/>
      <c r="DEL6"/>
      <c r="DEM6"/>
      <c r="DEN6"/>
      <c r="DEO6"/>
      <c r="DEP6"/>
      <c r="DEQ6"/>
      <c r="DER6"/>
      <c r="DES6"/>
      <c r="DET6"/>
      <c r="DEU6"/>
      <c r="DEV6"/>
      <c r="DEW6"/>
      <c r="DEX6"/>
      <c r="DEY6"/>
      <c r="DEZ6"/>
      <c r="DFA6"/>
      <c r="DFB6"/>
      <c r="DFC6"/>
      <c r="DFD6"/>
      <c r="DFE6"/>
      <c r="DFF6"/>
      <c r="DFG6"/>
      <c r="DFH6"/>
      <c r="DFI6"/>
      <c r="DFJ6"/>
      <c r="DFK6"/>
      <c r="DFL6"/>
      <c r="DFM6"/>
      <c r="DFN6"/>
      <c r="DFO6"/>
      <c r="DFP6"/>
      <c r="DFQ6"/>
      <c r="DFR6"/>
      <c r="DFS6"/>
      <c r="DFT6"/>
      <c r="DFU6"/>
      <c r="DFV6"/>
      <c r="DFW6"/>
      <c r="DFX6"/>
      <c r="DFY6"/>
      <c r="DFZ6"/>
      <c r="DGA6"/>
      <c r="DGB6"/>
      <c r="DGC6"/>
      <c r="DGD6"/>
      <c r="DGE6"/>
      <c r="DGF6"/>
      <c r="DGG6"/>
      <c r="DGH6"/>
      <c r="DGI6"/>
      <c r="DGJ6"/>
      <c r="DGK6"/>
      <c r="DGL6"/>
      <c r="DGM6"/>
      <c r="DGN6"/>
      <c r="DGO6"/>
      <c r="DGP6"/>
      <c r="DGQ6"/>
      <c r="DGR6"/>
      <c r="DGS6"/>
      <c r="DGT6"/>
      <c r="DGU6"/>
      <c r="DGV6"/>
      <c r="DGW6"/>
      <c r="DGX6"/>
      <c r="DGY6"/>
      <c r="DGZ6"/>
      <c r="DHA6"/>
      <c r="DHB6"/>
      <c r="DHC6"/>
      <c r="DHD6"/>
      <c r="DHE6"/>
      <c r="DHF6"/>
      <c r="DHG6"/>
      <c r="DHH6"/>
      <c r="DHI6"/>
      <c r="DHJ6"/>
      <c r="DHK6"/>
      <c r="DHL6"/>
      <c r="DHM6"/>
      <c r="DHN6"/>
      <c r="DHO6"/>
      <c r="DHP6"/>
      <c r="DHQ6"/>
      <c r="DHR6"/>
      <c r="DHS6"/>
      <c r="DHT6"/>
      <c r="DHU6"/>
      <c r="DHV6"/>
      <c r="DHW6"/>
      <c r="DHX6"/>
      <c r="DHY6"/>
      <c r="DHZ6"/>
      <c r="DIA6"/>
      <c r="DIB6"/>
      <c r="DIC6"/>
      <c r="DID6"/>
      <c r="DIE6"/>
      <c r="DIF6"/>
      <c r="DIG6"/>
      <c r="DIH6"/>
      <c r="DII6"/>
      <c r="DIJ6"/>
      <c r="DIK6"/>
      <c r="DIL6"/>
      <c r="DIM6"/>
      <c r="DIN6"/>
      <c r="DIO6"/>
      <c r="DIP6"/>
      <c r="DIQ6"/>
      <c r="DIR6"/>
      <c r="DIS6"/>
      <c r="DIT6"/>
      <c r="DIU6"/>
      <c r="DIV6"/>
      <c r="DIW6"/>
      <c r="DIX6"/>
      <c r="DIY6"/>
      <c r="DIZ6"/>
      <c r="DJA6"/>
      <c r="DJB6"/>
      <c r="DJC6"/>
      <c r="DJD6"/>
      <c r="DJE6"/>
      <c r="DJF6"/>
      <c r="DJG6"/>
      <c r="DJH6"/>
      <c r="DJI6"/>
      <c r="DJJ6"/>
      <c r="DJK6"/>
      <c r="DJL6"/>
      <c r="DJM6"/>
      <c r="DJN6"/>
      <c r="DJO6"/>
      <c r="DJP6"/>
      <c r="DJQ6"/>
      <c r="DJR6"/>
      <c r="DJS6"/>
      <c r="DJT6"/>
      <c r="DJU6"/>
      <c r="DJV6"/>
      <c r="DJW6"/>
      <c r="DJX6"/>
      <c r="DJY6"/>
      <c r="DJZ6"/>
      <c r="DKA6"/>
      <c r="DKB6"/>
      <c r="DKC6"/>
      <c r="DKD6"/>
      <c r="DKE6"/>
      <c r="DKF6"/>
      <c r="DKG6"/>
      <c r="DKH6"/>
      <c r="DKI6"/>
      <c r="DKJ6"/>
      <c r="DKK6"/>
      <c r="DKL6"/>
      <c r="DKM6"/>
      <c r="DKN6"/>
      <c r="DKO6"/>
      <c r="DKP6"/>
      <c r="DKQ6"/>
      <c r="DKR6"/>
      <c r="DKS6"/>
      <c r="DKT6"/>
      <c r="DKU6"/>
      <c r="DKV6"/>
      <c r="DKW6"/>
      <c r="DKX6"/>
      <c r="DKY6"/>
      <c r="DKZ6"/>
      <c r="DLA6"/>
      <c r="DLB6"/>
      <c r="DLC6"/>
      <c r="DLD6"/>
      <c r="DLE6"/>
      <c r="DLF6"/>
      <c r="DLG6"/>
      <c r="DLH6"/>
      <c r="DLI6"/>
      <c r="DLJ6"/>
      <c r="DLK6"/>
      <c r="DLL6"/>
      <c r="DLM6"/>
      <c r="DLN6"/>
      <c r="DLO6"/>
      <c r="DLP6"/>
      <c r="DLQ6"/>
      <c r="DLR6"/>
      <c r="DLS6"/>
      <c r="DLT6"/>
      <c r="DLU6"/>
      <c r="DLV6"/>
      <c r="DLW6"/>
      <c r="DLX6"/>
      <c r="DLY6"/>
      <c r="DLZ6"/>
      <c r="DMA6"/>
      <c r="DMB6"/>
      <c r="DMC6"/>
      <c r="DMD6"/>
      <c r="DME6"/>
      <c r="DMF6"/>
      <c r="DMG6"/>
      <c r="DMH6"/>
      <c r="DMI6"/>
      <c r="DMJ6"/>
      <c r="DMK6"/>
      <c r="DML6"/>
      <c r="DMM6"/>
      <c r="DMN6"/>
      <c r="DMO6"/>
      <c r="DMP6"/>
      <c r="DMQ6"/>
      <c r="DMR6"/>
      <c r="DMS6"/>
      <c r="DMT6"/>
      <c r="DMU6"/>
      <c r="DMV6"/>
      <c r="DMW6"/>
      <c r="DMX6"/>
      <c r="DMY6"/>
      <c r="DMZ6"/>
      <c r="DNA6"/>
      <c r="DNB6"/>
      <c r="DNC6"/>
      <c r="DND6"/>
      <c r="DNE6"/>
      <c r="DNF6"/>
      <c r="DNG6"/>
      <c r="DNH6"/>
      <c r="DNI6"/>
      <c r="DNJ6"/>
      <c r="DNK6"/>
      <c r="DNL6"/>
      <c r="DNM6"/>
      <c r="DNN6"/>
      <c r="DNO6"/>
      <c r="DNP6"/>
      <c r="DNQ6"/>
      <c r="DNR6"/>
      <c r="DNS6"/>
      <c r="DNT6"/>
      <c r="DNU6"/>
      <c r="DNV6"/>
      <c r="DNW6"/>
      <c r="DNX6"/>
      <c r="DNY6"/>
      <c r="DNZ6"/>
      <c r="DOA6"/>
      <c r="DOB6"/>
      <c r="DOC6"/>
      <c r="DOD6"/>
      <c r="DOE6"/>
      <c r="DOF6"/>
      <c r="DOG6"/>
      <c r="DOH6"/>
      <c r="DOI6"/>
      <c r="DOJ6"/>
      <c r="DOK6"/>
      <c r="DOL6"/>
      <c r="DOM6"/>
      <c r="DON6"/>
      <c r="DOO6"/>
      <c r="DOP6"/>
      <c r="DOQ6"/>
      <c r="DOR6"/>
      <c r="DOS6"/>
      <c r="DOT6"/>
      <c r="DOU6"/>
      <c r="DOV6"/>
      <c r="DOW6"/>
      <c r="DOX6"/>
      <c r="DOY6"/>
      <c r="DOZ6"/>
      <c r="DPA6"/>
      <c r="DPB6"/>
      <c r="DPC6"/>
      <c r="DPD6"/>
      <c r="DPE6"/>
      <c r="DPF6"/>
      <c r="DPG6"/>
      <c r="DPH6"/>
      <c r="DPI6"/>
      <c r="DPJ6"/>
      <c r="DPK6"/>
      <c r="DPL6"/>
      <c r="DPM6"/>
      <c r="DPN6"/>
      <c r="DPO6"/>
      <c r="DPP6"/>
      <c r="DPQ6"/>
      <c r="DPR6"/>
      <c r="DPS6"/>
      <c r="DPT6"/>
      <c r="DPU6"/>
      <c r="DPV6"/>
      <c r="DPW6"/>
      <c r="DPX6"/>
      <c r="DPY6"/>
      <c r="DPZ6"/>
      <c r="DQA6"/>
      <c r="DQB6"/>
      <c r="DQC6"/>
      <c r="DQD6"/>
      <c r="DQE6"/>
      <c r="DQF6"/>
      <c r="DQG6"/>
      <c r="DQH6"/>
      <c r="DQI6"/>
      <c r="DQJ6"/>
      <c r="DQK6"/>
      <c r="DQL6"/>
      <c r="DQM6"/>
      <c r="DQN6"/>
      <c r="DQO6"/>
      <c r="DQP6"/>
      <c r="DQQ6"/>
      <c r="DQR6"/>
      <c r="DQS6"/>
      <c r="DQT6"/>
      <c r="DQU6"/>
      <c r="DQV6"/>
      <c r="DQW6"/>
      <c r="DQX6"/>
      <c r="DQY6"/>
      <c r="DQZ6"/>
      <c r="DRA6"/>
      <c r="DRB6"/>
      <c r="DRC6"/>
      <c r="DRD6"/>
      <c r="DRE6"/>
      <c r="DRF6"/>
      <c r="DRG6"/>
      <c r="DRH6"/>
      <c r="DRI6"/>
      <c r="DRJ6"/>
      <c r="DRK6"/>
      <c r="DRL6"/>
      <c r="DRM6"/>
      <c r="DRN6"/>
      <c r="DRO6"/>
      <c r="DRP6"/>
      <c r="DRQ6"/>
      <c r="DRR6"/>
      <c r="DRS6"/>
      <c r="DRT6"/>
      <c r="DRU6"/>
      <c r="DRV6"/>
      <c r="DRW6"/>
      <c r="DRX6"/>
      <c r="DRY6"/>
      <c r="DRZ6"/>
      <c r="DSA6"/>
      <c r="DSB6"/>
      <c r="DSC6"/>
      <c r="DSD6"/>
      <c r="DSE6"/>
      <c r="DSF6"/>
      <c r="DSG6"/>
      <c r="DSH6"/>
      <c r="DSI6"/>
      <c r="DSJ6"/>
      <c r="DSK6"/>
      <c r="DSL6"/>
      <c r="DSM6"/>
      <c r="DSN6"/>
      <c r="DSO6"/>
      <c r="DSP6"/>
      <c r="DSQ6"/>
      <c r="DSR6"/>
      <c r="DSS6"/>
      <c r="DST6"/>
      <c r="DSU6"/>
      <c r="DSV6"/>
      <c r="DSW6"/>
      <c r="DSX6"/>
      <c r="DSY6"/>
      <c r="DSZ6"/>
      <c r="DTA6"/>
      <c r="DTB6"/>
      <c r="DTC6"/>
      <c r="DTD6"/>
      <c r="DTE6"/>
      <c r="DTF6"/>
      <c r="DTG6"/>
      <c r="DTH6"/>
      <c r="DTI6"/>
      <c r="DTJ6"/>
      <c r="DTK6"/>
      <c r="DTL6"/>
      <c r="DTM6"/>
      <c r="DTN6"/>
      <c r="DTO6"/>
      <c r="DTP6"/>
      <c r="DTQ6"/>
      <c r="DTR6"/>
      <c r="DTS6"/>
      <c r="DTT6"/>
      <c r="DTU6"/>
      <c r="DTV6"/>
      <c r="DTW6"/>
      <c r="DTX6"/>
      <c r="DTY6"/>
      <c r="DTZ6"/>
      <c r="DUA6"/>
      <c r="DUB6"/>
      <c r="DUC6"/>
      <c r="DUD6"/>
      <c r="DUE6"/>
      <c r="DUF6"/>
      <c r="DUG6"/>
      <c r="DUH6"/>
      <c r="DUI6"/>
      <c r="DUJ6"/>
      <c r="DUK6"/>
      <c r="DUL6"/>
      <c r="DUM6"/>
      <c r="DUN6"/>
      <c r="DUO6"/>
      <c r="DUP6"/>
      <c r="DUQ6"/>
      <c r="DUR6"/>
      <c r="DUS6"/>
      <c r="DUT6"/>
      <c r="DUU6"/>
      <c r="DUV6"/>
      <c r="DUW6"/>
      <c r="DUX6"/>
      <c r="DUY6"/>
      <c r="DUZ6"/>
      <c r="DVA6"/>
      <c r="DVB6"/>
      <c r="DVC6"/>
      <c r="DVD6"/>
      <c r="DVE6"/>
      <c r="DVF6"/>
      <c r="DVG6"/>
      <c r="DVH6"/>
      <c r="DVI6"/>
      <c r="DVJ6"/>
      <c r="DVK6"/>
      <c r="DVL6"/>
      <c r="DVM6"/>
      <c r="DVN6"/>
      <c r="DVO6"/>
      <c r="DVP6"/>
      <c r="DVQ6"/>
      <c r="DVR6"/>
      <c r="DVS6"/>
      <c r="DVT6"/>
      <c r="DVU6"/>
      <c r="DVV6"/>
      <c r="DVW6"/>
      <c r="DVX6"/>
      <c r="DVY6"/>
      <c r="DVZ6"/>
      <c r="DWA6"/>
      <c r="DWB6"/>
      <c r="DWC6"/>
      <c r="DWD6"/>
      <c r="DWE6"/>
      <c r="DWF6"/>
      <c r="DWG6"/>
      <c r="DWH6"/>
      <c r="DWI6"/>
      <c r="DWJ6"/>
      <c r="DWK6"/>
      <c r="DWL6"/>
      <c r="DWM6"/>
      <c r="DWN6"/>
      <c r="DWO6"/>
      <c r="DWP6"/>
      <c r="DWQ6"/>
      <c r="DWR6"/>
      <c r="DWS6"/>
      <c r="DWT6"/>
      <c r="DWU6"/>
      <c r="DWV6"/>
      <c r="DWW6"/>
      <c r="DWX6"/>
      <c r="DWY6"/>
      <c r="DWZ6"/>
      <c r="DXA6"/>
      <c r="DXB6"/>
      <c r="DXC6"/>
      <c r="DXD6"/>
      <c r="DXE6"/>
      <c r="DXF6"/>
      <c r="DXG6"/>
      <c r="DXH6"/>
      <c r="DXI6"/>
      <c r="DXJ6"/>
      <c r="DXK6"/>
      <c r="DXL6"/>
      <c r="DXM6"/>
      <c r="DXN6"/>
      <c r="DXO6"/>
      <c r="DXP6"/>
      <c r="DXQ6"/>
      <c r="DXR6"/>
      <c r="DXS6"/>
      <c r="DXT6"/>
      <c r="DXU6"/>
      <c r="DXV6"/>
      <c r="DXW6"/>
      <c r="DXX6"/>
      <c r="DXY6"/>
      <c r="DXZ6"/>
      <c r="DYA6"/>
      <c r="DYB6"/>
      <c r="DYC6"/>
      <c r="DYD6"/>
      <c r="DYE6"/>
      <c r="DYF6"/>
      <c r="DYG6"/>
      <c r="DYH6"/>
      <c r="DYI6"/>
      <c r="DYJ6"/>
      <c r="DYK6"/>
      <c r="DYL6"/>
      <c r="DYM6"/>
      <c r="DYN6"/>
      <c r="DYO6"/>
      <c r="DYP6"/>
      <c r="DYQ6"/>
      <c r="DYR6"/>
      <c r="DYS6"/>
      <c r="DYT6"/>
      <c r="DYU6"/>
      <c r="DYV6"/>
      <c r="DYW6"/>
      <c r="DYX6"/>
      <c r="DYY6"/>
      <c r="DYZ6"/>
      <c r="DZA6"/>
      <c r="DZB6"/>
      <c r="DZC6"/>
      <c r="DZD6"/>
      <c r="DZE6"/>
      <c r="DZF6"/>
      <c r="DZG6"/>
      <c r="DZH6"/>
      <c r="DZI6"/>
      <c r="DZJ6"/>
      <c r="DZK6"/>
      <c r="DZL6"/>
      <c r="DZM6"/>
      <c r="DZN6"/>
      <c r="DZO6"/>
      <c r="DZP6"/>
      <c r="DZQ6"/>
      <c r="DZR6"/>
      <c r="DZS6"/>
      <c r="DZT6"/>
      <c r="DZU6"/>
      <c r="DZV6"/>
      <c r="DZW6"/>
      <c r="DZX6"/>
      <c r="DZY6"/>
      <c r="DZZ6"/>
      <c r="EAA6"/>
      <c r="EAB6"/>
      <c r="EAC6"/>
      <c r="EAD6"/>
      <c r="EAE6"/>
      <c r="EAF6"/>
      <c r="EAG6"/>
      <c r="EAH6"/>
      <c r="EAI6"/>
      <c r="EAJ6"/>
      <c r="EAK6"/>
      <c r="EAL6"/>
      <c r="EAM6"/>
      <c r="EAN6"/>
      <c r="EAO6"/>
      <c r="EAP6"/>
      <c r="EAQ6"/>
      <c r="EAR6"/>
      <c r="EAS6"/>
      <c r="EAT6"/>
      <c r="EAU6"/>
      <c r="EAV6"/>
      <c r="EAW6"/>
      <c r="EAX6"/>
      <c r="EAY6"/>
      <c r="EAZ6"/>
      <c r="EBA6"/>
      <c r="EBB6"/>
      <c r="EBC6"/>
      <c r="EBD6"/>
      <c r="EBE6"/>
      <c r="EBF6"/>
      <c r="EBG6"/>
      <c r="EBH6"/>
      <c r="EBI6"/>
      <c r="EBJ6"/>
      <c r="EBK6"/>
      <c r="EBL6"/>
      <c r="EBM6"/>
      <c r="EBN6"/>
      <c r="EBO6"/>
      <c r="EBP6"/>
      <c r="EBQ6"/>
      <c r="EBR6"/>
      <c r="EBS6"/>
      <c r="EBT6"/>
      <c r="EBU6"/>
      <c r="EBV6"/>
      <c r="EBW6"/>
      <c r="EBX6"/>
      <c r="EBY6"/>
      <c r="EBZ6"/>
      <c r="ECA6"/>
      <c r="ECB6"/>
      <c r="ECC6"/>
      <c r="ECD6"/>
      <c r="ECE6"/>
      <c r="ECF6"/>
      <c r="ECG6"/>
      <c r="ECH6"/>
      <c r="ECI6"/>
      <c r="ECJ6"/>
      <c r="ECK6"/>
      <c r="ECL6"/>
      <c r="ECM6"/>
      <c r="ECN6"/>
      <c r="ECO6"/>
      <c r="ECP6"/>
      <c r="ECQ6"/>
      <c r="ECR6"/>
      <c r="ECS6"/>
      <c r="ECT6"/>
      <c r="ECU6"/>
      <c r="ECV6"/>
      <c r="ECW6"/>
      <c r="ECX6"/>
      <c r="ECY6"/>
      <c r="ECZ6"/>
      <c r="EDA6"/>
      <c r="EDB6"/>
      <c r="EDC6"/>
      <c r="EDD6"/>
      <c r="EDE6"/>
      <c r="EDF6"/>
      <c r="EDG6"/>
      <c r="EDH6"/>
      <c r="EDI6"/>
      <c r="EDJ6"/>
      <c r="EDK6"/>
      <c r="EDL6"/>
      <c r="EDM6"/>
      <c r="EDN6"/>
      <c r="EDO6"/>
      <c r="EDP6"/>
      <c r="EDQ6"/>
      <c r="EDR6"/>
      <c r="EDS6"/>
      <c r="EDT6"/>
      <c r="EDU6"/>
      <c r="EDV6"/>
      <c r="EDW6"/>
      <c r="EDX6"/>
      <c r="EDY6"/>
      <c r="EDZ6"/>
      <c r="EEA6"/>
      <c r="EEB6"/>
      <c r="EEC6"/>
      <c r="EED6"/>
      <c r="EEE6"/>
      <c r="EEF6"/>
      <c r="EEG6"/>
      <c r="EEH6"/>
      <c r="EEI6"/>
      <c r="EEJ6"/>
      <c r="EEK6"/>
      <c r="EEL6"/>
      <c r="EEM6"/>
      <c r="EEN6"/>
      <c r="EEO6"/>
      <c r="EEP6"/>
      <c r="EEQ6"/>
      <c r="EER6"/>
      <c r="EES6"/>
      <c r="EET6"/>
      <c r="EEU6"/>
      <c r="EEV6"/>
      <c r="EEW6"/>
      <c r="EEX6"/>
      <c r="EEY6"/>
      <c r="EEZ6"/>
      <c r="EFA6"/>
      <c r="EFB6"/>
      <c r="EFC6"/>
      <c r="EFD6"/>
      <c r="EFE6"/>
      <c r="EFF6"/>
      <c r="EFG6"/>
      <c r="EFH6"/>
      <c r="EFI6"/>
      <c r="EFJ6"/>
      <c r="EFK6"/>
      <c r="EFL6"/>
      <c r="EFM6"/>
      <c r="EFN6"/>
      <c r="EFO6"/>
      <c r="EFP6"/>
      <c r="EFQ6"/>
      <c r="EFR6"/>
      <c r="EFS6"/>
      <c r="EFT6"/>
      <c r="EFU6"/>
      <c r="EFV6"/>
      <c r="EFW6"/>
      <c r="EFX6"/>
      <c r="EFY6"/>
      <c r="EFZ6"/>
      <c r="EGA6"/>
      <c r="EGB6"/>
      <c r="EGC6"/>
      <c r="EGD6"/>
      <c r="EGE6"/>
      <c r="EGF6"/>
      <c r="EGG6"/>
      <c r="EGH6"/>
      <c r="EGI6"/>
      <c r="EGJ6"/>
      <c r="EGK6"/>
      <c r="EGL6"/>
      <c r="EGM6"/>
      <c r="EGN6"/>
      <c r="EGO6"/>
      <c r="EGP6"/>
      <c r="EGQ6"/>
      <c r="EGR6"/>
      <c r="EGS6"/>
      <c r="EGT6"/>
      <c r="EGU6"/>
      <c r="EGV6"/>
      <c r="EGW6"/>
      <c r="EGX6"/>
      <c r="EGY6"/>
      <c r="EGZ6"/>
      <c r="EHA6"/>
      <c r="EHB6"/>
      <c r="EHC6"/>
      <c r="EHD6"/>
      <c r="EHE6"/>
      <c r="EHF6"/>
      <c r="EHG6"/>
      <c r="EHH6"/>
      <c r="EHI6"/>
      <c r="EHJ6"/>
      <c r="EHK6"/>
      <c r="EHL6"/>
      <c r="EHM6"/>
      <c r="EHN6"/>
      <c r="EHO6"/>
      <c r="EHP6"/>
      <c r="EHQ6"/>
      <c r="EHR6"/>
      <c r="EHS6"/>
      <c r="EHT6"/>
      <c r="EHU6"/>
      <c r="EHV6"/>
      <c r="EHW6"/>
      <c r="EHX6"/>
      <c r="EHY6"/>
      <c r="EHZ6"/>
      <c r="EIA6"/>
      <c r="EIB6"/>
      <c r="EIC6"/>
      <c r="EID6"/>
      <c r="EIE6"/>
      <c r="EIF6"/>
      <c r="EIG6"/>
      <c r="EIH6"/>
      <c r="EII6"/>
      <c r="EIJ6"/>
      <c r="EIK6"/>
      <c r="EIL6"/>
      <c r="EIM6"/>
      <c r="EIN6"/>
      <c r="EIO6"/>
      <c r="EIP6"/>
      <c r="EIQ6"/>
      <c r="EIR6"/>
      <c r="EIS6"/>
      <c r="EIT6"/>
      <c r="EIU6"/>
      <c r="EIV6"/>
      <c r="EIW6"/>
      <c r="EIX6"/>
      <c r="EIY6"/>
      <c r="EIZ6"/>
      <c r="EJA6"/>
      <c r="EJB6"/>
      <c r="EJC6"/>
      <c r="EJD6"/>
      <c r="EJE6"/>
      <c r="EJF6"/>
      <c r="EJG6"/>
      <c r="EJH6"/>
      <c r="EJI6"/>
      <c r="EJJ6"/>
      <c r="EJK6"/>
      <c r="EJL6"/>
      <c r="EJM6"/>
      <c r="EJN6"/>
      <c r="EJO6"/>
      <c r="EJP6"/>
      <c r="EJQ6"/>
      <c r="EJR6"/>
      <c r="EJS6"/>
      <c r="EJT6"/>
      <c r="EJU6"/>
      <c r="EJV6"/>
      <c r="EJW6"/>
      <c r="EJX6"/>
      <c r="EJY6"/>
      <c r="EJZ6"/>
      <c r="EKA6"/>
      <c r="EKB6"/>
      <c r="EKC6"/>
      <c r="EKD6"/>
      <c r="EKE6"/>
      <c r="EKF6"/>
      <c r="EKG6"/>
      <c r="EKH6"/>
      <c r="EKI6"/>
      <c r="EKJ6"/>
      <c r="EKK6"/>
      <c r="EKL6"/>
      <c r="EKM6"/>
      <c r="EKN6"/>
      <c r="EKO6"/>
      <c r="EKP6"/>
      <c r="EKQ6"/>
      <c r="EKR6"/>
      <c r="EKS6"/>
      <c r="EKT6"/>
      <c r="EKU6"/>
      <c r="EKV6"/>
      <c r="EKW6"/>
      <c r="EKX6"/>
      <c r="EKY6"/>
      <c r="EKZ6"/>
      <c r="ELA6"/>
      <c r="ELB6"/>
      <c r="ELC6"/>
      <c r="ELD6"/>
      <c r="ELE6"/>
      <c r="ELF6"/>
      <c r="ELG6"/>
      <c r="ELH6"/>
      <c r="ELI6"/>
      <c r="ELJ6"/>
      <c r="ELK6"/>
      <c r="ELL6"/>
      <c r="ELM6"/>
      <c r="ELN6"/>
      <c r="ELO6"/>
      <c r="ELP6"/>
      <c r="ELQ6"/>
      <c r="ELR6"/>
      <c r="ELS6"/>
      <c r="ELT6"/>
      <c r="ELU6"/>
      <c r="ELV6"/>
      <c r="ELW6"/>
      <c r="ELX6"/>
      <c r="ELY6"/>
      <c r="ELZ6"/>
      <c r="EMA6"/>
      <c r="EMB6"/>
      <c r="EMC6"/>
      <c r="EMD6"/>
      <c r="EME6"/>
      <c r="EMF6"/>
      <c r="EMG6"/>
      <c r="EMH6"/>
      <c r="EMI6"/>
      <c r="EMJ6"/>
      <c r="EMK6"/>
      <c r="EML6"/>
      <c r="EMM6"/>
      <c r="EMN6"/>
      <c r="EMO6"/>
      <c r="EMP6"/>
      <c r="EMQ6"/>
      <c r="EMR6"/>
      <c r="EMS6"/>
      <c r="EMT6"/>
      <c r="EMU6"/>
      <c r="EMV6"/>
      <c r="EMW6"/>
      <c r="EMX6"/>
      <c r="EMY6"/>
      <c r="EMZ6"/>
      <c r="ENA6"/>
      <c r="ENB6"/>
      <c r="ENC6"/>
      <c r="END6"/>
      <c r="ENE6"/>
      <c r="ENF6"/>
      <c r="ENG6"/>
      <c r="ENH6"/>
      <c r="ENI6"/>
      <c r="ENJ6"/>
      <c r="ENK6"/>
      <c r="ENL6"/>
      <c r="ENM6"/>
      <c r="ENN6"/>
      <c r="ENO6"/>
      <c r="ENP6"/>
      <c r="ENQ6"/>
      <c r="ENR6"/>
      <c r="ENS6"/>
      <c r="ENT6"/>
      <c r="ENU6"/>
      <c r="ENV6"/>
      <c r="ENW6"/>
      <c r="ENX6"/>
      <c r="ENY6"/>
      <c r="ENZ6"/>
      <c r="EOA6"/>
      <c r="EOB6"/>
      <c r="EOC6"/>
      <c r="EOD6"/>
      <c r="EOE6"/>
      <c r="EOF6"/>
      <c r="EOG6"/>
      <c r="EOH6"/>
      <c r="EOI6"/>
      <c r="EOJ6"/>
      <c r="EOK6"/>
      <c r="EOL6"/>
      <c r="EOM6"/>
      <c r="EON6"/>
      <c r="EOO6"/>
      <c r="EOP6"/>
      <c r="EOQ6"/>
      <c r="EOR6"/>
      <c r="EOS6"/>
      <c r="EOT6"/>
      <c r="EOU6"/>
      <c r="EOV6"/>
      <c r="EOW6"/>
      <c r="EOX6"/>
      <c r="EOY6"/>
      <c r="EOZ6"/>
      <c r="EPA6"/>
      <c r="EPB6"/>
      <c r="EPC6"/>
      <c r="EPD6"/>
      <c r="EPE6"/>
      <c r="EPF6"/>
      <c r="EPG6"/>
      <c r="EPH6"/>
      <c r="EPI6"/>
      <c r="EPJ6"/>
      <c r="EPK6"/>
      <c r="EPL6"/>
      <c r="EPM6"/>
      <c r="EPN6"/>
      <c r="EPO6"/>
      <c r="EPP6"/>
      <c r="EPQ6"/>
      <c r="EPR6"/>
      <c r="EPS6"/>
      <c r="EPT6"/>
      <c r="EPU6"/>
      <c r="EPV6"/>
      <c r="EPW6"/>
      <c r="EPX6"/>
      <c r="EPY6"/>
      <c r="EPZ6"/>
      <c r="EQA6"/>
      <c r="EQB6"/>
      <c r="EQC6"/>
      <c r="EQD6"/>
      <c r="EQE6"/>
      <c r="EQF6"/>
      <c r="EQG6"/>
      <c r="EQH6"/>
      <c r="EQI6"/>
      <c r="EQJ6"/>
      <c r="EQK6"/>
      <c r="EQL6"/>
      <c r="EQM6"/>
      <c r="EQN6"/>
      <c r="EQO6"/>
      <c r="EQP6"/>
      <c r="EQQ6"/>
      <c r="EQR6"/>
      <c r="EQS6"/>
      <c r="EQT6"/>
      <c r="EQU6"/>
      <c r="EQV6"/>
      <c r="EQW6"/>
      <c r="EQX6"/>
      <c r="EQY6"/>
      <c r="EQZ6"/>
      <c r="ERA6"/>
      <c r="ERB6"/>
      <c r="ERC6"/>
      <c r="ERD6"/>
      <c r="ERE6"/>
      <c r="ERF6"/>
      <c r="ERG6"/>
      <c r="ERH6"/>
      <c r="ERI6"/>
      <c r="ERJ6"/>
      <c r="ERK6"/>
      <c r="ERL6"/>
      <c r="ERM6"/>
      <c r="ERN6"/>
      <c r="ERO6"/>
      <c r="ERP6"/>
      <c r="ERQ6"/>
      <c r="ERR6"/>
      <c r="ERS6"/>
      <c r="ERT6"/>
      <c r="ERU6"/>
      <c r="ERV6"/>
      <c r="ERW6"/>
      <c r="ERX6"/>
      <c r="ERY6"/>
      <c r="ERZ6"/>
      <c r="ESA6"/>
      <c r="ESB6"/>
      <c r="ESC6"/>
      <c r="ESD6"/>
      <c r="ESE6"/>
      <c r="ESF6"/>
      <c r="ESG6"/>
      <c r="ESH6"/>
      <c r="ESI6"/>
      <c r="ESJ6"/>
      <c r="ESK6"/>
      <c r="ESL6"/>
      <c r="ESM6"/>
      <c r="ESN6"/>
      <c r="ESO6"/>
      <c r="ESP6"/>
      <c r="ESQ6"/>
      <c r="ESR6"/>
      <c r="ESS6"/>
      <c r="EST6"/>
      <c r="ESU6"/>
      <c r="ESV6"/>
      <c r="ESW6"/>
      <c r="ESX6"/>
      <c r="ESY6"/>
      <c r="ESZ6"/>
      <c r="ETA6"/>
      <c r="ETB6"/>
      <c r="ETC6"/>
      <c r="ETD6"/>
      <c r="ETE6"/>
      <c r="ETF6"/>
      <c r="ETG6"/>
      <c r="ETH6"/>
      <c r="ETI6"/>
      <c r="ETJ6"/>
      <c r="ETK6"/>
      <c r="ETL6"/>
      <c r="ETM6"/>
      <c r="ETN6"/>
      <c r="ETO6"/>
      <c r="ETP6"/>
      <c r="ETQ6"/>
      <c r="ETR6"/>
      <c r="ETS6"/>
      <c r="ETT6"/>
      <c r="ETU6"/>
      <c r="ETV6"/>
      <c r="ETW6"/>
      <c r="ETX6"/>
      <c r="ETY6"/>
      <c r="ETZ6"/>
      <c r="EUA6"/>
      <c r="EUB6"/>
      <c r="EUC6"/>
      <c r="EUD6"/>
      <c r="EUE6"/>
      <c r="EUF6"/>
      <c r="EUG6"/>
      <c r="EUH6"/>
      <c r="EUI6"/>
      <c r="EUJ6"/>
      <c r="EUK6"/>
      <c r="EUL6"/>
      <c r="EUM6"/>
      <c r="EUN6"/>
      <c r="EUO6"/>
      <c r="EUP6"/>
      <c r="EUQ6"/>
      <c r="EUR6"/>
      <c r="EUS6"/>
      <c r="EUT6"/>
      <c r="EUU6"/>
      <c r="EUV6"/>
      <c r="EUW6"/>
      <c r="EUX6"/>
      <c r="EUY6"/>
      <c r="EUZ6"/>
      <c r="EVA6"/>
      <c r="EVB6"/>
      <c r="EVC6"/>
      <c r="EVD6"/>
      <c r="EVE6"/>
      <c r="EVF6"/>
      <c r="EVG6"/>
      <c r="EVH6"/>
      <c r="EVI6"/>
      <c r="EVJ6"/>
      <c r="EVK6"/>
      <c r="EVL6"/>
      <c r="EVM6"/>
      <c r="EVN6"/>
      <c r="EVO6"/>
      <c r="EVP6"/>
      <c r="EVQ6"/>
      <c r="EVR6"/>
      <c r="EVS6"/>
      <c r="EVT6"/>
      <c r="EVU6"/>
      <c r="EVV6"/>
      <c r="EVW6"/>
      <c r="EVX6"/>
      <c r="EVY6"/>
      <c r="EVZ6"/>
      <c r="EWA6"/>
      <c r="EWB6"/>
      <c r="EWC6"/>
      <c r="EWD6"/>
      <c r="EWE6"/>
      <c r="EWF6"/>
      <c r="EWG6"/>
      <c r="EWH6"/>
      <c r="EWI6"/>
      <c r="EWJ6"/>
      <c r="EWK6"/>
      <c r="EWL6"/>
      <c r="EWM6"/>
      <c r="EWN6"/>
      <c r="EWO6"/>
      <c r="EWP6"/>
      <c r="EWQ6"/>
      <c r="EWR6"/>
      <c r="EWS6"/>
      <c r="EWT6"/>
      <c r="EWU6"/>
      <c r="EWV6"/>
      <c r="EWW6"/>
      <c r="EWX6"/>
      <c r="EWY6"/>
      <c r="EWZ6"/>
      <c r="EXA6"/>
      <c r="EXB6"/>
      <c r="EXC6"/>
      <c r="EXD6"/>
      <c r="EXE6"/>
      <c r="EXF6"/>
      <c r="EXG6"/>
      <c r="EXH6"/>
      <c r="EXI6"/>
      <c r="EXJ6"/>
      <c r="EXK6"/>
      <c r="EXL6"/>
      <c r="EXM6"/>
      <c r="EXN6"/>
      <c r="EXO6"/>
      <c r="EXP6"/>
      <c r="EXQ6"/>
      <c r="EXR6"/>
      <c r="EXS6"/>
      <c r="EXT6"/>
      <c r="EXU6"/>
      <c r="EXV6"/>
      <c r="EXW6"/>
      <c r="EXX6"/>
      <c r="EXY6"/>
      <c r="EXZ6"/>
      <c r="EYA6"/>
      <c r="EYB6"/>
      <c r="EYC6"/>
      <c r="EYD6"/>
      <c r="EYE6"/>
      <c r="EYF6"/>
      <c r="EYG6"/>
      <c r="EYH6"/>
      <c r="EYI6"/>
      <c r="EYJ6"/>
      <c r="EYK6"/>
      <c r="EYL6"/>
      <c r="EYM6"/>
      <c r="EYN6"/>
      <c r="EYO6"/>
      <c r="EYP6"/>
      <c r="EYQ6"/>
      <c r="EYR6"/>
      <c r="EYS6"/>
      <c r="EYT6"/>
      <c r="EYU6"/>
      <c r="EYV6"/>
      <c r="EYW6"/>
      <c r="EYX6"/>
      <c r="EYY6"/>
      <c r="EYZ6"/>
      <c r="EZA6"/>
      <c r="EZB6"/>
      <c r="EZC6"/>
      <c r="EZD6"/>
      <c r="EZE6"/>
      <c r="EZF6"/>
      <c r="EZG6"/>
      <c r="EZH6"/>
      <c r="EZI6"/>
      <c r="EZJ6"/>
      <c r="EZK6"/>
      <c r="EZL6"/>
      <c r="EZM6"/>
      <c r="EZN6"/>
      <c r="EZO6"/>
      <c r="EZP6"/>
      <c r="EZQ6"/>
      <c r="EZR6"/>
      <c r="EZS6"/>
      <c r="EZT6"/>
      <c r="EZU6"/>
      <c r="EZV6"/>
      <c r="EZW6"/>
      <c r="EZX6"/>
      <c r="EZY6"/>
      <c r="EZZ6"/>
      <c r="FAA6"/>
      <c r="FAB6"/>
      <c r="FAC6"/>
      <c r="FAD6"/>
      <c r="FAE6"/>
      <c r="FAF6"/>
      <c r="FAG6"/>
      <c r="FAH6"/>
      <c r="FAI6"/>
      <c r="FAJ6"/>
      <c r="FAK6"/>
      <c r="FAL6"/>
      <c r="FAM6"/>
      <c r="FAN6"/>
      <c r="FAO6"/>
      <c r="FAP6"/>
      <c r="FAQ6"/>
      <c r="FAR6"/>
      <c r="FAS6"/>
      <c r="FAT6"/>
      <c r="FAU6"/>
      <c r="FAV6"/>
      <c r="FAW6"/>
      <c r="FAX6"/>
      <c r="FAY6"/>
      <c r="FAZ6"/>
      <c r="FBA6"/>
      <c r="FBB6"/>
      <c r="FBC6"/>
      <c r="FBD6"/>
      <c r="FBE6"/>
      <c r="FBF6"/>
      <c r="FBG6"/>
      <c r="FBH6"/>
      <c r="FBI6"/>
      <c r="FBJ6"/>
      <c r="FBK6"/>
      <c r="FBL6"/>
      <c r="FBM6"/>
      <c r="FBN6"/>
      <c r="FBO6"/>
      <c r="FBP6"/>
      <c r="FBQ6"/>
      <c r="FBR6"/>
      <c r="FBS6"/>
      <c r="FBT6"/>
      <c r="FBU6"/>
      <c r="FBV6"/>
      <c r="FBW6"/>
      <c r="FBX6"/>
      <c r="FBY6"/>
      <c r="FBZ6"/>
      <c r="FCA6"/>
      <c r="FCB6"/>
      <c r="FCC6"/>
      <c r="FCD6"/>
      <c r="FCE6"/>
      <c r="FCF6"/>
      <c r="FCG6"/>
      <c r="FCH6"/>
      <c r="FCI6"/>
      <c r="FCJ6"/>
      <c r="FCK6"/>
      <c r="FCL6"/>
      <c r="FCM6"/>
      <c r="FCN6"/>
      <c r="FCO6"/>
      <c r="FCP6"/>
      <c r="FCQ6"/>
      <c r="FCR6"/>
      <c r="FCS6"/>
      <c r="FCT6"/>
      <c r="FCU6"/>
      <c r="FCV6"/>
      <c r="FCW6"/>
      <c r="FCX6"/>
      <c r="FCY6"/>
      <c r="FCZ6"/>
      <c r="FDA6"/>
      <c r="FDB6"/>
      <c r="FDC6"/>
      <c r="FDD6"/>
      <c r="FDE6"/>
      <c r="FDF6"/>
      <c r="FDG6"/>
      <c r="FDH6"/>
      <c r="FDI6"/>
      <c r="FDJ6"/>
      <c r="FDK6"/>
      <c r="FDL6"/>
      <c r="FDM6"/>
      <c r="FDN6"/>
      <c r="FDO6"/>
      <c r="FDP6"/>
      <c r="FDQ6"/>
      <c r="FDR6"/>
      <c r="FDS6"/>
      <c r="FDT6"/>
      <c r="FDU6"/>
      <c r="FDV6"/>
      <c r="FDW6"/>
      <c r="FDX6"/>
      <c r="FDY6"/>
      <c r="FDZ6"/>
      <c r="FEA6"/>
      <c r="FEB6"/>
      <c r="FEC6"/>
      <c r="FED6"/>
      <c r="FEE6"/>
      <c r="FEF6"/>
      <c r="FEG6"/>
      <c r="FEH6"/>
      <c r="FEI6"/>
      <c r="FEJ6"/>
      <c r="FEK6"/>
      <c r="FEL6"/>
      <c r="FEM6"/>
      <c r="FEN6"/>
      <c r="FEO6"/>
      <c r="FEP6"/>
      <c r="FEQ6"/>
      <c r="FER6"/>
      <c r="FES6"/>
      <c r="FET6"/>
      <c r="FEU6"/>
      <c r="FEV6"/>
      <c r="FEW6"/>
      <c r="FEX6"/>
      <c r="FEY6"/>
      <c r="FEZ6"/>
      <c r="FFA6"/>
      <c r="FFB6"/>
      <c r="FFC6"/>
      <c r="FFD6"/>
      <c r="FFE6"/>
      <c r="FFF6"/>
      <c r="FFG6"/>
      <c r="FFH6"/>
      <c r="FFI6"/>
      <c r="FFJ6"/>
      <c r="FFK6"/>
      <c r="FFL6"/>
      <c r="FFM6"/>
      <c r="FFN6"/>
      <c r="FFO6"/>
      <c r="FFP6"/>
      <c r="FFQ6"/>
      <c r="FFR6"/>
      <c r="FFS6"/>
      <c r="FFT6"/>
      <c r="FFU6"/>
      <c r="FFV6"/>
      <c r="FFW6"/>
      <c r="FFX6"/>
      <c r="FFY6"/>
      <c r="FFZ6"/>
      <c r="FGA6"/>
      <c r="FGB6"/>
      <c r="FGC6"/>
      <c r="FGD6"/>
      <c r="FGE6"/>
      <c r="FGF6"/>
      <c r="FGG6"/>
      <c r="FGH6"/>
      <c r="FGI6"/>
      <c r="FGJ6"/>
      <c r="FGK6"/>
      <c r="FGL6"/>
      <c r="FGM6"/>
      <c r="FGN6"/>
      <c r="FGO6"/>
      <c r="FGP6"/>
      <c r="FGQ6"/>
      <c r="FGR6"/>
      <c r="FGS6"/>
      <c r="FGT6"/>
      <c r="FGU6"/>
      <c r="FGV6"/>
      <c r="FGW6"/>
      <c r="FGX6"/>
      <c r="FGY6"/>
      <c r="FGZ6"/>
      <c r="FHA6"/>
      <c r="FHB6"/>
      <c r="FHC6"/>
      <c r="FHD6"/>
      <c r="FHE6"/>
      <c r="FHF6"/>
      <c r="FHG6"/>
      <c r="FHH6"/>
      <c r="FHI6"/>
      <c r="FHJ6"/>
      <c r="FHK6"/>
      <c r="FHL6"/>
      <c r="FHM6"/>
      <c r="FHN6"/>
      <c r="FHO6"/>
      <c r="FHP6"/>
      <c r="FHQ6"/>
      <c r="FHR6"/>
      <c r="FHS6"/>
      <c r="FHT6"/>
      <c r="FHU6"/>
      <c r="FHV6"/>
      <c r="FHW6"/>
      <c r="FHX6"/>
      <c r="FHY6"/>
      <c r="FHZ6"/>
      <c r="FIA6"/>
      <c r="FIB6"/>
      <c r="FIC6"/>
      <c r="FID6"/>
      <c r="FIE6"/>
      <c r="FIF6"/>
      <c r="FIG6"/>
      <c r="FIH6"/>
      <c r="FII6"/>
      <c r="FIJ6"/>
      <c r="FIK6"/>
      <c r="FIL6"/>
      <c r="FIM6"/>
      <c r="FIN6"/>
      <c r="FIO6"/>
      <c r="FIP6"/>
      <c r="FIQ6"/>
      <c r="FIR6"/>
      <c r="FIS6"/>
      <c r="FIT6"/>
      <c r="FIU6"/>
      <c r="FIV6"/>
      <c r="FIW6"/>
      <c r="FIX6"/>
      <c r="FIY6"/>
      <c r="FIZ6"/>
      <c r="FJA6"/>
      <c r="FJB6"/>
      <c r="FJC6"/>
      <c r="FJD6"/>
      <c r="FJE6"/>
      <c r="FJF6"/>
      <c r="FJG6"/>
      <c r="FJH6"/>
      <c r="FJI6"/>
      <c r="FJJ6"/>
      <c r="FJK6"/>
      <c r="FJL6"/>
      <c r="FJM6"/>
      <c r="FJN6"/>
      <c r="FJO6"/>
      <c r="FJP6"/>
      <c r="FJQ6"/>
      <c r="FJR6"/>
      <c r="FJS6"/>
      <c r="FJT6"/>
      <c r="FJU6"/>
      <c r="FJV6"/>
      <c r="FJW6"/>
      <c r="FJX6"/>
      <c r="FJY6"/>
      <c r="FJZ6"/>
      <c r="FKA6"/>
      <c r="FKB6"/>
      <c r="FKC6"/>
      <c r="FKD6"/>
      <c r="FKE6"/>
      <c r="FKF6"/>
      <c r="FKG6"/>
      <c r="FKH6"/>
      <c r="FKI6"/>
      <c r="FKJ6"/>
      <c r="FKK6"/>
      <c r="FKL6"/>
      <c r="FKM6"/>
      <c r="FKN6"/>
      <c r="FKO6"/>
      <c r="FKP6"/>
      <c r="FKQ6"/>
      <c r="FKR6"/>
      <c r="FKS6"/>
      <c r="FKT6"/>
      <c r="FKU6"/>
      <c r="FKV6"/>
      <c r="FKW6"/>
      <c r="FKX6"/>
      <c r="FKY6"/>
      <c r="FKZ6"/>
      <c r="FLA6"/>
      <c r="FLB6"/>
      <c r="FLC6"/>
      <c r="FLD6"/>
      <c r="FLE6"/>
      <c r="FLF6"/>
      <c r="FLG6"/>
      <c r="FLH6"/>
      <c r="FLI6"/>
      <c r="FLJ6"/>
      <c r="FLK6"/>
      <c r="FLL6"/>
      <c r="FLM6"/>
      <c r="FLN6"/>
      <c r="FLO6"/>
      <c r="FLP6"/>
      <c r="FLQ6"/>
      <c r="FLR6"/>
      <c r="FLS6"/>
      <c r="FLT6"/>
      <c r="FLU6"/>
      <c r="FLV6"/>
      <c r="FLW6"/>
      <c r="FLX6"/>
      <c r="FLY6"/>
      <c r="FLZ6"/>
      <c r="FMA6"/>
      <c r="FMB6"/>
      <c r="FMC6"/>
      <c r="FMD6"/>
      <c r="FME6"/>
      <c r="FMF6"/>
      <c r="FMG6"/>
      <c r="FMH6"/>
      <c r="FMI6"/>
      <c r="FMJ6"/>
      <c r="FMK6"/>
      <c r="FML6"/>
      <c r="FMM6"/>
      <c r="FMN6"/>
      <c r="FMO6"/>
      <c r="FMP6"/>
      <c r="FMQ6"/>
      <c r="FMR6"/>
      <c r="FMS6"/>
      <c r="FMT6"/>
      <c r="FMU6"/>
      <c r="FMV6"/>
      <c r="FMW6"/>
      <c r="FMX6"/>
      <c r="FMY6"/>
      <c r="FMZ6"/>
      <c r="FNA6"/>
      <c r="FNB6"/>
      <c r="FNC6"/>
      <c r="FND6"/>
      <c r="FNE6"/>
      <c r="FNF6"/>
      <c r="FNG6"/>
      <c r="FNH6"/>
      <c r="FNI6"/>
      <c r="FNJ6"/>
      <c r="FNK6"/>
      <c r="FNL6"/>
      <c r="FNM6"/>
      <c r="FNN6"/>
      <c r="FNO6"/>
      <c r="FNP6"/>
      <c r="FNQ6"/>
      <c r="FNR6"/>
      <c r="FNS6"/>
      <c r="FNT6"/>
      <c r="FNU6"/>
      <c r="FNV6"/>
      <c r="FNW6"/>
      <c r="FNX6"/>
      <c r="FNY6"/>
      <c r="FNZ6"/>
      <c r="FOA6"/>
      <c r="FOB6"/>
      <c r="FOC6"/>
      <c r="FOD6"/>
      <c r="FOE6"/>
      <c r="FOF6"/>
      <c r="FOG6"/>
      <c r="FOH6"/>
      <c r="FOI6"/>
      <c r="FOJ6"/>
      <c r="FOK6"/>
      <c r="FOL6"/>
      <c r="FOM6"/>
      <c r="FON6"/>
      <c r="FOO6"/>
      <c r="FOP6"/>
      <c r="FOQ6"/>
      <c r="FOR6"/>
      <c r="FOS6"/>
      <c r="FOT6"/>
      <c r="FOU6"/>
      <c r="FOV6"/>
      <c r="FOW6"/>
      <c r="FOX6"/>
      <c r="FOY6"/>
      <c r="FOZ6"/>
      <c r="FPA6"/>
      <c r="FPB6"/>
      <c r="FPC6"/>
      <c r="FPD6"/>
      <c r="FPE6"/>
      <c r="FPF6"/>
      <c r="FPG6"/>
      <c r="FPH6"/>
      <c r="FPI6"/>
      <c r="FPJ6"/>
      <c r="FPK6"/>
      <c r="FPL6"/>
      <c r="FPM6"/>
      <c r="FPN6"/>
      <c r="FPO6"/>
      <c r="FPP6"/>
      <c r="FPQ6"/>
      <c r="FPR6"/>
      <c r="FPS6"/>
      <c r="FPT6"/>
      <c r="FPU6"/>
      <c r="FPV6"/>
      <c r="FPW6"/>
      <c r="FPX6"/>
      <c r="FPY6"/>
      <c r="FPZ6"/>
      <c r="FQA6"/>
      <c r="FQB6"/>
      <c r="FQC6"/>
      <c r="FQD6"/>
      <c r="FQE6"/>
      <c r="FQF6"/>
      <c r="FQG6"/>
      <c r="FQH6"/>
      <c r="FQI6"/>
      <c r="FQJ6"/>
      <c r="FQK6"/>
      <c r="FQL6"/>
      <c r="FQM6"/>
      <c r="FQN6"/>
      <c r="FQO6"/>
      <c r="FQP6"/>
      <c r="FQQ6"/>
      <c r="FQR6"/>
      <c r="FQS6"/>
      <c r="FQT6"/>
      <c r="FQU6"/>
      <c r="FQV6"/>
      <c r="FQW6"/>
      <c r="FQX6"/>
      <c r="FQY6"/>
      <c r="FQZ6"/>
      <c r="FRA6"/>
      <c r="FRB6"/>
      <c r="FRC6"/>
      <c r="FRD6"/>
      <c r="FRE6"/>
      <c r="FRF6"/>
      <c r="FRG6"/>
      <c r="FRH6"/>
      <c r="FRI6"/>
      <c r="FRJ6"/>
      <c r="FRK6"/>
      <c r="FRL6"/>
      <c r="FRM6"/>
      <c r="FRN6"/>
      <c r="FRO6"/>
      <c r="FRP6"/>
      <c r="FRQ6"/>
      <c r="FRR6"/>
      <c r="FRS6"/>
      <c r="FRT6"/>
      <c r="FRU6"/>
      <c r="FRV6"/>
      <c r="FRW6"/>
      <c r="FRX6"/>
      <c r="FRY6"/>
      <c r="FRZ6"/>
      <c r="FSA6"/>
      <c r="FSB6"/>
      <c r="FSC6"/>
      <c r="FSD6"/>
      <c r="FSE6"/>
      <c r="FSF6"/>
      <c r="FSG6"/>
      <c r="FSH6"/>
      <c r="FSI6"/>
      <c r="FSJ6"/>
      <c r="FSK6"/>
      <c r="FSL6"/>
      <c r="FSM6"/>
      <c r="FSN6"/>
      <c r="FSO6"/>
      <c r="FSP6"/>
      <c r="FSQ6"/>
      <c r="FSR6"/>
      <c r="FSS6"/>
      <c r="FST6"/>
      <c r="FSU6"/>
      <c r="FSV6"/>
      <c r="FSW6"/>
      <c r="FSX6"/>
      <c r="FSY6"/>
      <c r="FSZ6"/>
      <c r="FTA6"/>
      <c r="FTB6"/>
      <c r="FTC6"/>
      <c r="FTD6"/>
      <c r="FTE6"/>
      <c r="FTF6"/>
      <c r="FTG6"/>
      <c r="FTH6"/>
      <c r="FTI6"/>
      <c r="FTJ6"/>
      <c r="FTK6"/>
      <c r="FTL6"/>
      <c r="FTM6"/>
      <c r="FTN6"/>
      <c r="FTO6"/>
      <c r="FTP6"/>
      <c r="FTQ6"/>
      <c r="FTR6"/>
      <c r="FTS6"/>
      <c r="FTT6"/>
      <c r="FTU6"/>
      <c r="FTV6"/>
      <c r="FTW6"/>
      <c r="FTX6"/>
      <c r="FTY6"/>
      <c r="FTZ6"/>
      <c r="FUA6"/>
      <c r="FUB6"/>
      <c r="FUC6"/>
      <c r="FUD6"/>
      <c r="FUE6"/>
      <c r="FUF6"/>
      <c r="FUG6"/>
      <c r="FUH6"/>
      <c r="FUI6"/>
      <c r="FUJ6"/>
      <c r="FUK6"/>
      <c r="FUL6"/>
      <c r="FUM6"/>
      <c r="FUN6"/>
      <c r="FUO6"/>
      <c r="FUP6"/>
      <c r="FUQ6"/>
      <c r="FUR6"/>
      <c r="FUS6"/>
      <c r="FUT6"/>
      <c r="FUU6"/>
      <c r="FUV6"/>
      <c r="FUW6"/>
      <c r="FUX6"/>
      <c r="FUY6"/>
      <c r="FUZ6"/>
      <c r="FVA6"/>
      <c r="FVB6"/>
      <c r="FVC6"/>
      <c r="FVD6"/>
      <c r="FVE6"/>
      <c r="FVF6"/>
      <c r="FVG6"/>
      <c r="FVH6"/>
      <c r="FVI6"/>
      <c r="FVJ6"/>
      <c r="FVK6"/>
      <c r="FVL6"/>
      <c r="FVM6"/>
      <c r="FVN6"/>
      <c r="FVO6"/>
      <c r="FVP6"/>
      <c r="FVQ6"/>
      <c r="FVR6"/>
      <c r="FVS6"/>
      <c r="FVT6"/>
      <c r="FVU6"/>
      <c r="FVV6"/>
      <c r="FVW6"/>
      <c r="FVX6"/>
      <c r="FVY6"/>
      <c r="FVZ6"/>
      <c r="FWA6"/>
      <c r="FWB6"/>
      <c r="FWC6"/>
      <c r="FWD6"/>
      <c r="FWE6"/>
      <c r="FWF6"/>
      <c r="FWG6"/>
      <c r="FWH6"/>
      <c r="FWI6"/>
      <c r="FWJ6"/>
      <c r="FWK6"/>
      <c r="FWL6"/>
      <c r="FWM6"/>
      <c r="FWN6"/>
      <c r="FWO6"/>
      <c r="FWP6"/>
      <c r="FWQ6"/>
      <c r="FWR6"/>
      <c r="FWS6"/>
      <c r="FWT6"/>
      <c r="FWU6"/>
      <c r="FWV6"/>
      <c r="FWW6"/>
      <c r="FWX6"/>
      <c r="FWY6"/>
      <c r="FWZ6"/>
      <c r="FXA6"/>
      <c r="FXB6"/>
      <c r="FXC6"/>
      <c r="FXD6"/>
      <c r="FXE6"/>
      <c r="FXF6"/>
      <c r="FXG6"/>
      <c r="FXH6"/>
      <c r="FXI6"/>
      <c r="FXJ6"/>
      <c r="FXK6"/>
      <c r="FXL6"/>
      <c r="FXM6"/>
      <c r="FXN6"/>
      <c r="FXO6"/>
      <c r="FXP6"/>
      <c r="FXQ6"/>
      <c r="FXR6"/>
      <c r="FXS6"/>
      <c r="FXT6"/>
      <c r="FXU6"/>
      <c r="FXV6"/>
      <c r="FXW6"/>
      <c r="FXX6"/>
      <c r="FXY6"/>
      <c r="FXZ6"/>
      <c r="FYA6"/>
      <c r="FYB6"/>
      <c r="FYC6"/>
      <c r="FYD6"/>
      <c r="FYE6"/>
      <c r="FYF6"/>
      <c r="FYG6"/>
      <c r="FYH6"/>
      <c r="FYI6"/>
      <c r="FYJ6"/>
      <c r="FYK6"/>
      <c r="FYL6"/>
      <c r="FYM6"/>
      <c r="FYN6"/>
      <c r="FYO6"/>
      <c r="FYP6"/>
      <c r="FYQ6"/>
      <c r="FYR6"/>
      <c r="FYS6"/>
      <c r="FYT6"/>
      <c r="FYU6"/>
      <c r="FYV6"/>
      <c r="FYW6"/>
      <c r="FYX6"/>
      <c r="FYY6"/>
      <c r="FYZ6"/>
      <c r="FZA6"/>
      <c r="FZB6"/>
      <c r="FZC6"/>
      <c r="FZD6"/>
      <c r="FZE6"/>
      <c r="FZF6"/>
      <c r="FZG6"/>
      <c r="FZH6"/>
      <c r="FZI6"/>
      <c r="FZJ6"/>
      <c r="FZK6"/>
      <c r="FZL6"/>
      <c r="FZM6"/>
      <c r="FZN6"/>
      <c r="FZO6"/>
      <c r="FZP6"/>
      <c r="FZQ6"/>
      <c r="FZR6"/>
      <c r="FZS6"/>
      <c r="FZT6"/>
      <c r="FZU6"/>
      <c r="FZV6"/>
      <c r="FZW6"/>
      <c r="FZX6"/>
      <c r="FZY6"/>
      <c r="FZZ6"/>
      <c r="GAA6"/>
      <c r="GAB6"/>
      <c r="GAC6"/>
      <c r="GAD6"/>
      <c r="GAE6"/>
      <c r="GAF6"/>
      <c r="GAG6"/>
      <c r="GAH6"/>
      <c r="GAI6"/>
      <c r="GAJ6"/>
      <c r="GAK6"/>
      <c r="GAL6"/>
      <c r="GAM6"/>
      <c r="GAN6"/>
      <c r="GAO6"/>
      <c r="GAP6"/>
      <c r="GAQ6"/>
      <c r="GAR6"/>
      <c r="GAS6"/>
      <c r="GAT6"/>
      <c r="GAU6"/>
      <c r="GAV6"/>
      <c r="GAW6"/>
      <c r="GAX6"/>
      <c r="GAY6"/>
      <c r="GAZ6"/>
      <c r="GBA6"/>
      <c r="GBB6"/>
      <c r="GBC6"/>
      <c r="GBD6"/>
      <c r="GBE6"/>
      <c r="GBF6"/>
      <c r="GBG6"/>
      <c r="GBH6"/>
      <c r="GBI6"/>
      <c r="GBJ6"/>
      <c r="GBK6"/>
      <c r="GBL6"/>
      <c r="GBM6"/>
      <c r="GBN6"/>
      <c r="GBO6"/>
      <c r="GBP6"/>
      <c r="GBQ6"/>
      <c r="GBR6"/>
      <c r="GBS6"/>
      <c r="GBT6"/>
      <c r="GBU6"/>
      <c r="GBV6"/>
      <c r="GBW6"/>
      <c r="GBX6"/>
      <c r="GBY6"/>
      <c r="GBZ6"/>
      <c r="GCA6"/>
      <c r="GCB6"/>
      <c r="GCC6"/>
      <c r="GCD6"/>
      <c r="GCE6"/>
      <c r="GCF6"/>
      <c r="GCG6"/>
      <c r="GCH6"/>
      <c r="GCI6"/>
      <c r="GCJ6"/>
      <c r="GCK6"/>
      <c r="GCL6"/>
      <c r="GCM6"/>
      <c r="GCN6"/>
      <c r="GCO6"/>
      <c r="GCP6"/>
      <c r="GCQ6"/>
      <c r="GCR6"/>
      <c r="GCS6"/>
      <c r="GCT6"/>
      <c r="GCU6"/>
      <c r="GCV6"/>
      <c r="GCW6"/>
      <c r="GCX6"/>
      <c r="GCY6"/>
      <c r="GCZ6"/>
      <c r="GDA6"/>
      <c r="GDB6"/>
      <c r="GDC6"/>
      <c r="GDD6"/>
      <c r="GDE6"/>
      <c r="GDF6"/>
      <c r="GDG6"/>
      <c r="GDH6"/>
      <c r="GDI6"/>
      <c r="GDJ6"/>
      <c r="GDK6"/>
      <c r="GDL6"/>
      <c r="GDM6"/>
      <c r="GDN6"/>
      <c r="GDO6"/>
      <c r="GDP6"/>
      <c r="GDQ6"/>
      <c r="GDR6"/>
      <c r="GDS6"/>
      <c r="GDT6"/>
      <c r="GDU6"/>
      <c r="GDV6"/>
      <c r="GDW6"/>
      <c r="GDX6"/>
      <c r="GDY6"/>
      <c r="GDZ6"/>
      <c r="GEA6"/>
      <c r="GEB6"/>
      <c r="GEC6"/>
      <c r="GED6"/>
      <c r="GEE6"/>
      <c r="GEF6"/>
      <c r="GEG6"/>
      <c r="GEH6"/>
      <c r="GEI6"/>
      <c r="GEJ6"/>
      <c r="GEK6"/>
      <c r="GEL6"/>
      <c r="GEM6"/>
      <c r="GEN6"/>
      <c r="GEO6"/>
      <c r="GEP6"/>
      <c r="GEQ6"/>
      <c r="GER6"/>
      <c r="GES6"/>
      <c r="GET6"/>
      <c r="GEU6"/>
      <c r="GEV6"/>
      <c r="GEW6"/>
      <c r="GEX6"/>
      <c r="GEY6"/>
      <c r="GEZ6"/>
      <c r="GFA6"/>
      <c r="GFB6"/>
      <c r="GFC6"/>
      <c r="GFD6"/>
      <c r="GFE6"/>
      <c r="GFF6"/>
      <c r="GFG6"/>
      <c r="GFH6"/>
      <c r="GFI6"/>
      <c r="GFJ6"/>
      <c r="GFK6"/>
      <c r="GFL6"/>
      <c r="GFM6"/>
      <c r="GFN6"/>
      <c r="GFO6"/>
      <c r="GFP6"/>
      <c r="GFQ6"/>
      <c r="GFR6"/>
      <c r="GFS6"/>
      <c r="GFT6"/>
      <c r="GFU6"/>
      <c r="GFV6"/>
      <c r="GFW6"/>
      <c r="GFX6"/>
      <c r="GFY6"/>
      <c r="GFZ6"/>
      <c r="GGA6"/>
      <c r="GGB6"/>
      <c r="GGC6"/>
      <c r="GGD6"/>
      <c r="GGE6"/>
      <c r="GGF6"/>
      <c r="GGG6"/>
      <c r="GGH6"/>
      <c r="GGI6"/>
      <c r="GGJ6"/>
      <c r="GGK6"/>
      <c r="GGL6"/>
      <c r="GGM6"/>
      <c r="GGN6"/>
      <c r="GGO6"/>
      <c r="GGP6"/>
      <c r="GGQ6"/>
      <c r="GGR6"/>
      <c r="GGS6"/>
      <c r="GGT6"/>
      <c r="GGU6"/>
      <c r="GGV6"/>
      <c r="GGW6"/>
      <c r="GGX6"/>
      <c r="GGY6"/>
      <c r="GGZ6"/>
      <c r="GHA6"/>
      <c r="GHB6"/>
      <c r="GHC6"/>
      <c r="GHD6"/>
      <c r="GHE6"/>
      <c r="GHF6"/>
      <c r="GHG6"/>
      <c r="GHH6"/>
      <c r="GHI6"/>
      <c r="GHJ6"/>
      <c r="GHK6"/>
      <c r="GHL6"/>
      <c r="GHM6"/>
      <c r="GHN6"/>
      <c r="GHO6"/>
      <c r="GHP6"/>
      <c r="GHQ6"/>
      <c r="GHR6"/>
      <c r="GHS6"/>
      <c r="GHT6"/>
      <c r="GHU6"/>
      <c r="GHV6"/>
      <c r="GHW6"/>
      <c r="GHX6"/>
      <c r="GHY6"/>
      <c r="GHZ6"/>
      <c r="GIA6"/>
      <c r="GIB6"/>
      <c r="GIC6"/>
      <c r="GID6"/>
      <c r="GIE6"/>
      <c r="GIF6"/>
      <c r="GIG6"/>
      <c r="GIH6"/>
      <c r="GII6"/>
      <c r="GIJ6"/>
      <c r="GIK6"/>
      <c r="GIL6"/>
      <c r="GIM6"/>
      <c r="GIN6"/>
      <c r="GIO6"/>
      <c r="GIP6"/>
      <c r="GIQ6"/>
      <c r="GIR6"/>
      <c r="GIS6"/>
      <c r="GIT6"/>
      <c r="GIU6"/>
      <c r="GIV6"/>
      <c r="GIW6"/>
      <c r="GIX6"/>
      <c r="GIY6"/>
      <c r="GIZ6"/>
      <c r="GJA6"/>
      <c r="GJB6"/>
      <c r="GJC6"/>
      <c r="GJD6"/>
      <c r="GJE6"/>
      <c r="GJF6"/>
      <c r="GJG6"/>
      <c r="GJH6"/>
      <c r="GJI6"/>
      <c r="GJJ6"/>
      <c r="GJK6"/>
      <c r="GJL6"/>
      <c r="GJM6"/>
      <c r="GJN6"/>
      <c r="GJO6"/>
      <c r="GJP6"/>
      <c r="GJQ6"/>
      <c r="GJR6"/>
      <c r="GJS6"/>
      <c r="GJT6"/>
      <c r="GJU6"/>
      <c r="GJV6"/>
      <c r="GJW6"/>
      <c r="GJX6"/>
      <c r="GJY6"/>
      <c r="GJZ6"/>
      <c r="GKA6"/>
      <c r="GKB6"/>
      <c r="GKC6"/>
      <c r="GKD6"/>
      <c r="GKE6"/>
      <c r="GKF6"/>
      <c r="GKG6"/>
      <c r="GKH6"/>
      <c r="GKI6"/>
      <c r="GKJ6"/>
      <c r="GKK6"/>
      <c r="GKL6"/>
      <c r="GKM6"/>
      <c r="GKN6"/>
      <c r="GKO6"/>
      <c r="GKP6"/>
      <c r="GKQ6"/>
      <c r="GKR6"/>
      <c r="GKS6"/>
      <c r="GKT6"/>
      <c r="GKU6"/>
      <c r="GKV6"/>
      <c r="GKW6"/>
      <c r="GKX6"/>
      <c r="GKY6"/>
      <c r="GKZ6"/>
      <c r="GLA6"/>
      <c r="GLB6"/>
      <c r="GLC6"/>
      <c r="GLD6"/>
      <c r="GLE6"/>
      <c r="GLF6"/>
      <c r="GLG6"/>
      <c r="GLH6"/>
      <c r="GLI6"/>
      <c r="GLJ6"/>
      <c r="GLK6"/>
      <c r="GLL6"/>
      <c r="GLM6"/>
      <c r="GLN6"/>
      <c r="GLO6"/>
      <c r="GLP6"/>
      <c r="GLQ6"/>
      <c r="GLR6"/>
      <c r="GLS6"/>
      <c r="GLT6"/>
      <c r="GLU6"/>
      <c r="GLV6"/>
      <c r="GLW6"/>
      <c r="GLX6"/>
      <c r="GLY6"/>
      <c r="GLZ6"/>
      <c r="GMA6"/>
      <c r="GMB6"/>
      <c r="GMC6"/>
      <c r="GMD6"/>
      <c r="GME6"/>
      <c r="GMF6"/>
      <c r="GMG6"/>
      <c r="GMH6"/>
      <c r="GMI6"/>
      <c r="GMJ6"/>
      <c r="GMK6"/>
      <c r="GML6"/>
      <c r="GMM6"/>
      <c r="GMN6"/>
      <c r="GMO6"/>
      <c r="GMP6"/>
      <c r="GMQ6"/>
      <c r="GMR6"/>
      <c r="GMS6"/>
      <c r="GMT6"/>
      <c r="GMU6"/>
      <c r="GMV6"/>
      <c r="GMW6"/>
      <c r="GMX6"/>
      <c r="GMY6"/>
      <c r="GMZ6"/>
      <c r="GNA6"/>
      <c r="GNB6"/>
      <c r="GNC6"/>
      <c r="GND6"/>
      <c r="GNE6"/>
      <c r="GNF6"/>
      <c r="GNG6"/>
      <c r="GNH6"/>
      <c r="GNI6"/>
      <c r="GNJ6"/>
      <c r="GNK6"/>
      <c r="GNL6"/>
      <c r="GNM6"/>
      <c r="GNN6"/>
      <c r="GNO6"/>
      <c r="GNP6"/>
      <c r="GNQ6"/>
      <c r="GNR6"/>
      <c r="GNS6"/>
      <c r="GNT6"/>
      <c r="GNU6"/>
      <c r="GNV6"/>
      <c r="GNW6"/>
      <c r="GNX6"/>
      <c r="GNY6"/>
      <c r="GNZ6"/>
      <c r="GOA6"/>
      <c r="GOB6"/>
      <c r="GOC6"/>
      <c r="GOD6"/>
      <c r="GOE6"/>
      <c r="GOF6"/>
      <c r="GOG6"/>
      <c r="GOH6"/>
      <c r="GOI6"/>
      <c r="GOJ6"/>
      <c r="GOK6"/>
      <c r="GOL6"/>
      <c r="GOM6"/>
      <c r="GON6"/>
      <c r="GOO6"/>
      <c r="GOP6"/>
      <c r="GOQ6"/>
      <c r="GOR6"/>
      <c r="GOS6"/>
      <c r="GOT6"/>
      <c r="GOU6"/>
      <c r="GOV6"/>
      <c r="GOW6"/>
      <c r="GOX6"/>
      <c r="GOY6"/>
      <c r="GOZ6"/>
      <c r="GPA6"/>
      <c r="GPB6"/>
      <c r="GPC6"/>
      <c r="GPD6"/>
      <c r="GPE6"/>
      <c r="GPF6"/>
      <c r="GPG6"/>
      <c r="GPH6"/>
      <c r="GPI6"/>
      <c r="GPJ6"/>
      <c r="GPK6"/>
      <c r="GPL6"/>
      <c r="GPM6"/>
      <c r="GPN6"/>
      <c r="GPO6"/>
      <c r="GPP6"/>
      <c r="GPQ6"/>
      <c r="GPR6"/>
      <c r="GPS6"/>
      <c r="GPT6"/>
      <c r="GPU6"/>
      <c r="GPV6"/>
      <c r="GPW6"/>
      <c r="GPX6"/>
      <c r="GPY6"/>
      <c r="GPZ6"/>
      <c r="GQA6"/>
      <c r="GQB6"/>
      <c r="GQC6"/>
      <c r="GQD6"/>
      <c r="GQE6"/>
      <c r="GQF6"/>
      <c r="GQG6"/>
      <c r="GQH6"/>
      <c r="GQI6"/>
      <c r="GQJ6"/>
      <c r="GQK6"/>
      <c r="GQL6"/>
      <c r="GQM6"/>
      <c r="GQN6"/>
      <c r="GQO6"/>
      <c r="GQP6"/>
      <c r="GQQ6"/>
      <c r="GQR6"/>
      <c r="GQS6"/>
      <c r="GQT6"/>
      <c r="GQU6"/>
      <c r="GQV6"/>
      <c r="GQW6"/>
      <c r="GQX6"/>
      <c r="GQY6"/>
      <c r="GQZ6"/>
      <c r="GRA6"/>
      <c r="GRB6"/>
      <c r="GRC6"/>
      <c r="GRD6"/>
      <c r="GRE6"/>
      <c r="GRF6"/>
      <c r="GRG6"/>
      <c r="GRH6"/>
      <c r="GRI6"/>
      <c r="GRJ6"/>
      <c r="GRK6"/>
      <c r="GRL6"/>
      <c r="GRM6"/>
      <c r="GRN6"/>
      <c r="GRO6"/>
      <c r="GRP6"/>
      <c r="GRQ6"/>
      <c r="GRR6"/>
      <c r="GRS6"/>
      <c r="GRT6"/>
      <c r="GRU6"/>
      <c r="GRV6"/>
      <c r="GRW6"/>
      <c r="GRX6"/>
      <c r="GRY6"/>
      <c r="GRZ6"/>
      <c r="GSA6"/>
      <c r="GSB6"/>
      <c r="GSC6"/>
      <c r="GSD6"/>
      <c r="GSE6"/>
      <c r="GSF6"/>
      <c r="GSG6"/>
      <c r="GSH6"/>
      <c r="GSI6"/>
      <c r="GSJ6"/>
      <c r="GSK6"/>
      <c r="GSL6"/>
      <c r="GSM6"/>
      <c r="GSN6"/>
      <c r="GSO6"/>
      <c r="GSP6"/>
      <c r="GSQ6"/>
      <c r="GSR6"/>
      <c r="GSS6"/>
      <c r="GST6"/>
      <c r="GSU6"/>
      <c r="GSV6"/>
      <c r="GSW6"/>
      <c r="GSX6"/>
      <c r="GSY6"/>
      <c r="GSZ6"/>
      <c r="GTA6"/>
      <c r="GTB6"/>
      <c r="GTC6"/>
      <c r="GTD6"/>
      <c r="GTE6"/>
      <c r="GTF6"/>
      <c r="GTG6"/>
      <c r="GTH6"/>
      <c r="GTI6"/>
      <c r="GTJ6"/>
      <c r="GTK6"/>
      <c r="GTL6"/>
      <c r="GTM6"/>
      <c r="GTN6"/>
      <c r="GTO6"/>
      <c r="GTP6"/>
      <c r="GTQ6"/>
      <c r="GTR6"/>
      <c r="GTS6"/>
      <c r="GTT6"/>
      <c r="GTU6"/>
      <c r="GTV6"/>
      <c r="GTW6"/>
      <c r="GTX6"/>
      <c r="GTY6"/>
      <c r="GTZ6"/>
      <c r="GUA6"/>
      <c r="GUB6"/>
      <c r="GUC6"/>
      <c r="GUD6"/>
      <c r="GUE6"/>
      <c r="GUF6"/>
      <c r="GUG6"/>
      <c r="GUH6"/>
      <c r="GUI6"/>
      <c r="GUJ6"/>
      <c r="GUK6"/>
      <c r="GUL6"/>
      <c r="GUM6"/>
      <c r="GUN6"/>
      <c r="GUO6"/>
      <c r="GUP6"/>
      <c r="GUQ6"/>
      <c r="GUR6"/>
      <c r="GUS6"/>
      <c r="GUT6"/>
      <c r="GUU6"/>
      <c r="GUV6"/>
      <c r="GUW6"/>
      <c r="GUX6"/>
      <c r="GUY6"/>
      <c r="GUZ6"/>
      <c r="GVA6"/>
      <c r="GVB6"/>
      <c r="GVC6"/>
      <c r="GVD6"/>
      <c r="GVE6"/>
      <c r="GVF6"/>
      <c r="GVG6"/>
      <c r="GVH6"/>
      <c r="GVI6"/>
      <c r="GVJ6"/>
      <c r="GVK6"/>
      <c r="GVL6"/>
      <c r="GVM6"/>
      <c r="GVN6"/>
      <c r="GVO6"/>
      <c r="GVP6"/>
      <c r="GVQ6"/>
      <c r="GVR6"/>
      <c r="GVS6"/>
      <c r="GVT6"/>
      <c r="GVU6"/>
      <c r="GVV6"/>
      <c r="GVW6"/>
      <c r="GVX6"/>
      <c r="GVY6"/>
      <c r="GVZ6"/>
      <c r="GWA6"/>
      <c r="GWB6"/>
      <c r="GWC6"/>
      <c r="GWD6"/>
      <c r="GWE6"/>
      <c r="GWF6"/>
      <c r="GWG6"/>
      <c r="GWH6"/>
      <c r="GWI6"/>
      <c r="GWJ6"/>
      <c r="GWK6"/>
      <c r="GWL6"/>
      <c r="GWM6"/>
      <c r="GWN6"/>
      <c r="GWO6"/>
      <c r="GWP6"/>
      <c r="GWQ6"/>
      <c r="GWR6"/>
      <c r="GWS6"/>
      <c r="GWT6"/>
      <c r="GWU6"/>
      <c r="GWV6"/>
      <c r="GWW6"/>
      <c r="GWX6"/>
      <c r="GWY6"/>
      <c r="GWZ6"/>
      <c r="GXA6"/>
      <c r="GXB6"/>
      <c r="GXC6"/>
      <c r="GXD6"/>
      <c r="GXE6"/>
      <c r="GXF6"/>
      <c r="GXG6"/>
      <c r="GXH6"/>
      <c r="GXI6"/>
      <c r="GXJ6"/>
      <c r="GXK6"/>
      <c r="GXL6"/>
      <c r="GXM6"/>
      <c r="GXN6"/>
      <c r="GXO6"/>
      <c r="GXP6"/>
      <c r="GXQ6"/>
      <c r="GXR6"/>
      <c r="GXS6"/>
      <c r="GXT6"/>
      <c r="GXU6"/>
      <c r="GXV6"/>
      <c r="GXW6"/>
      <c r="GXX6"/>
      <c r="GXY6"/>
      <c r="GXZ6"/>
      <c r="GYA6"/>
      <c r="GYB6"/>
      <c r="GYC6"/>
      <c r="GYD6"/>
      <c r="GYE6"/>
      <c r="GYF6"/>
      <c r="GYG6"/>
      <c r="GYH6"/>
      <c r="GYI6"/>
      <c r="GYJ6"/>
      <c r="GYK6"/>
      <c r="GYL6"/>
      <c r="GYM6"/>
      <c r="GYN6"/>
      <c r="GYO6"/>
      <c r="GYP6"/>
      <c r="GYQ6"/>
      <c r="GYR6"/>
      <c r="GYS6"/>
      <c r="GYT6"/>
      <c r="GYU6"/>
      <c r="GYV6"/>
      <c r="GYW6"/>
      <c r="GYX6"/>
      <c r="GYY6"/>
      <c r="GYZ6"/>
      <c r="GZA6"/>
      <c r="GZB6"/>
      <c r="GZC6"/>
      <c r="GZD6"/>
      <c r="GZE6"/>
      <c r="GZF6"/>
      <c r="GZG6"/>
      <c r="GZH6"/>
      <c r="GZI6"/>
      <c r="GZJ6"/>
      <c r="GZK6"/>
      <c r="GZL6"/>
      <c r="GZM6"/>
      <c r="GZN6"/>
      <c r="GZO6"/>
      <c r="GZP6"/>
      <c r="GZQ6"/>
      <c r="GZR6"/>
      <c r="GZS6"/>
      <c r="GZT6"/>
      <c r="GZU6"/>
      <c r="GZV6"/>
      <c r="GZW6"/>
      <c r="GZX6"/>
      <c r="GZY6"/>
      <c r="GZZ6"/>
      <c r="HAA6"/>
      <c r="HAB6"/>
      <c r="HAC6"/>
      <c r="HAD6"/>
      <c r="HAE6"/>
      <c r="HAF6"/>
      <c r="HAG6"/>
      <c r="HAH6"/>
      <c r="HAI6"/>
      <c r="HAJ6"/>
      <c r="HAK6"/>
      <c r="HAL6"/>
      <c r="HAM6"/>
      <c r="HAN6"/>
      <c r="HAO6"/>
      <c r="HAP6"/>
      <c r="HAQ6"/>
      <c r="HAR6"/>
      <c r="HAS6"/>
      <c r="HAT6"/>
      <c r="HAU6"/>
      <c r="HAV6"/>
      <c r="HAW6"/>
      <c r="HAX6"/>
      <c r="HAY6"/>
      <c r="HAZ6"/>
      <c r="HBA6"/>
      <c r="HBB6"/>
      <c r="HBC6"/>
      <c r="HBD6"/>
      <c r="HBE6"/>
      <c r="HBF6"/>
      <c r="HBG6"/>
      <c r="HBH6"/>
      <c r="HBI6"/>
      <c r="HBJ6"/>
      <c r="HBK6"/>
      <c r="HBL6"/>
      <c r="HBM6"/>
      <c r="HBN6"/>
      <c r="HBO6"/>
      <c r="HBP6"/>
      <c r="HBQ6"/>
      <c r="HBR6"/>
      <c r="HBS6"/>
      <c r="HBT6"/>
      <c r="HBU6"/>
      <c r="HBV6"/>
      <c r="HBW6"/>
      <c r="HBX6"/>
      <c r="HBY6"/>
      <c r="HBZ6"/>
      <c r="HCA6"/>
      <c r="HCB6"/>
      <c r="HCC6"/>
      <c r="HCD6"/>
      <c r="HCE6"/>
      <c r="HCF6"/>
      <c r="HCG6"/>
      <c r="HCH6"/>
      <c r="HCI6"/>
      <c r="HCJ6"/>
      <c r="HCK6"/>
      <c r="HCL6"/>
      <c r="HCM6"/>
      <c r="HCN6"/>
      <c r="HCO6"/>
      <c r="HCP6"/>
      <c r="HCQ6"/>
      <c r="HCR6"/>
      <c r="HCS6"/>
      <c r="HCT6"/>
      <c r="HCU6"/>
      <c r="HCV6"/>
      <c r="HCW6"/>
      <c r="HCX6"/>
      <c r="HCY6"/>
      <c r="HCZ6"/>
      <c r="HDA6"/>
      <c r="HDB6"/>
      <c r="HDC6"/>
      <c r="HDD6"/>
      <c r="HDE6"/>
      <c r="HDF6"/>
      <c r="HDG6"/>
      <c r="HDH6"/>
      <c r="HDI6"/>
      <c r="HDJ6"/>
      <c r="HDK6"/>
      <c r="HDL6"/>
      <c r="HDM6"/>
      <c r="HDN6"/>
      <c r="HDO6"/>
      <c r="HDP6"/>
      <c r="HDQ6"/>
      <c r="HDR6"/>
      <c r="HDS6"/>
      <c r="HDT6"/>
      <c r="HDU6"/>
      <c r="HDV6"/>
      <c r="HDW6"/>
      <c r="HDX6"/>
      <c r="HDY6"/>
      <c r="HDZ6"/>
      <c r="HEA6"/>
      <c r="HEB6"/>
      <c r="HEC6"/>
      <c r="HED6"/>
      <c r="HEE6"/>
      <c r="HEF6"/>
      <c r="HEG6"/>
      <c r="HEH6"/>
      <c r="HEI6"/>
      <c r="HEJ6"/>
      <c r="HEK6"/>
      <c r="HEL6"/>
      <c r="HEM6"/>
      <c r="HEN6"/>
      <c r="HEO6"/>
      <c r="HEP6"/>
      <c r="HEQ6"/>
      <c r="HER6"/>
      <c r="HES6"/>
      <c r="HET6"/>
      <c r="HEU6"/>
      <c r="HEV6"/>
      <c r="HEW6"/>
      <c r="HEX6"/>
      <c r="HEY6"/>
      <c r="HEZ6"/>
      <c r="HFA6"/>
      <c r="HFB6"/>
      <c r="HFC6"/>
      <c r="HFD6"/>
      <c r="HFE6"/>
      <c r="HFF6"/>
      <c r="HFG6"/>
      <c r="HFH6"/>
      <c r="HFI6"/>
      <c r="HFJ6"/>
      <c r="HFK6"/>
      <c r="HFL6"/>
      <c r="HFM6"/>
      <c r="HFN6"/>
      <c r="HFO6"/>
      <c r="HFP6"/>
      <c r="HFQ6"/>
      <c r="HFR6"/>
      <c r="HFS6"/>
      <c r="HFT6"/>
      <c r="HFU6"/>
      <c r="HFV6"/>
      <c r="HFW6"/>
      <c r="HFX6"/>
      <c r="HFY6"/>
      <c r="HFZ6"/>
      <c r="HGA6"/>
      <c r="HGB6"/>
      <c r="HGC6"/>
      <c r="HGD6"/>
      <c r="HGE6"/>
      <c r="HGF6"/>
      <c r="HGG6"/>
      <c r="HGH6"/>
      <c r="HGI6"/>
      <c r="HGJ6"/>
      <c r="HGK6"/>
      <c r="HGL6"/>
      <c r="HGM6"/>
      <c r="HGN6"/>
      <c r="HGO6"/>
      <c r="HGP6"/>
      <c r="HGQ6"/>
      <c r="HGR6"/>
      <c r="HGS6"/>
      <c r="HGT6"/>
      <c r="HGU6"/>
      <c r="HGV6"/>
      <c r="HGW6"/>
      <c r="HGX6"/>
      <c r="HGY6"/>
      <c r="HGZ6"/>
      <c r="HHA6"/>
      <c r="HHB6"/>
      <c r="HHC6"/>
      <c r="HHD6"/>
      <c r="HHE6"/>
      <c r="HHF6"/>
      <c r="HHG6"/>
      <c r="HHH6"/>
      <c r="HHI6"/>
      <c r="HHJ6"/>
      <c r="HHK6"/>
      <c r="HHL6"/>
      <c r="HHM6"/>
      <c r="HHN6"/>
      <c r="HHO6"/>
      <c r="HHP6"/>
      <c r="HHQ6"/>
      <c r="HHR6"/>
      <c r="HHS6"/>
      <c r="HHT6"/>
      <c r="HHU6"/>
      <c r="HHV6"/>
      <c r="HHW6"/>
      <c r="HHX6"/>
      <c r="HHY6"/>
      <c r="HHZ6"/>
      <c r="HIA6"/>
      <c r="HIB6"/>
      <c r="HIC6"/>
      <c r="HID6"/>
      <c r="HIE6"/>
      <c r="HIF6"/>
      <c r="HIG6"/>
      <c r="HIH6"/>
      <c r="HII6"/>
      <c r="HIJ6"/>
      <c r="HIK6"/>
      <c r="HIL6"/>
      <c r="HIM6"/>
      <c r="HIN6"/>
      <c r="HIO6"/>
      <c r="HIP6"/>
      <c r="HIQ6"/>
      <c r="HIR6"/>
      <c r="HIS6"/>
      <c r="HIT6"/>
      <c r="HIU6"/>
      <c r="HIV6"/>
      <c r="HIW6"/>
      <c r="HIX6"/>
      <c r="HIY6"/>
      <c r="HIZ6"/>
      <c r="HJA6"/>
      <c r="HJB6"/>
      <c r="HJC6"/>
      <c r="HJD6"/>
      <c r="HJE6"/>
      <c r="HJF6"/>
      <c r="HJG6"/>
      <c r="HJH6"/>
      <c r="HJI6"/>
      <c r="HJJ6"/>
      <c r="HJK6"/>
      <c r="HJL6"/>
      <c r="HJM6"/>
      <c r="HJN6"/>
      <c r="HJO6"/>
      <c r="HJP6"/>
      <c r="HJQ6"/>
      <c r="HJR6"/>
      <c r="HJS6"/>
      <c r="HJT6"/>
      <c r="HJU6"/>
      <c r="HJV6"/>
      <c r="HJW6"/>
      <c r="HJX6"/>
      <c r="HJY6"/>
      <c r="HJZ6"/>
      <c r="HKA6"/>
      <c r="HKB6"/>
      <c r="HKC6"/>
      <c r="HKD6"/>
      <c r="HKE6"/>
      <c r="HKF6"/>
      <c r="HKG6"/>
      <c r="HKH6"/>
      <c r="HKI6"/>
      <c r="HKJ6"/>
      <c r="HKK6"/>
      <c r="HKL6"/>
      <c r="HKM6"/>
      <c r="HKN6"/>
      <c r="HKO6"/>
      <c r="HKP6"/>
      <c r="HKQ6"/>
      <c r="HKR6"/>
      <c r="HKS6"/>
      <c r="HKT6"/>
      <c r="HKU6"/>
      <c r="HKV6"/>
      <c r="HKW6"/>
      <c r="HKX6"/>
      <c r="HKY6"/>
      <c r="HKZ6"/>
      <c r="HLA6"/>
      <c r="HLB6"/>
      <c r="HLC6"/>
      <c r="HLD6"/>
      <c r="HLE6"/>
      <c r="HLF6"/>
      <c r="HLG6"/>
      <c r="HLH6"/>
      <c r="HLI6"/>
      <c r="HLJ6"/>
      <c r="HLK6"/>
      <c r="HLL6"/>
      <c r="HLM6"/>
      <c r="HLN6"/>
      <c r="HLO6"/>
      <c r="HLP6"/>
      <c r="HLQ6"/>
      <c r="HLR6"/>
      <c r="HLS6"/>
      <c r="HLT6"/>
      <c r="HLU6"/>
      <c r="HLV6"/>
      <c r="HLW6"/>
      <c r="HLX6"/>
      <c r="HLY6"/>
      <c r="HLZ6"/>
      <c r="HMA6"/>
      <c r="HMB6"/>
      <c r="HMC6"/>
      <c r="HMD6"/>
      <c r="HME6"/>
      <c r="HMF6"/>
      <c r="HMG6"/>
      <c r="HMH6"/>
      <c r="HMI6"/>
      <c r="HMJ6"/>
      <c r="HMK6"/>
      <c r="HML6"/>
      <c r="HMM6"/>
      <c r="HMN6"/>
      <c r="HMO6"/>
      <c r="HMP6"/>
      <c r="HMQ6"/>
      <c r="HMR6"/>
      <c r="HMS6"/>
      <c r="HMT6"/>
      <c r="HMU6"/>
      <c r="HMV6"/>
      <c r="HMW6"/>
      <c r="HMX6"/>
      <c r="HMY6"/>
      <c r="HMZ6"/>
      <c r="HNA6"/>
      <c r="HNB6"/>
      <c r="HNC6"/>
      <c r="HND6"/>
      <c r="HNE6"/>
      <c r="HNF6"/>
      <c r="HNG6"/>
      <c r="HNH6"/>
      <c r="HNI6"/>
      <c r="HNJ6"/>
      <c r="HNK6"/>
      <c r="HNL6"/>
      <c r="HNM6"/>
      <c r="HNN6"/>
      <c r="HNO6"/>
      <c r="HNP6"/>
      <c r="HNQ6"/>
      <c r="HNR6"/>
      <c r="HNS6"/>
      <c r="HNT6"/>
      <c r="HNU6"/>
      <c r="HNV6"/>
      <c r="HNW6"/>
      <c r="HNX6"/>
      <c r="HNY6"/>
      <c r="HNZ6"/>
      <c r="HOA6"/>
      <c r="HOB6"/>
      <c r="HOC6"/>
      <c r="HOD6"/>
      <c r="HOE6"/>
      <c r="HOF6"/>
      <c r="HOG6"/>
      <c r="HOH6"/>
      <c r="HOI6"/>
      <c r="HOJ6"/>
      <c r="HOK6"/>
      <c r="HOL6"/>
      <c r="HOM6"/>
      <c r="HON6"/>
      <c r="HOO6"/>
      <c r="HOP6"/>
      <c r="HOQ6"/>
      <c r="HOR6"/>
      <c r="HOS6"/>
      <c r="HOT6"/>
      <c r="HOU6"/>
      <c r="HOV6"/>
      <c r="HOW6"/>
      <c r="HOX6"/>
      <c r="HOY6"/>
      <c r="HOZ6"/>
      <c r="HPA6"/>
      <c r="HPB6"/>
      <c r="HPC6"/>
      <c r="HPD6"/>
      <c r="HPE6"/>
      <c r="HPF6"/>
      <c r="HPG6"/>
      <c r="HPH6"/>
      <c r="HPI6"/>
      <c r="HPJ6"/>
      <c r="HPK6"/>
      <c r="HPL6"/>
      <c r="HPM6"/>
      <c r="HPN6"/>
      <c r="HPO6"/>
      <c r="HPP6"/>
      <c r="HPQ6"/>
      <c r="HPR6"/>
      <c r="HPS6"/>
      <c r="HPT6"/>
      <c r="HPU6"/>
      <c r="HPV6"/>
      <c r="HPW6"/>
      <c r="HPX6"/>
      <c r="HPY6"/>
      <c r="HPZ6"/>
      <c r="HQA6"/>
      <c r="HQB6"/>
      <c r="HQC6"/>
      <c r="HQD6"/>
      <c r="HQE6"/>
      <c r="HQF6"/>
      <c r="HQG6"/>
      <c r="HQH6"/>
      <c r="HQI6"/>
      <c r="HQJ6"/>
      <c r="HQK6"/>
      <c r="HQL6"/>
      <c r="HQM6"/>
      <c r="HQN6"/>
      <c r="HQO6"/>
      <c r="HQP6"/>
      <c r="HQQ6"/>
      <c r="HQR6"/>
      <c r="HQS6"/>
      <c r="HQT6"/>
      <c r="HQU6"/>
      <c r="HQV6"/>
      <c r="HQW6"/>
      <c r="HQX6"/>
      <c r="HQY6"/>
      <c r="HQZ6"/>
      <c r="HRA6"/>
      <c r="HRB6"/>
      <c r="HRC6"/>
      <c r="HRD6"/>
      <c r="HRE6"/>
      <c r="HRF6"/>
      <c r="HRG6"/>
      <c r="HRH6"/>
      <c r="HRI6"/>
      <c r="HRJ6"/>
      <c r="HRK6"/>
      <c r="HRL6"/>
      <c r="HRM6"/>
      <c r="HRN6"/>
      <c r="HRO6"/>
      <c r="HRP6"/>
      <c r="HRQ6"/>
      <c r="HRR6"/>
      <c r="HRS6"/>
      <c r="HRT6"/>
      <c r="HRU6"/>
      <c r="HRV6"/>
      <c r="HRW6"/>
      <c r="HRX6"/>
      <c r="HRY6"/>
      <c r="HRZ6"/>
      <c r="HSA6"/>
      <c r="HSB6"/>
      <c r="HSC6"/>
      <c r="HSD6"/>
      <c r="HSE6"/>
      <c r="HSF6"/>
      <c r="HSG6"/>
      <c r="HSH6"/>
      <c r="HSI6"/>
      <c r="HSJ6"/>
      <c r="HSK6"/>
      <c r="HSL6"/>
      <c r="HSM6"/>
      <c r="HSN6"/>
      <c r="HSO6"/>
      <c r="HSP6"/>
      <c r="HSQ6"/>
      <c r="HSR6"/>
      <c r="HSS6"/>
      <c r="HST6"/>
      <c r="HSU6"/>
      <c r="HSV6"/>
      <c r="HSW6"/>
      <c r="HSX6"/>
      <c r="HSY6"/>
      <c r="HSZ6"/>
      <c r="HTA6"/>
      <c r="HTB6"/>
      <c r="HTC6"/>
      <c r="HTD6"/>
      <c r="HTE6"/>
      <c r="HTF6"/>
      <c r="HTG6"/>
      <c r="HTH6"/>
      <c r="HTI6"/>
      <c r="HTJ6"/>
      <c r="HTK6"/>
      <c r="HTL6"/>
      <c r="HTM6"/>
      <c r="HTN6"/>
      <c r="HTO6"/>
      <c r="HTP6"/>
      <c r="HTQ6"/>
      <c r="HTR6"/>
      <c r="HTS6"/>
      <c r="HTT6"/>
      <c r="HTU6"/>
      <c r="HTV6"/>
      <c r="HTW6"/>
      <c r="HTX6"/>
      <c r="HTY6"/>
      <c r="HTZ6"/>
      <c r="HUA6"/>
      <c r="HUB6"/>
      <c r="HUC6"/>
      <c r="HUD6"/>
      <c r="HUE6"/>
      <c r="HUF6"/>
      <c r="HUG6"/>
      <c r="HUH6"/>
      <c r="HUI6"/>
      <c r="HUJ6"/>
      <c r="HUK6"/>
      <c r="HUL6"/>
      <c r="HUM6"/>
      <c r="HUN6"/>
      <c r="HUO6"/>
      <c r="HUP6"/>
      <c r="HUQ6"/>
      <c r="HUR6"/>
      <c r="HUS6"/>
      <c r="HUT6"/>
      <c r="HUU6"/>
      <c r="HUV6"/>
      <c r="HUW6"/>
      <c r="HUX6"/>
      <c r="HUY6"/>
      <c r="HUZ6"/>
      <c r="HVA6"/>
      <c r="HVB6"/>
      <c r="HVC6"/>
      <c r="HVD6"/>
      <c r="HVE6"/>
      <c r="HVF6"/>
      <c r="HVG6"/>
      <c r="HVH6"/>
      <c r="HVI6"/>
      <c r="HVJ6"/>
      <c r="HVK6"/>
      <c r="HVL6"/>
      <c r="HVM6"/>
      <c r="HVN6"/>
      <c r="HVO6"/>
      <c r="HVP6"/>
      <c r="HVQ6"/>
      <c r="HVR6"/>
      <c r="HVS6"/>
      <c r="HVT6"/>
      <c r="HVU6"/>
      <c r="HVV6"/>
      <c r="HVW6"/>
      <c r="HVX6"/>
      <c r="HVY6"/>
      <c r="HVZ6"/>
      <c r="HWA6"/>
      <c r="HWB6"/>
      <c r="HWC6"/>
      <c r="HWD6"/>
      <c r="HWE6"/>
      <c r="HWF6"/>
      <c r="HWG6"/>
      <c r="HWH6"/>
      <c r="HWI6"/>
      <c r="HWJ6"/>
      <c r="HWK6"/>
      <c r="HWL6"/>
      <c r="HWM6"/>
      <c r="HWN6"/>
      <c r="HWO6"/>
      <c r="HWP6"/>
      <c r="HWQ6"/>
      <c r="HWR6"/>
      <c r="HWS6"/>
      <c r="HWT6"/>
      <c r="HWU6"/>
      <c r="HWV6"/>
      <c r="HWW6"/>
      <c r="HWX6"/>
      <c r="HWY6"/>
      <c r="HWZ6"/>
      <c r="HXA6"/>
      <c r="HXB6"/>
      <c r="HXC6"/>
      <c r="HXD6"/>
      <c r="HXE6"/>
      <c r="HXF6"/>
      <c r="HXG6"/>
      <c r="HXH6"/>
      <c r="HXI6"/>
      <c r="HXJ6"/>
      <c r="HXK6"/>
      <c r="HXL6"/>
      <c r="HXM6"/>
      <c r="HXN6"/>
      <c r="HXO6"/>
      <c r="HXP6"/>
      <c r="HXQ6"/>
      <c r="HXR6"/>
      <c r="HXS6"/>
      <c r="HXT6"/>
      <c r="HXU6"/>
      <c r="HXV6"/>
      <c r="HXW6"/>
      <c r="HXX6"/>
      <c r="HXY6"/>
      <c r="HXZ6"/>
      <c r="HYA6"/>
      <c r="HYB6"/>
      <c r="HYC6"/>
      <c r="HYD6"/>
      <c r="HYE6"/>
      <c r="HYF6"/>
      <c r="HYG6"/>
      <c r="HYH6"/>
      <c r="HYI6"/>
      <c r="HYJ6"/>
      <c r="HYK6"/>
      <c r="HYL6"/>
      <c r="HYM6"/>
      <c r="HYN6"/>
      <c r="HYO6"/>
      <c r="HYP6"/>
      <c r="HYQ6"/>
      <c r="HYR6"/>
      <c r="HYS6"/>
      <c r="HYT6"/>
      <c r="HYU6"/>
      <c r="HYV6"/>
      <c r="HYW6"/>
      <c r="HYX6"/>
      <c r="HYY6"/>
      <c r="HYZ6"/>
      <c r="HZA6"/>
      <c r="HZB6"/>
      <c r="HZC6"/>
      <c r="HZD6"/>
      <c r="HZE6"/>
      <c r="HZF6"/>
      <c r="HZG6"/>
      <c r="HZH6"/>
      <c r="HZI6"/>
      <c r="HZJ6"/>
      <c r="HZK6"/>
      <c r="HZL6"/>
      <c r="HZM6"/>
      <c r="HZN6"/>
      <c r="HZO6"/>
      <c r="HZP6"/>
      <c r="HZQ6"/>
      <c r="HZR6"/>
      <c r="HZS6"/>
      <c r="HZT6"/>
      <c r="HZU6"/>
      <c r="HZV6"/>
      <c r="HZW6"/>
      <c r="HZX6"/>
      <c r="HZY6"/>
      <c r="HZZ6"/>
      <c r="IAA6"/>
      <c r="IAB6"/>
      <c r="IAC6"/>
      <c r="IAD6"/>
      <c r="IAE6"/>
      <c r="IAF6"/>
      <c r="IAG6"/>
      <c r="IAH6"/>
      <c r="IAI6"/>
      <c r="IAJ6"/>
      <c r="IAK6"/>
      <c r="IAL6"/>
      <c r="IAM6"/>
      <c r="IAN6"/>
      <c r="IAO6"/>
      <c r="IAP6"/>
      <c r="IAQ6"/>
      <c r="IAR6"/>
      <c r="IAS6"/>
      <c r="IAT6"/>
      <c r="IAU6"/>
      <c r="IAV6"/>
      <c r="IAW6"/>
      <c r="IAX6"/>
      <c r="IAY6"/>
      <c r="IAZ6"/>
      <c r="IBA6"/>
      <c r="IBB6"/>
      <c r="IBC6"/>
      <c r="IBD6"/>
      <c r="IBE6"/>
      <c r="IBF6"/>
      <c r="IBG6"/>
      <c r="IBH6"/>
      <c r="IBI6"/>
      <c r="IBJ6"/>
      <c r="IBK6"/>
      <c r="IBL6"/>
      <c r="IBM6"/>
      <c r="IBN6"/>
      <c r="IBO6"/>
      <c r="IBP6"/>
      <c r="IBQ6"/>
      <c r="IBR6"/>
      <c r="IBS6"/>
      <c r="IBT6"/>
      <c r="IBU6"/>
      <c r="IBV6"/>
      <c r="IBW6"/>
      <c r="IBX6"/>
      <c r="IBY6"/>
      <c r="IBZ6"/>
      <c r="ICA6"/>
      <c r="ICB6"/>
      <c r="ICC6"/>
      <c r="ICD6"/>
      <c r="ICE6"/>
      <c r="ICF6"/>
      <c r="ICG6"/>
      <c r="ICH6"/>
      <c r="ICI6"/>
      <c r="ICJ6"/>
      <c r="ICK6"/>
      <c r="ICL6"/>
      <c r="ICM6"/>
      <c r="ICN6"/>
      <c r="ICO6"/>
      <c r="ICP6"/>
      <c r="ICQ6"/>
      <c r="ICR6"/>
      <c r="ICS6"/>
      <c r="ICT6"/>
      <c r="ICU6"/>
      <c r="ICV6"/>
      <c r="ICW6"/>
      <c r="ICX6"/>
      <c r="ICY6"/>
      <c r="ICZ6"/>
      <c r="IDA6"/>
      <c r="IDB6"/>
      <c r="IDC6"/>
      <c r="IDD6"/>
      <c r="IDE6"/>
      <c r="IDF6"/>
      <c r="IDG6"/>
      <c r="IDH6"/>
      <c r="IDI6"/>
      <c r="IDJ6"/>
      <c r="IDK6"/>
      <c r="IDL6"/>
      <c r="IDM6"/>
      <c r="IDN6"/>
      <c r="IDO6"/>
      <c r="IDP6"/>
      <c r="IDQ6"/>
      <c r="IDR6"/>
      <c r="IDS6"/>
      <c r="IDT6"/>
      <c r="IDU6"/>
      <c r="IDV6"/>
      <c r="IDW6"/>
      <c r="IDX6"/>
      <c r="IDY6"/>
      <c r="IDZ6"/>
      <c r="IEA6"/>
      <c r="IEB6"/>
      <c r="IEC6"/>
      <c r="IED6"/>
      <c r="IEE6"/>
      <c r="IEF6"/>
      <c r="IEG6"/>
      <c r="IEH6"/>
      <c r="IEI6"/>
      <c r="IEJ6"/>
      <c r="IEK6"/>
      <c r="IEL6"/>
      <c r="IEM6"/>
      <c r="IEN6"/>
      <c r="IEO6"/>
      <c r="IEP6"/>
      <c r="IEQ6"/>
      <c r="IER6"/>
      <c r="IES6"/>
      <c r="IET6"/>
      <c r="IEU6"/>
      <c r="IEV6"/>
      <c r="IEW6"/>
      <c r="IEX6"/>
      <c r="IEY6"/>
      <c r="IEZ6"/>
      <c r="IFA6"/>
      <c r="IFB6"/>
      <c r="IFC6"/>
      <c r="IFD6"/>
      <c r="IFE6"/>
      <c r="IFF6"/>
      <c r="IFG6"/>
      <c r="IFH6"/>
      <c r="IFI6"/>
      <c r="IFJ6"/>
      <c r="IFK6"/>
      <c r="IFL6"/>
      <c r="IFM6"/>
      <c r="IFN6"/>
      <c r="IFO6"/>
      <c r="IFP6"/>
      <c r="IFQ6"/>
      <c r="IFR6"/>
      <c r="IFS6"/>
      <c r="IFT6"/>
      <c r="IFU6"/>
      <c r="IFV6"/>
      <c r="IFW6"/>
      <c r="IFX6"/>
      <c r="IFY6"/>
      <c r="IFZ6"/>
      <c r="IGA6"/>
      <c r="IGB6"/>
      <c r="IGC6"/>
      <c r="IGD6"/>
      <c r="IGE6"/>
      <c r="IGF6"/>
      <c r="IGG6"/>
      <c r="IGH6"/>
      <c r="IGI6"/>
      <c r="IGJ6"/>
      <c r="IGK6"/>
      <c r="IGL6"/>
      <c r="IGM6"/>
      <c r="IGN6"/>
      <c r="IGO6"/>
      <c r="IGP6"/>
      <c r="IGQ6"/>
      <c r="IGR6"/>
      <c r="IGS6"/>
      <c r="IGT6"/>
      <c r="IGU6"/>
      <c r="IGV6"/>
      <c r="IGW6"/>
      <c r="IGX6"/>
      <c r="IGY6"/>
      <c r="IGZ6"/>
      <c r="IHA6"/>
      <c r="IHB6"/>
      <c r="IHC6"/>
      <c r="IHD6"/>
      <c r="IHE6"/>
      <c r="IHF6"/>
      <c r="IHG6"/>
      <c r="IHH6"/>
      <c r="IHI6"/>
      <c r="IHJ6"/>
      <c r="IHK6"/>
      <c r="IHL6"/>
      <c r="IHM6"/>
      <c r="IHN6"/>
      <c r="IHO6"/>
      <c r="IHP6"/>
      <c r="IHQ6"/>
      <c r="IHR6"/>
      <c r="IHS6"/>
      <c r="IHT6"/>
      <c r="IHU6"/>
      <c r="IHV6"/>
      <c r="IHW6"/>
      <c r="IHX6"/>
      <c r="IHY6"/>
      <c r="IHZ6"/>
      <c r="IIA6"/>
      <c r="IIB6"/>
      <c r="IIC6"/>
      <c r="IID6"/>
      <c r="IIE6"/>
      <c r="IIF6"/>
      <c r="IIG6"/>
      <c r="IIH6"/>
      <c r="III6"/>
      <c r="IIJ6"/>
      <c r="IIK6"/>
      <c r="IIL6"/>
      <c r="IIM6"/>
      <c r="IIN6"/>
      <c r="IIO6"/>
      <c r="IIP6"/>
      <c r="IIQ6"/>
      <c r="IIR6"/>
      <c r="IIS6"/>
      <c r="IIT6"/>
      <c r="IIU6"/>
      <c r="IIV6"/>
      <c r="IIW6"/>
      <c r="IIX6"/>
      <c r="IIY6"/>
      <c r="IIZ6"/>
      <c r="IJA6"/>
      <c r="IJB6"/>
      <c r="IJC6"/>
      <c r="IJD6"/>
      <c r="IJE6"/>
      <c r="IJF6"/>
      <c r="IJG6"/>
      <c r="IJH6"/>
      <c r="IJI6"/>
      <c r="IJJ6"/>
      <c r="IJK6"/>
      <c r="IJL6"/>
      <c r="IJM6"/>
      <c r="IJN6"/>
      <c r="IJO6"/>
      <c r="IJP6"/>
      <c r="IJQ6"/>
      <c r="IJR6"/>
      <c r="IJS6"/>
      <c r="IJT6"/>
      <c r="IJU6"/>
      <c r="IJV6"/>
      <c r="IJW6"/>
      <c r="IJX6"/>
      <c r="IJY6"/>
      <c r="IJZ6"/>
      <c r="IKA6"/>
      <c r="IKB6"/>
      <c r="IKC6"/>
      <c r="IKD6"/>
      <c r="IKE6"/>
      <c r="IKF6"/>
      <c r="IKG6"/>
      <c r="IKH6"/>
      <c r="IKI6"/>
      <c r="IKJ6"/>
      <c r="IKK6"/>
      <c r="IKL6"/>
      <c r="IKM6"/>
      <c r="IKN6"/>
      <c r="IKO6"/>
      <c r="IKP6"/>
      <c r="IKQ6"/>
      <c r="IKR6"/>
      <c r="IKS6"/>
      <c r="IKT6"/>
      <c r="IKU6"/>
      <c r="IKV6"/>
      <c r="IKW6"/>
      <c r="IKX6"/>
      <c r="IKY6"/>
      <c r="IKZ6"/>
      <c r="ILA6"/>
      <c r="ILB6"/>
      <c r="ILC6"/>
      <c r="ILD6"/>
      <c r="ILE6"/>
      <c r="ILF6"/>
      <c r="ILG6"/>
      <c r="ILH6"/>
      <c r="ILI6"/>
      <c r="ILJ6"/>
      <c r="ILK6"/>
      <c r="ILL6"/>
      <c r="ILM6"/>
      <c r="ILN6"/>
      <c r="ILO6"/>
      <c r="ILP6"/>
      <c r="ILQ6"/>
      <c r="ILR6"/>
      <c r="ILS6"/>
      <c r="ILT6"/>
      <c r="ILU6"/>
      <c r="ILV6"/>
      <c r="ILW6"/>
      <c r="ILX6"/>
      <c r="ILY6"/>
      <c r="ILZ6"/>
      <c r="IMA6"/>
      <c r="IMB6"/>
      <c r="IMC6"/>
      <c r="IMD6"/>
      <c r="IME6"/>
      <c r="IMF6"/>
      <c r="IMG6"/>
      <c r="IMH6"/>
      <c r="IMI6"/>
      <c r="IMJ6"/>
      <c r="IMK6"/>
      <c r="IML6"/>
      <c r="IMM6"/>
      <c r="IMN6"/>
      <c r="IMO6"/>
      <c r="IMP6"/>
      <c r="IMQ6"/>
      <c r="IMR6"/>
      <c r="IMS6"/>
      <c r="IMT6"/>
      <c r="IMU6"/>
      <c r="IMV6"/>
      <c r="IMW6"/>
      <c r="IMX6"/>
      <c r="IMY6"/>
      <c r="IMZ6"/>
      <c r="INA6"/>
      <c r="INB6"/>
      <c r="INC6"/>
      <c r="IND6"/>
      <c r="INE6"/>
      <c r="INF6"/>
      <c r="ING6"/>
      <c r="INH6"/>
      <c r="INI6"/>
      <c r="INJ6"/>
      <c r="INK6"/>
      <c r="INL6"/>
      <c r="INM6"/>
      <c r="INN6"/>
      <c r="INO6"/>
      <c r="INP6"/>
      <c r="INQ6"/>
      <c r="INR6"/>
      <c r="INS6"/>
      <c r="INT6"/>
      <c r="INU6"/>
      <c r="INV6"/>
      <c r="INW6"/>
      <c r="INX6"/>
      <c r="INY6"/>
      <c r="INZ6"/>
      <c r="IOA6"/>
      <c r="IOB6"/>
      <c r="IOC6"/>
      <c r="IOD6"/>
      <c r="IOE6"/>
      <c r="IOF6"/>
      <c r="IOG6"/>
      <c r="IOH6"/>
      <c r="IOI6"/>
      <c r="IOJ6"/>
      <c r="IOK6"/>
      <c r="IOL6"/>
      <c r="IOM6"/>
      <c r="ION6"/>
      <c r="IOO6"/>
      <c r="IOP6"/>
      <c r="IOQ6"/>
      <c r="IOR6"/>
      <c r="IOS6"/>
      <c r="IOT6"/>
      <c r="IOU6"/>
      <c r="IOV6"/>
      <c r="IOW6"/>
      <c r="IOX6"/>
      <c r="IOY6"/>
      <c r="IOZ6"/>
      <c r="IPA6"/>
      <c r="IPB6"/>
      <c r="IPC6"/>
      <c r="IPD6"/>
      <c r="IPE6"/>
      <c r="IPF6"/>
      <c r="IPG6"/>
      <c r="IPH6"/>
      <c r="IPI6"/>
      <c r="IPJ6"/>
      <c r="IPK6"/>
      <c r="IPL6"/>
      <c r="IPM6"/>
      <c r="IPN6"/>
      <c r="IPO6"/>
      <c r="IPP6"/>
      <c r="IPQ6"/>
      <c r="IPR6"/>
      <c r="IPS6"/>
      <c r="IPT6"/>
      <c r="IPU6"/>
      <c r="IPV6"/>
      <c r="IPW6"/>
      <c r="IPX6"/>
      <c r="IPY6"/>
      <c r="IPZ6"/>
      <c r="IQA6"/>
      <c r="IQB6"/>
      <c r="IQC6"/>
      <c r="IQD6"/>
      <c r="IQE6"/>
      <c r="IQF6"/>
      <c r="IQG6"/>
      <c r="IQH6"/>
      <c r="IQI6"/>
      <c r="IQJ6"/>
      <c r="IQK6"/>
      <c r="IQL6"/>
      <c r="IQM6"/>
      <c r="IQN6"/>
      <c r="IQO6"/>
      <c r="IQP6"/>
      <c r="IQQ6"/>
      <c r="IQR6"/>
      <c r="IQS6"/>
      <c r="IQT6"/>
      <c r="IQU6"/>
      <c r="IQV6"/>
      <c r="IQW6"/>
      <c r="IQX6"/>
      <c r="IQY6"/>
      <c r="IQZ6"/>
      <c r="IRA6"/>
      <c r="IRB6"/>
      <c r="IRC6"/>
      <c r="IRD6"/>
      <c r="IRE6"/>
      <c r="IRF6"/>
      <c r="IRG6"/>
      <c r="IRH6"/>
      <c r="IRI6"/>
      <c r="IRJ6"/>
      <c r="IRK6"/>
      <c r="IRL6"/>
      <c r="IRM6"/>
      <c r="IRN6"/>
      <c r="IRO6"/>
      <c r="IRP6"/>
      <c r="IRQ6"/>
      <c r="IRR6"/>
      <c r="IRS6"/>
      <c r="IRT6"/>
      <c r="IRU6"/>
      <c r="IRV6"/>
      <c r="IRW6"/>
      <c r="IRX6"/>
      <c r="IRY6"/>
      <c r="IRZ6"/>
      <c r="ISA6"/>
      <c r="ISB6"/>
      <c r="ISC6"/>
      <c r="ISD6"/>
      <c r="ISE6"/>
      <c r="ISF6"/>
      <c r="ISG6"/>
      <c r="ISH6"/>
      <c r="ISI6"/>
      <c r="ISJ6"/>
      <c r="ISK6"/>
      <c r="ISL6"/>
      <c r="ISM6"/>
      <c r="ISN6"/>
      <c r="ISO6"/>
      <c r="ISP6"/>
      <c r="ISQ6"/>
      <c r="ISR6"/>
      <c r="ISS6"/>
      <c r="IST6"/>
      <c r="ISU6"/>
      <c r="ISV6"/>
      <c r="ISW6"/>
      <c r="ISX6"/>
      <c r="ISY6"/>
      <c r="ISZ6"/>
      <c r="ITA6"/>
      <c r="ITB6"/>
      <c r="ITC6"/>
      <c r="ITD6"/>
      <c r="ITE6"/>
      <c r="ITF6"/>
      <c r="ITG6"/>
      <c r="ITH6"/>
      <c r="ITI6"/>
      <c r="ITJ6"/>
      <c r="ITK6"/>
      <c r="ITL6"/>
      <c r="ITM6"/>
      <c r="ITN6"/>
      <c r="ITO6"/>
      <c r="ITP6"/>
      <c r="ITQ6"/>
      <c r="ITR6"/>
      <c r="ITS6"/>
      <c r="ITT6"/>
      <c r="ITU6"/>
      <c r="ITV6"/>
      <c r="ITW6"/>
      <c r="ITX6"/>
      <c r="ITY6"/>
      <c r="ITZ6"/>
      <c r="IUA6"/>
      <c r="IUB6"/>
      <c r="IUC6"/>
      <c r="IUD6"/>
      <c r="IUE6"/>
      <c r="IUF6"/>
      <c r="IUG6"/>
      <c r="IUH6"/>
      <c r="IUI6"/>
      <c r="IUJ6"/>
      <c r="IUK6"/>
      <c r="IUL6"/>
      <c r="IUM6"/>
      <c r="IUN6"/>
      <c r="IUO6"/>
      <c r="IUP6"/>
      <c r="IUQ6"/>
      <c r="IUR6"/>
      <c r="IUS6"/>
      <c r="IUT6"/>
      <c r="IUU6"/>
      <c r="IUV6"/>
      <c r="IUW6"/>
      <c r="IUX6"/>
      <c r="IUY6"/>
      <c r="IUZ6"/>
      <c r="IVA6"/>
      <c r="IVB6"/>
      <c r="IVC6"/>
      <c r="IVD6"/>
      <c r="IVE6"/>
      <c r="IVF6"/>
      <c r="IVG6"/>
      <c r="IVH6"/>
      <c r="IVI6"/>
      <c r="IVJ6"/>
      <c r="IVK6"/>
      <c r="IVL6"/>
      <c r="IVM6"/>
      <c r="IVN6"/>
      <c r="IVO6"/>
      <c r="IVP6"/>
      <c r="IVQ6"/>
      <c r="IVR6"/>
      <c r="IVS6"/>
      <c r="IVT6"/>
      <c r="IVU6"/>
      <c r="IVV6"/>
      <c r="IVW6"/>
      <c r="IVX6"/>
      <c r="IVY6"/>
      <c r="IVZ6"/>
      <c r="IWA6"/>
      <c r="IWB6"/>
      <c r="IWC6"/>
      <c r="IWD6"/>
      <c r="IWE6"/>
      <c r="IWF6"/>
      <c r="IWG6"/>
      <c r="IWH6"/>
      <c r="IWI6"/>
      <c r="IWJ6"/>
      <c r="IWK6"/>
      <c r="IWL6"/>
      <c r="IWM6"/>
      <c r="IWN6"/>
      <c r="IWO6"/>
      <c r="IWP6"/>
      <c r="IWQ6"/>
      <c r="IWR6"/>
      <c r="IWS6"/>
      <c r="IWT6"/>
      <c r="IWU6"/>
      <c r="IWV6"/>
      <c r="IWW6"/>
      <c r="IWX6"/>
      <c r="IWY6"/>
      <c r="IWZ6"/>
      <c r="IXA6"/>
      <c r="IXB6"/>
      <c r="IXC6"/>
      <c r="IXD6"/>
      <c r="IXE6"/>
      <c r="IXF6"/>
      <c r="IXG6"/>
      <c r="IXH6"/>
      <c r="IXI6"/>
      <c r="IXJ6"/>
      <c r="IXK6"/>
      <c r="IXL6"/>
      <c r="IXM6"/>
      <c r="IXN6"/>
      <c r="IXO6"/>
      <c r="IXP6"/>
      <c r="IXQ6"/>
      <c r="IXR6"/>
      <c r="IXS6"/>
      <c r="IXT6"/>
      <c r="IXU6"/>
      <c r="IXV6"/>
      <c r="IXW6"/>
      <c r="IXX6"/>
      <c r="IXY6"/>
      <c r="IXZ6"/>
      <c r="IYA6"/>
      <c r="IYB6"/>
      <c r="IYC6"/>
      <c r="IYD6"/>
      <c r="IYE6"/>
      <c r="IYF6"/>
      <c r="IYG6"/>
      <c r="IYH6"/>
      <c r="IYI6"/>
      <c r="IYJ6"/>
      <c r="IYK6"/>
      <c r="IYL6"/>
      <c r="IYM6"/>
      <c r="IYN6"/>
      <c r="IYO6"/>
      <c r="IYP6"/>
      <c r="IYQ6"/>
      <c r="IYR6"/>
      <c r="IYS6"/>
      <c r="IYT6"/>
      <c r="IYU6"/>
      <c r="IYV6"/>
      <c r="IYW6"/>
      <c r="IYX6"/>
      <c r="IYY6"/>
      <c r="IYZ6"/>
      <c r="IZA6"/>
      <c r="IZB6"/>
      <c r="IZC6"/>
      <c r="IZD6"/>
      <c r="IZE6"/>
      <c r="IZF6"/>
      <c r="IZG6"/>
      <c r="IZH6"/>
      <c r="IZI6"/>
      <c r="IZJ6"/>
      <c r="IZK6"/>
      <c r="IZL6"/>
      <c r="IZM6"/>
      <c r="IZN6"/>
      <c r="IZO6"/>
      <c r="IZP6"/>
      <c r="IZQ6"/>
      <c r="IZR6"/>
      <c r="IZS6"/>
      <c r="IZT6"/>
      <c r="IZU6"/>
      <c r="IZV6"/>
      <c r="IZW6"/>
      <c r="IZX6"/>
      <c r="IZY6"/>
      <c r="IZZ6"/>
      <c r="JAA6"/>
      <c r="JAB6"/>
      <c r="JAC6"/>
      <c r="JAD6"/>
      <c r="JAE6"/>
      <c r="JAF6"/>
      <c r="JAG6"/>
      <c r="JAH6"/>
      <c r="JAI6"/>
      <c r="JAJ6"/>
      <c r="JAK6"/>
      <c r="JAL6"/>
      <c r="JAM6"/>
      <c r="JAN6"/>
      <c r="JAO6"/>
      <c r="JAP6"/>
      <c r="JAQ6"/>
      <c r="JAR6"/>
      <c r="JAS6"/>
      <c r="JAT6"/>
      <c r="JAU6"/>
      <c r="JAV6"/>
      <c r="JAW6"/>
      <c r="JAX6"/>
      <c r="JAY6"/>
      <c r="JAZ6"/>
      <c r="JBA6"/>
      <c r="JBB6"/>
      <c r="JBC6"/>
      <c r="JBD6"/>
      <c r="JBE6"/>
      <c r="JBF6"/>
      <c r="JBG6"/>
      <c r="JBH6"/>
      <c r="JBI6"/>
      <c r="JBJ6"/>
      <c r="JBK6"/>
      <c r="JBL6"/>
      <c r="JBM6"/>
      <c r="JBN6"/>
      <c r="JBO6"/>
      <c r="JBP6"/>
      <c r="JBQ6"/>
      <c r="JBR6"/>
      <c r="JBS6"/>
      <c r="JBT6"/>
      <c r="JBU6"/>
      <c r="JBV6"/>
      <c r="JBW6"/>
      <c r="JBX6"/>
      <c r="JBY6"/>
      <c r="JBZ6"/>
      <c r="JCA6"/>
      <c r="JCB6"/>
      <c r="JCC6"/>
      <c r="JCD6"/>
      <c r="JCE6"/>
      <c r="JCF6"/>
      <c r="JCG6"/>
      <c r="JCH6"/>
      <c r="JCI6"/>
      <c r="JCJ6"/>
      <c r="JCK6"/>
      <c r="JCL6"/>
      <c r="JCM6"/>
      <c r="JCN6"/>
      <c r="JCO6"/>
      <c r="JCP6"/>
      <c r="JCQ6"/>
      <c r="JCR6"/>
      <c r="JCS6"/>
      <c r="JCT6"/>
      <c r="JCU6"/>
      <c r="JCV6"/>
      <c r="JCW6"/>
      <c r="JCX6"/>
      <c r="JCY6"/>
      <c r="JCZ6"/>
      <c r="JDA6"/>
      <c r="JDB6"/>
      <c r="JDC6"/>
      <c r="JDD6"/>
      <c r="JDE6"/>
      <c r="JDF6"/>
      <c r="JDG6"/>
      <c r="JDH6"/>
      <c r="JDI6"/>
      <c r="JDJ6"/>
      <c r="JDK6"/>
      <c r="JDL6"/>
      <c r="JDM6"/>
      <c r="JDN6"/>
      <c r="JDO6"/>
      <c r="JDP6"/>
      <c r="JDQ6"/>
      <c r="JDR6"/>
      <c r="JDS6"/>
      <c r="JDT6"/>
      <c r="JDU6"/>
      <c r="JDV6"/>
      <c r="JDW6"/>
      <c r="JDX6"/>
      <c r="JDY6"/>
      <c r="JDZ6"/>
      <c r="JEA6"/>
      <c r="JEB6"/>
      <c r="JEC6"/>
      <c r="JED6"/>
      <c r="JEE6"/>
      <c r="JEF6"/>
      <c r="JEG6"/>
      <c r="JEH6"/>
      <c r="JEI6"/>
      <c r="JEJ6"/>
      <c r="JEK6"/>
      <c r="JEL6"/>
      <c r="JEM6"/>
      <c r="JEN6"/>
      <c r="JEO6"/>
      <c r="JEP6"/>
      <c r="JEQ6"/>
      <c r="JER6"/>
      <c r="JES6"/>
      <c r="JET6"/>
      <c r="JEU6"/>
      <c r="JEV6"/>
      <c r="JEW6"/>
      <c r="JEX6"/>
      <c r="JEY6"/>
      <c r="JEZ6"/>
      <c r="JFA6"/>
      <c r="JFB6"/>
      <c r="JFC6"/>
      <c r="JFD6"/>
      <c r="JFE6"/>
      <c r="JFF6"/>
      <c r="JFG6"/>
      <c r="JFH6"/>
      <c r="JFI6"/>
      <c r="JFJ6"/>
      <c r="JFK6"/>
      <c r="JFL6"/>
      <c r="JFM6"/>
      <c r="JFN6"/>
      <c r="JFO6"/>
      <c r="JFP6"/>
      <c r="JFQ6"/>
      <c r="JFR6"/>
      <c r="JFS6"/>
      <c r="JFT6"/>
      <c r="JFU6"/>
      <c r="JFV6"/>
      <c r="JFW6"/>
      <c r="JFX6"/>
      <c r="JFY6"/>
      <c r="JFZ6"/>
      <c r="JGA6"/>
      <c r="JGB6"/>
      <c r="JGC6"/>
      <c r="JGD6"/>
      <c r="JGE6"/>
      <c r="JGF6"/>
      <c r="JGG6"/>
      <c r="JGH6"/>
      <c r="JGI6"/>
      <c r="JGJ6"/>
      <c r="JGK6"/>
      <c r="JGL6"/>
      <c r="JGM6"/>
      <c r="JGN6"/>
      <c r="JGO6"/>
      <c r="JGP6"/>
      <c r="JGQ6"/>
      <c r="JGR6"/>
      <c r="JGS6"/>
      <c r="JGT6"/>
      <c r="JGU6"/>
      <c r="JGV6"/>
      <c r="JGW6"/>
      <c r="JGX6"/>
      <c r="JGY6"/>
      <c r="JGZ6"/>
      <c r="JHA6"/>
      <c r="JHB6"/>
      <c r="JHC6"/>
      <c r="JHD6"/>
      <c r="JHE6"/>
      <c r="JHF6"/>
      <c r="JHG6"/>
      <c r="JHH6"/>
      <c r="JHI6"/>
      <c r="JHJ6"/>
      <c r="JHK6"/>
      <c r="JHL6"/>
      <c r="JHM6"/>
      <c r="JHN6"/>
      <c r="JHO6"/>
      <c r="JHP6"/>
      <c r="JHQ6"/>
      <c r="JHR6"/>
      <c r="JHS6"/>
      <c r="JHT6"/>
      <c r="JHU6"/>
      <c r="JHV6"/>
      <c r="JHW6"/>
      <c r="JHX6"/>
      <c r="JHY6"/>
      <c r="JHZ6"/>
      <c r="JIA6"/>
      <c r="JIB6"/>
      <c r="JIC6"/>
      <c r="JID6"/>
      <c r="JIE6"/>
      <c r="JIF6"/>
      <c r="JIG6"/>
      <c r="JIH6"/>
      <c r="JII6"/>
      <c r="JIJ6"/>
      <c r="JIK6"/>
      <c r="JIL6"/>
      <c r="JIM6"/>
      <c r="JIN6"/>
      <c r="JIO6"/>
      <c r="JIP6"/>
      <c r="JIQ6"/>
      <c r="JIR6"/>
      <c r="JIS6"/>
      <c r="JIT6"/>
      <c r="JIU6"/>
      <c r="JIV6"/>
      <c r="JIW6"/>
      <c r="JIX6"/>
      <c r="JIY6"/>
      <c r="JIZ6"/>
      <c r="JJA6"/>
      <c r="JJB6"/>
      <c r="JJC6"/>
      <c r="JJD6"/>
      <c r="JJE6"/>
      <c r="JJF6"/>
      <c r="JJG6"/>
      <c r="JJH6"/>
      <c r="JJI6"/>
      <c r="JJJ6"/>
      <c r="JJK6"/>
      <c r="JJL6"/>
      <c r="JJM6"/>
      <c r="JJN6"/>
      <c r="JJO6"/>
      <c r="JJP6"/>
      <c r="JJQ6"/>
      <c r="JJR6"/>
      <c r="JJS6"/>
      <c r="JJT6"/>
      <c r="JJU6"/>
      <c r="JJV6"/>
      <c r="JJW6"/>
      <c r="JJX6"/>
      <c r="JJY6"/>
      <c r="JJZ6"/>
      <c r="JKA6"/>
      <c r="JKB6"/>
      <c r="JKC6"/>
      <c r="JKD6"/>
      <c r="JKE6"/>
      <c r="JKF6"/>
      <c r="JKG6"/>
      <c r="JKH6"/>
      <c r="JKI6"/>
      <c r="JKJ6"/>
      <c r="JKK6"/>
      <c r="JKL6"/>
      <c r="JKM6"/>
      <c r="JKN6"/>
      <c r="JKO6"/>
      <c r="JKP6"/>
      <c r="JKQ6"/>
      <c r="JKR6"/>
      <c r="JKS6"/>
      <c r="JKT6"/>
      <c r="JKU6"/>
      <c r="JKV6"/>
      <c r="JKW6"/>
      <c r="JKX6"/>
      <c r="JKY6"/>
      <c r="JKZ6"/>
      <c r="JLA6"/>
      <c r="JLB6"/>
      <c r="JLC6"/>
      <c r="JLD6"/>
      <c r="JLE6"/>
      <c r="JLF6"/>
      <c r="JLG6"/>
      <c r="JLH6"/>
      <c r="JLI6"/>
      <c r="JLJ6"/>
      <c r="JLK6"/>
      <c r="JLL6"/>
      <c r="JLM6"/>
      <c r="JLN6"/>
      <c r="JLO6"/>
      <c r="JLP6"/>
      <c r="JLQ6"/>
      <c r="JLR6"/>
      <c r="JLS6"/>
      <c r="JLT6"/>
      <c r="JLU6"/>
      <c r="JLV6"/>
      <c r="JLW6"/>
      <c r="JLX6"/>
      <c r="JLY6"/>
      <c r="JLZ6"/>
      <c r="JMA6"/>
      <c r="JMB6"/>
      <c r="JMC6"/>
      <c r="JMD6"/>
      <c r="JME6"/>
      <c r="JMF6"/>
      <c r="JMG6"/>
      <c r="JMH6"/>
      <c r="JMI6"/>
      <c r="JMJ6"/>
      <c r="JMK6"/>
      <c r="JML6"/>
      <c r="JMM6"/>
      <c r="JMN6"/>
      <c r="JMO6"/>
      <c r="JMP6"/>
      <c r="JMQ6"/>
      <c r="JMR6"/>
      <c r="JMS6"/>
      <c r="JMT6"/>
      <c r="JMU6"/>
      <c r="JMV6"/>
      <c r="JMW6"/>
      <c r="JMX6"/>
      <c r="JMY6"/>
      <c r="JMZ6"/>
      <c r="JNA6"/>
      <c r="JNB6"/>
      <c r="JNC6"/>
      <c r="JND6"/>
      <c r="JNE6"/>
      <c r="JNF6"/>
      <c r="JNG6"/>
      <c r="JNH6"/>
      <c r="JNI6"/>
      <c r="JNJ6"/>
      <c r="JNK6"/>
      <c r="JNL6"/>
      <c r="JNM6"/>
      <c r="JNN6"/>
      <c r="JNO6"/>
      <c r="JNP6"/>
      <c r="JNQ6"/>
      <c r="JNR6"/>
      <c r="JNS6"/>
      <c r="JNT6"/>
      <c r="JNU6"/>
      <c r="JNV6"/>
      <c r="JNW6"/>
      <c r="JNX6"/>
      <c r="JNY6"/>
      <c r="JNZ6"/>
      <c r="JOA6"/>
      <c r="JOB6"/>
      <c r="JOC6"/>
      <c r="JOD6"/>
      <c r="JOE6"/>
      <c r="JOF6"/>
      <c r="JOG6"/>
      <c r="JOH6"/>
      <c r="JOI6"/>
      <c r="JOJ6"/>
      <c r="JOK6"/>
      <c r="JOL6"/>
      <c r="JOM6"/>
      <c r="JON6"/>
      <c r="JOO6"/>
      <c r="JOP6"/>
      <c r="JOQ6"/>
      <c r="JOR6"/>
      <c r="JOS6"/>
      <c r="JOT6"/>
      <c r="JOU6"/>
      <c r="JOV6"/>
      <c r="JOW6"/>
      <c r="JOX6"/>
      <c r="JOY6"/>
      <c r="JOZ6"/>
      <c r="JPA6"/>
      <c r="JPB6"/>
      <c r="JPC6"/>
      <c r="JPD6"/>
      <c r="JPE6"/>
      <c r="JPF6"/>
      <c r="JPG6"/>
      <c r="JPH6"/>
      <c r="JPI6"/>
      <c r="JPJ6"/>
      <c r="JPK6"/>
      <c r="JPL6"/>
      <c r="JPM6"/>
      <c r="JPN6"/>
      <c r="JPO6"/>
      <c r="JPP6"/>
      <c r="JPQ6"/>
      <c r="JPR6"/>
      <c r="JPS6"/>
      <c r="JPT6"/>
      <c r="JPU6"/>
      <c r="JPV6"/>
      <c r="JPW6"/>
      <c r="JPX6"/>
      <c r="JPY6"/>
      <c r="JPZ6"/>
      <c r="JQA6"/>
      <c r="JQB6"/>
      <c r="JQC6"/>
      <c r="JQD6"/>
      <c r="JQE6"/>
      <c r="JQF6"/>
      <c r="JQG6"/>
      <c r="JQH6"/>
      <c r="JQI6"/>
      <c r="JQJ6"/>
      <c r="JQK6"/>
      <c r="JQL6"/>
      <c r="JQM6"/>
      <c r="JQN6"/>
      <c r="JQO6"/>
      <c r="JQP6"/>
      <c r="JQQ6"/>
      <c r="JQR6"/>
      <c r="JQS6"/>
      <c r="JQT6"/>
      <c r="JQU6"/>
      <c r="JQV6"/>
      <c r="JQW6"/>
      <c r="JQX6"/>
      <c r="JQY6"/>
      <c r="JQZ6"/>
      <c r="JRA6"/>
      <c r="JRB6"/>
      <c r="JRC6"/>
      <c r="JRD6"/>
      <c r="JRE6"/>
      <c r="JRF6"/>
      <c r="JRG6"/>
      <c r="JRH6"/>
      <c r="JRI6"/>
      <c r="JRJ6"/>
      <c r="JRK6"/>
      <c r="JRL6"/>
      <c r="JRM6"/>
      <c r="JRN6"/>
      <c r="JRO6"/>
      <c r="JRP6"/>
      <c r="JRQ6"/>
      <c r="JRR6"/>
      <c r="JRS6"/>
      <c r="JRT6"/>
      <c r="JRU6"/>
      <c r="JRV6"/>
      <c r="JRW6"/>
      <c r="JRX6"/>
      <c r="JRY6"/>
      <c r="JRZ6"/>
      <c r="JSA6"/>
      <c r="JSB6"/>
      <c r="JSC6"/>
      <c r="JSD6"/>
      <c r="JSE6"/>
      <c r="JSF6"/>
      <c r="JSG6"/>
      <c r="JSH6"/>
      <c r="JSI6"/>
      <c r="JSJ6"/>
      <c r="JSK6"/>
      <c r="JSL6"/>
      <c r="JSM6"/>
      <c r="JSN6"/>
      <c r="JSO6"/>
      <c r="JSP6"/>
      <c r="JSQ6"/>
      <c r="JSR6"/>
      <c r="JSS6"/>
      <c r="JST6"/>
      <c r="JSU6"/>
      <c r="JSV6"/>
      <c r="JSW6"/>
      <c r="JSX6"/>
      <c r="JSY6"/>
      <c r="JSZ6"/>
      <c r="JTA6"/>
      <c r="JTB6"/>
      <c r="JTC6"/>
      <c r="JTD6"/>
      <c r="JTE6"/>
      <c r="JTF6"/>
      <c r="JTG6"/>
      <c r="JTH6"/>
      <c r="JTI6"/>
      <c r="JTJ6"/>
      <c r="JTK6"/>
      <c r="JTL6"/>
      <c r="JTM6"/>
      <c r="JTN6"/>
      <c r="JTO6"/>
      <c r="JTP6"/>
      <c r="JTQ6"/>
      <c r="JTR6"/>
      <c r="JTS6"/>
      <c r="JTT6"/>
      <c r="JTU6"/>
      <c r="JTV6"/>
      <c r="JTW6"/>
      <c r="JTX6"/>
      <c r="JTY6"/>
      <c r="JTZ6"/>
      <c r="JUA6"/>
      <c r="JUB6"/>
      <c r="JUC6"/>
      <c r="JUD6"/>
      <c r="JUE6"/>
      <c r="JUF6"/>
      <c r="JUG6"/>
      <c r="JUH6"/>
      <c r="JUI6"/>
      <c r="JUJ6"/>
      <c r="JUK6"/>
      <c r="JUL6"/>
      <c r="JUM6"/>
      <c r="JUN6"/>
      <c r="JUO6"/>
      <c r="JUP6"/>
      <c r="JUQ6"/>
      <c r="JUR6"/>
      <c r="JUS6"/>
      <c r="JUT6"/>
      <c r="JUU6"/>
      <c r="JUV6"/>
      <c r="JUW6"/>
      <c r="JUX6"/>
      <c r="JUY6"/>
      <c r="JUZ6"/>
      <c r="JVA6"/>
      <c r="JVB6"/>
      <c r="JVC6"/>
      <c r="JVD6"/>
      <c r="JVE6"/>
      <c r="JVF6"/>
      <c r="JVG6"/>
      <c r="JVH6"/>
      <c r="JVI6"/>
      <c r="JVJ6"/>
      <c r="JVK6"/>
      <c r="JVL6"/>
      <c r="JVM6"/>
      <c r="JVN6"/>
      <c r="JVO6"/>
      <c r="JVP6"/>
      <c r="JVQ6"/>
      <c r="JVR6"/>
      <c r="JVS6"/>
      <c r="JVT6"/>
      <c r="JVU6"/>
      <c r="JVV6"/>
      <c r="JVW6"/>
      <c r="JVX6"/>
      <c r="JVY6"/>
      <c r="JVZ6"/>
      <c r="JWA6"/>
      <c r="JWB6"/>
      <c r="JWC6"/>
      <c r="JWD6"/>
      <c r="JWE6"/>
      <c r="JWF6"/>
      <c r="JWG6"/>
      <c r="JWH6"/>
      <c r="JWI6"/>
      <c r="JWJ6"/>
      <c r="JWK6"/>
      <c r="JWL6"/>
      <c r="JWM6"/>
      <c r="JWN6"/>
      <c r="JWO6"/>
      <c r="JWP6"/>
      <c r="JWQ6"/>
      <c r="JWR6"/>
      <c r="JWS6"/>
      <c r="JWT6"/>
      <c r="JWU6"/>
      <c r="JWV6"/>
      <c r="JWW6"/>
      <c r="JWX6"/>
      <c r="JWY6"/>
      <c r="JWZ6"/>
      <c r="JXA6"/>
      <c r="JXB6"/>
      <c r="JXC6"/>
      <c r="JXD6"/>
      <c r="JXE6"/>
      <c r="JXF6"/>
      <c r="JXG6"/>
      <c r="JXH6"/>
      <c r="JXI6"/>
      <c r="JXJ6"/>
      <c r="JXK6"/>
      <c r="JXL6"/>
      <c r="JXM6"/>
      <c r="JXN6"/>
      <c r="JXO6"/>
      <c r="JXP6"/>
      <c r="JXQ6"/>
      <c r="JXR6"/>
      <c r="JXS6"/>
      <c r="JXT6"/>
      <c r="JXU6"/>
      <c r="JXV6"/>
      <c r="JXW6"/>
      <c r="JXX6"/>
      <c r="JXY6"/>
      <c r="JXZ6"/>
      <c r="JYA6"/>
      <c r="JYB6"/>
      <c r="JYC6"/>
      <c r="JYD6"/>
      <c r="JYE6"/>
      <c r="JYF6"/>
      <c r="JYG6"/>
      <c r="JYH6"/>
      <c r="JYI6"/>
      <c r="JYJ6"/>
      <c r="JYK6"/>
      <c r="JYL6"/>
      <c r="JYM6"/>
      <c r="JYN6"/>
      <c r="JYO6"/>
      <c r="JYP6"/>
      <c r="JYQ6"/>
      <c r="JYR6"/>
      <c r="JYS6"/>
      <c r="JYT6"/>
      <c r="JYU6"/>
      <c r="JYV6"/>
      <c r="JYW6"/>
      <c r="JYX6"/>
      <c r="JYY6"/>
      <c r="JYZ6"/>
      <c r="JZA6"/>
      <c r="JZB6"/>
      <c r="JZC6"/>
      <c r="JZD6"/>
      <c r="JZE6"/>
      <c r="JZF6"/>
      <c r="JZG6"/>
      <c r="JZH6"/>
      <c r="JZI6"/>
      <c r="JZJ6"/>
      <c r="JZK6"/>
      <c r="JZL6"/>
      <c r="JZM6"/>
      <c r="JZN6"/>
      <c r="JZO6"/>
      <c r="JZP6"/>
      <c r="JZQ6"/>
      <c r="JZR6"/>
      <c r="JZS6"/>
      <c r="JZT6"/>
      <c r="JZU6"/>
      <c r="JZV6"/>
      <c r="JZW6"/>
      <c r="JZX6"/>
      <c r="JZY6"/>
      <c r="JZZ6"/>
      <c r="KAA6"/>
      <c r="KAB6"/>
      <c r="KAC6"/>
      <c r="KAD6"/>
      <c r="KAE6"/>
      <c r="KAF6"/>
      <c r="KAG6"/>
      <c r="KAH6"/>
      <c r="KAI6"/>
      <c r="KAJ6"/>
      <c r="KAK6"/>
      <c r="KAL6"/>
      <c r="KAM6"/>
      <c r="KAN6"/>
      <c r="KAO6"/>
      <c r="KAP6"/>
      <c r="KAQ6"/>
      <c r="KAR6"/>
      <c r="KAS6"/>
      <c r="KAT6"/>
      <c r="KAU6"/>
      <c r="KAV6"/>
      <c r="KAW6"/>
      <c r="KAX6"/>
      <c r="KAY6"/>
      <c r="KAZ6"/>
      <c r="KBA6"/>
      <c r="KBB6"/>
      <c r="KBC6"/>
      <c r="KBD6"/>
      <c r="KBE6"/>
      <c r="KBF6"/>
      <c r="KBG6"/>
      <c r="KBH6"/>
      <c r="KBI6"/>
      <c r="KBJ6"/>
      <c r="KBK6"/>
      <c r="KBL6"/>
      <c r="KBM6"/>
      <c r="KBN6"/>
      <c r="KBO6"/>
      <c r="KBP6"/>
      <c r="KBQ6"/>
      <c r="KBR6"/>
      <c r="KBS6"/>
      <c r="KBT6"/>
      <c r="KBU6"/>
      <c r="KBV6"/>
      <c r="KBW6"/>
      <c r="KBX6"/>
      <c r="KBY6"/>
      <c r="KBZ6"/>
      <c r="KCA6"/>
      <c r="KCB6"/>
      <c r="KCC6"/>
      <c r="KCD6"/>
      <c r="KCE6"/>
      <c r="KCF6"/>
      <c r="KCG6"/>
      <c r="KCH6"/>
      <c r="KCI6"/>
      <c r="KCJ6"/>
      <c r="KCK6"/>
      <c r="KCL6"/>
      <c r="KCM6"/>
      <c r="KCN6"/>
      <c r="KCO6"/>
      <c r="KCP6"/>
      <c r="KCQ6"/>
      <c r="KCR6"/>
      <c r="KCS6"/>
      <c r="KCT6"/>
      <c r="KCU6"/>
      <c r="KCV6"/>
      <c r="KCW6"/>
      <c r="KCX6"/>
      <c r="KCY6"/>
      <c r="KCZ6"/>
      <c r="KDA6"/>
      <c r="KDB6"/>
      <c r="KDC6"/>
      <c r="KDD6"/>
      <c r="KDE6"/>
      <c r="KDF6"/>
      <c r="KDG6"/>
      <c r="KDH6"/>
      <c r="KDI6"/>
      <c r="KDJ6"/>
      <c r="KDK6"/>
      <c r="KDL6"/>
      <c r="KDM6"/>
      <c r="KDN6"/>
      <c r="KDO6"/>
      <c r="KDP6"/>
      <c r="KDQ6"/>
      <c r="KDR6"/>
      <c r="KDS6"/>
      <c r="KDT6"/>
      <c r="KDU6"/>
      <c r="KDV6"/>
      <c r="KDW6"/>
      <c r="KDX6"/>
      <c r="KDY6"/>
      <c r="KDZ6"/>
      <c r="KEA6"/>
      <c r="KEB6"/>
      <c r="KEC6"/>
      <c r="KED6"/>
      <c r="KEE6"/>
      <c r="KEF6"/>
      <c r="KEG6"/>
      <c r="KEH6"/>
      <c r="KEI6"/>
      <c r="KEJ6"/>
      <c r="KEK6"/>
      <c r="KEL6"/>
      <c r="KEM6"/>
      <c r="KEN6"/>
      <c r="KEO6"/>
      <c r="KEP6"/>
      <c r="KEQ6"/>
      <c r="KER6"/>
      <c r="KES6"/>
      <c r="KET6"/>
      <c r="KEU6"/>
      <c r="KEV6"/>
      <c r="KEW6"/>
      <c r="KEX6"/>
      <c r="KEY6"/>
      <c r="KEZ6"/>
      <c r="KFA6"/>
      <c r="KFB6"/>
      <c r="KFC6"/>
      <c r="KFD6"/>
      <c r="KFE6"/>
      <c r="KFF6"/>
      <c r="KFG6"/>
      <c r="KFH6"/>
      <c r="KFI6"/>
      <c r="KFJ6"/>
      <c r="KFK6"/>
      <c r="KFL6"/>
      <c r="KFM6"/>
      <c r="KFN6"/>
      <c r="KFO6"/>
      <c r="KFP6"/>
      <c r="KFQ6"/>
      <c r="KFR6"/>
      <c r="KFS6"/>
      <c r="KFT6"/>
      <c r="KFU6"/>
      <c r="KFV6"/>
      <c r="KFW6"/>
      <c r="KFX6"/>
      <c r="KFY6"/>
      <c r="KFZ6"/>
      <c r="KGA6"/>
      <c r="KGB6"/>
      <c r="KGC6"/>
      <c r="KGD6"/>
      <c r="KGE6"/>
      <c r="KGF6"/>
      <c r="KGG6"/>
      <c r="KGH6"/>
      <c r="KGI6"/>
      <c r="KGJ6"/>
      <c r="KGK6"/>
      <c r="KGL6"/>
      <c r="KGM6"/>
      <c r="KGN6"/>
      <c r="KGO6"/>
      <c r="KGP6"/>
      <c r="KGQ6"/>
      <c r="KGR6"/>
      <c r="KGS6"/>
      <c r="KGT6"/>
      <c r="KGU6"/>
      <c r="KGV6"/>
      <c r="KGW6"/>
      <c r="KGX6"/>
      <c r="KGY6"/>
      <c r="KGZ6"/>
      <c r="KHA6"/>
      <c r="KHB6"/>
      <c r="KHC6"/>
      <c r="KHD6"/>
      <c r="KHE6"/>
      <c r="KHF6"/>
      <c r="KHG6"/>
      <c r="KHH6"/>
      <c r="KHI6"/>
      <c r="KHJ6"/>
      <c r="KHK6"/>
      <c r="KHL6"/>
      <c r="KHM6"/>
      <c r="KHN6"/>
      <c r="KHO6"/>
      <c r="KHP6"/>
      <c r="KHQ6"/>
      <c r="KHR6"/>
      <c r="KHS6"/>
      <c r="KHT6"/>
      <c r="KHU6"/>
      <c r="KHV6"/>
      <c r="KHW6"/>
      <c r="KHX6"/>
      <c r="KHY6"/>
      <c r="KHZ6"/>
      <c r="KIA6"/>
      <c r="KIB6"/>
      <c r="KIC6"/>
      <c r="KID6"/>
      <c r="KIE6"/>
      <c r="KIF6"/>
      <c r="KIG6"/>
      <c r="KIH6"/>
      <c r="KII6"/>
      <c r="KIJ6"/>
      <c r="KIK6"/>
      <c r="KIL6"/>
      <c r="KIM6"/>
      <c r="KIN6"/>
      <c r="KIO6"/>
      <c r="KIP6"/>
      <c r="KIQ6"/>
      <c r="KIR6"/>
      <c r="KIS6"/>
      <c r="KIT6"/>
      <c r="KIU6"/>
      <c r="KIV6"/>
      <c r="KIW6"/>
      <c r="KIX6"/>
      <c r="KIY6"/>
      <c r="KIZ6"/>
      <c r="KJA6"/>
      <c r="KJB6"/>
      <c r="KJC6"/>
      <c r="KJD6"/>
      <c r="KJE6"/>
      <c r="KJF6"/>
      <c r="KJG6"/>
      <c r="KJH6"/>
      <c r="KJI6"/>
      <c r="KJJ6"/>
      <c r="KJK6"/>
      <c r="KJL6"/>
      <c r="KJM6"/>
      <c r="KJN6"/>
      <c r="KJO6"/>
      <c r="KJP6"/>
      <c r="KJQ6"/>
      <c r="KJR6"/>
      <c r="KJS6"/>
      <c r="KJT6"/>
      <c r="KJU6"/>
      <c r="KJV6"/>
      <c r="KJW6"/>
      <c r="KJX6"/>
      <c r="KJY6"/>
      <c r="KJZ6"/>
      <c r="KKA6"/>
      <c r="KKB6"/>
      <c r="KKC6"/>
      <c r="KKD6"/>
      <c r="KKE6"/>
      <c r="KKF6"/>
      <c r="KKG6"/>
      <c r="KKH6"/>
      <c r="KKI6"/>
      <c r="KKJ6"/>
      <c r="KKK6"/>
      <c r="KKL6"/>
      <c r="KKM6"/>
      <c r="KKN6"/>
      <c r="KKO6"/>
      <c r="KKP6"/>
      <c r="KKQ6"/>
      <c r="KKR6"/>
      <c r="KKS6"/>
      <c r="KKT6"/>
      <c r="KKU6"/>
      <c r="KKV6"/>
      <c r="KKW6"/>
      <c r="KKX6"/>
      <c r="KKY6"/>
      <c r="KKZ6"/>
      <c r="KLA6"/>
      <c r="KLB6"/>
      <c r="KLC6"/>
      <c r="KLD6"/>
      <c r="KLE6"/>
      <c r="KLF6"/>
      <c r="KLG6"/>
      <c r="KLH6"/>
      <c r="KLI6"/>
      <c r="KLJ6"/>
      <c r="KLK6"/>
      <c r="KLL6"/>
      <c r="KLM6"/>
      <c r="KLN6"/>
      <c r="KLO6"/>
      <c r="KLP6"/>
      <c r="KLQ6"/>
      <c r="KLR6"/>
      <c r="KLS6"/>
      <c r="KLT6"/>
      <c r="KLU6"/>
      <c r="KLV6"/>
      <c r="KLW6"/>
      <c r="KLX6"/>
      <c r="KLY6"/>
      <c r="KLZ6"/>
      <c r="KMA6"/>
      <c r="KMB6"/>
      <c r="KMC6"/>
      <c r="KMD6"/>
      <c r="KME6"/>
      <c r="KMF6"/>
      <c r="KMG6"/>
      <c r="KMH6"/>
      <c r="KMI6"/>
      <c r="KMJ6"/>
      <c r="KMK6"/>
      <c r="KML6"/>
      <c r="KMM6"/>
      <c r="KMN6"/>
      <c r="KMO6"/>
      <c r="KMP6"/>
      <c r="KMQ6"/>
      <c r="KMR6"/>
      <c r="KMS6"/>
      <c r="KMT6"/>
      <c r="KMU6"/>
      <c r="KMV6"/>
      <c r="KMW6"/>
      <c r="KMX6"/>
      <c r="KMY6"/>
      <c r="KMZ6"/>
      <c r="KNA6"/>
      <c r="KNB6"/>
      <c r="KNC6"/>
      <c r="KND6"/>
      <c r="KNE6"/>
      <c r="KNF6"/>
      <c r="KNG6"/>
      <c r="KNH6"/>
      <c r="KNI6"/>
      <c r="KNJ6"/>
      <c r="KNK6"/>
      <c r="KNL6"/>
      <c r="KNM6"/>
      <c r="KNN6"/>
      <c r="KNO6"/>
      <c r="KNP6"/>
      <c r="KNQ6"/>
      <c r="KNR6"/>
      <c r="KNS6"/>
      <c r="KNT6"/>
      <c r="KNU6"/>
      <c r="KNV6"/>
      <c r="KNW6"/>
      <c r="KNX6"/>
      <c r="KNY6"/>
      <c r="KNZ6"/>
      <c r="KOA6"/>
      <c r="KOB6"/>
      <c r="KOC6"/>
      <c r="KOD6"/>
      <c r="KOE6"/>
      <c r="KOF6"/>
      <c r="KOG6"/>
      <c r="KOH6"/>
      <c r="KOI6"/>
      <c r="KOJ6"/>
      <c r="KOK6"/>
      <c r="KOL6"/>
      <c r="KOM6"/>
      <c r="KON6"/>
      <c r="KOO6"/>
      <c r="KOP6"/>
      <c r="KOQ6"/>
      <c r="KOR6"/>
      <c r="KOS6"/>
      <c r="KOT6"/>
      <c r="KOU6"/>
      <c r="KOV6"/>
      <c r="KOW6"/>
      <c r="KOX6"/>
      <c r="KOY6"/>
      <c r="KOZ6"/>
      <c r="KPA6"/>
      <c r="KPB6"/>
      <c r="KPC6"/>
      <c r="KPD6"/>
      <c r="KPE6"/>
      <c r="KPF6"/>
      <c r="KPG6"/>
      <c r="KPH6"/>
      <c r="KPI6"/>
      <c r="KPJ6"/>
      <c r="KPK6"/>
      <c r="KPL6"/>
      <c r="KPM6"/>
      <c r="KPN6"/>
      <c r="KPO6"/>
      <c r="KPP6"/>
      <c r="KPQ6"/>
      <c r="KPR6"/>
      <c r="KPS6"/>
      <c r="KPT6"/>
      <c r="KPU6"/>
      <c r="KPV6"/>
      <c r="KPW6"/>
      <c r="KPX6"/>
      <c r="KPY6"/>
      <c r="KPZ6"/>
      <c r="KQA6"/>
      <c r="KQB6"/>
      <c r="KQC6"/>
      <c r="KQD6"/>
      <c r="KQE6"/>
      <c r="KQF6"/>
      <c r="KQG6"/>
      <c r="KQH6"/>
      <c r="KQI6"/>
      <c r="KQJ6"/>
      <c r="KQK6"/>
      <c r="KQL6"/>
      <c r="KQM6"/>
      <c r="KQN6"/>
      <c r="KQO6"/>
      <c r="KQP6"/>
      <c r="KQQ6"/>
      <c r="KQR6"/>
      <c r="KQS6"/>
      <c r="KQT6"/>
      <c r="KQU6"/>
      <c r="KQV6"/>
      <c r="KQW6"/>
      <c r="KQX6"/>
      <c r="KQY6"/>
      <c r="KQZ6"/>
      <c r="KRA6"/>
      <c r="KRB6"/>
      <c r="KRC6"/>
      <c r="KRD6"/>
      <c r="KRE6"/>
      <c r="KRF6"/>
      <c r="KRG6"/>
      <c r="KRH6"/>
      <c r="KRI6"/>
      <c r="KRJ6"/>
      <c r="KRK6"/>
      <c r="KRL6"/>
      <c r="KRM6"/>
      <c r="KRN6"/>
      <c r="KRO6"/>
      <c r="KRP6"/>
      <c r="KRQ6"/>
      <c r="KRR6"/>
      <c r="KRS6"/>
      <c r="KRT6"/>
      <c r="KRU6"/>
      <c r="KRV6"/>
      <c r="KRW6"/>
      <c r="KRX6"/>
      <c r="KRY6"/>
      <c r="KRZ6"/>
      <c r="KSA6"/>
      <c r="KSB6"/>
      <c r="KSC6"/>
      <c r="KSD6"/>
      <c r="KSE6"/>
      <c r="KSF6"/>
      <c r="KSG6"/>
      <c r="KSH6"/>
      <c r="KSI6"/>
      <c r="KSJ6"/>
      <c r="KSK6"/>
      <c r="KSL6"/>
      <c r="KSM6"/>
      <c r="KSN6"/>
      <c r="KSO6"/>
      <c r="KSP6"/>
      <c r="KSQ6"/>
      <c r="KSR6"/>
      <c r="KSS6"/>
      <c r="KST6"/>
      <c r="KSU6"/>
      <c r="KSV6"/>
      <c r="KSW6"/>
      <c r="KSX6"/>
      <c r="KSY6"/>
      <c r="KSZ6"/>
      <c r="KTA6"/>
      <c r="KTB6"/>
      <c r="KTC6"/>
      <c r="KTD6"/>
      <c r="KTE6"/>
      <c r="KTF6"/>
      <c r="KTG6"/>
      <c r="KTH6"/>
      <c r="KTI6"/>
      <c r="KTJ6"/>
      <c r="KTK6"/>
      <c r="KTL6"/>
      <c r="KTM6"/>
      <c r="KTN6"/>
      <c r="KTO6"/>
      <c r="KTP6"/>
      <c r="KTQ6"/>
      <c r="KTR6"/>
      <c r="KTS6"/>
      <c r="KTT6"/>
      <c r="KTU6"/>
      <c r="KTV6"/>
      <c r="KTW6"/>
      <c r="KTX6"/>
      <c r="KTY6"/>
      <c r="KTZ6"/>
      <c r="KUA6"/>
      <c r="KUB6"/>
      <c r="KUC6"/>
      <c r="KUD6"/>
      <c r="KUE6"/>
      <c r="KUF6"/>
      <c r="KUG6"/>
      <c r="KUH6"/>
      <c r="KUI6"/>
      <c r="KUJ6"/>
      <c r="KUK6"/>
      <c r="KUL6"/>
      <c r="KUM6"/>
      <c r="KUN6"/>
      <c r="KUO6"/>
      <c r="KUP6"/>
      <c r="KUQ6"/>
      <c r="KUR6"/>
      <c r="KUS6"/>
      <c r="KUT6"/>
      <c r="KUU6"/>
      <c r="KUV6"/>
      <c r="KUW6"/>
      <c r="KUX6"/>
      <c r="KUY6"/>
      <c r="KUZ6"/>
      <c r="KVA6"/>
      <c r="KVB6"/>
      <c r="KVC6"/>
      <c r="KVD6"/>
      <c r="KVE6"/>
      <c r="KVF6"/>
      <c r="KVG6"/>
      <c r="KVH6"/>
      <c r="KVI6"/>
      <c r="KVJ6"/>
      <c r="KVK6"/>
      <c r="KVL6"/>
      <c r="KVM6"/>
      <c r="KVN6"/>
      <c r="KVO6"/>
      <c r="KVP6"/>
      <c r="KVQ6"/>
      <c r="KVR6"/>
      <c r="KVS6"/>
      <c r="KVT6"/>
      <c r="KVU6"/>
      <c r="KVV6"/>
      <c r="KVW6"/>
      <c r="KVX6"/>
      <c r="KVY6"/>
      <c r="KVZ6"/>
      <c r="KWA6"/>
      <c r="KWB6"/>
      <c r="KWC6"/>
      <c r="KWD6"/>
      <c r="KWE6"/>
      <c r="KWF6"/>
      <c r="KWG6"/>
      <c r="KWH6"/>
      <c r="KWI6"/>
      <c r="KWJ6"/>
      <c r="KWK6"/>
      <c r="KWL6"/>
      <c r="KWM6"/>
      <c r="KWN6"/>
      <c r="KWO6"/>
      <c r="KWP6"/>
      <c r="KWQ6"/>
      <c r="KWR6"/>
      <c r="KWS6"/>
      <c r="KWT6"/>
      <c r="KWU6"/>
      <c r="KWV6"/>
      <c r="KWW6"/>
      <c r="KWX6"/>
      <c r="KWY6"/>
      <c r="KWZ6"/>
      <c r="KXA6"/>
      <c r="KXB6"/>
      <c r="KXC6"/>
      <c r="KXD6"/>
      <c r="KXE6"/>
      <c r="KXF6"/>
      <c r="KXG6"/>
      <c r="KXH6"/>
      <c r="KXI6"/>
      <c r="KXJ6"/>
      <c r="KXK6"/>
      <c r="KXL6"/>
      <c r="KXM6"/>
      <c r="KXN6"/>
      <c r="KXO6"/>
      <c r="KXP6"/>
      <c r="KXQ6"/>
      <c r="KXR6"/>
      <c r="KXS6"/>
      <c r="KXT6"/>
      <c r="KXU6"/>
      <c r="KXV6"/>
      <c r="KXW6"/>
      <c r="KXX6"/>
      <c r="KXY6"/>
      <c r="KXZ6"/>
      <c r="KYA6"/>
      <c r="KYB6"/>
      <c r="KYC6"/>
      <c r="KYD6"/>
      <c r="KYE6"/>
      <c r="KYF6"/>
      <c r="KYG6"/>
      <c r="KYH6"/>
      <c r="KYI6"/>
      <c r="KYJ6"/>
      <c r="KYK6"/>
      <c r="KYL6"/>
      <c r="KYM6"/>
      <c r="KYN6"/>
      <c r="KYO6"/>
      <c r="KYP6"/>
      <c r="KYQ6"/>
      <c r="KYR6"/>
      <c r="KYS6"/>
      <c r="KYT6"/>
      <c r="KYU6"/>
      <c r="KYV6"/>
      <c r="KYW6"/>
      <c r="KYX6"/>
      <c r="KYY6"/>
      <c r="KYZ6"/>
      <c r="KZA6"/>
      <c r="KZB6"/>
      <c r="KZC6"/>
      <c r="KZD6"/>
      <c r="KZE6"/>
      <c r="KZF6"/>
      <c r="KZG6"/>
      <c r="KZH6"/>
      <c r="KZI6"/>
      <c r="KZJ6"/>
      <c r="KZK6"/>
      <c r="KZL6"/>
      <c r="KZM6"/>
      <c r="KZN6"/>
      <c r="KZO6"/>
      <c r="KZP6"/>
      <c r="KZQ6"/>
      <c r="KZR6"/>
      <c r="KZS6"/>
      <c r="KZT6"/>
      <c r="KZU6"/>
      <c r="KZV6"/>
      <c r="KZW6"/>
      <c r="KZX6"/>
      <c r="KZY6"/>
      <c r="KZZ6"/>
      <c r="LAA6"/>
      <c r="LAB6"/>
      <c r="LAC6"/>
      <c r="LAD6"/>
      <c r="LAE6"/>
      <c r="LAF6"/>
      <c r="LAG6"/>
      <c r="LAH6"/>
      <c r="LAI6"/>
      <c r="LAJ6"/>
      <c r="LAK6"/>
      <c r="LAL6"/>
      <c r="LAM6"/>
      <c r="LAN6"/>
      <c r="LAO6"/>
      <c r="LAP6"/>
      <c r="LAQ6"/>
      <c r="LAR6"/>
      <c r="LAS6"/>
      <c r="LAT6"/>
      <c r="LAU6"/>
      <c r="LAV6"/>
      <c r="LAW6"/>
      <c r="LAX6"/>
      <c r="LAY6"/>
      <c r="LAZ6"/>
      <c r="LBA6"/>
      <c r="LBB6"/>
      <c r="LBC6"/>
      <c r="LBD6"/>
      <c r="LBE6"/>
      <c r="LBF6"/>
      <c r="LBG6"/>
      <c r="LBH6"/>
      <c r="LBI6"/>
      <c r="LBJ6"/>
      <c r="LBK6"/>
      <c r="LBL6"/>
      <c r="LBM6"/>
      <c r="LBN6"/>
      <c r="LBO6"/>
      <c r="LBP6"/>
      <c r="LBQ6"/>
      <c r="LBR6"/>
      <c r="LBS6"/>
      <c r="LBT6"/>
      <c r="LBU6"/>
      <c r="LBV6"/>
      <c r="LBW6"/>
      <c r="LBX6"/>
      <c r="LBY6"/>
      <c r="LBZ6"/>
      <c r="LCA6"/>
      <c r="LCB6"/>
      <c r="LCC6"/>
      <c r="LCD6"/>
      <c r="LCE6"/>
      <c r="LCF6"/>
      <c r="LCG6"/>
      <c r="LCH6"/>
      <c r="LCI6"/>
      <c r="LCJ6"/>
      <c r="LCK6"/>
      <c r="LCL6"/>
      <c r="LCM6"/>
      <c r="LCN6"/>
      <c r="LCO6"/>
      <c r="LCP6"/>
      <c r="LCQ6"/>
      <c r="LCR6"/>
      <c r="LCS6"/>
      <c r="LCT6"/>
      <c r="LCU6"/>
      <c r="LCV6"/>
      <c r="LCW6"/>
      <c r="LCX6"/>
      <c r="LCY6"/>
      <c r="LCZ6"/>
      <c r="LDA6"/>
      <c r="LDB6"/>
      <c r="LDC6"/>
      <c r="LDD6"/>
      <c r="LDE6"/>
      <c r="LDF6"/>
      <c r="LDG6"/>
      <c r="LDH6"/>
      <c r="LDI6"/>
      <c r="LDJ6"/>
      <c r="LDK6"/>
      <c r="LDL6"/>
      <c r="LDM6"/>
      <c r="LDN6"/>
      <c r="LDO6"/>
      <c r="LDP6"/>
      <c r="LDQ6"/>
      <c r="LDR6"/>
      <c r="LDS6"/>
      <c r="LDT6"/>
      <c r="LDU6"/>
      <c r="LDV6"/>
      <c r="LDW6"/>
      <c r="LDX6"/>
      <c r="LDY6"/>
      <c r="LDZ6"/>
      <c r="LEA6"/>
      <c r="LEB6"/>
      <c r="LEC6"/>
      <c r="LED6"/>
      <c r="LEE6"/>
      <c r="LEF6"/>
      <c r="LEG6"/>
      <c r="LEH6"/>
      <c r="LEI6"/>
      <c r="LEJ6"/>
      <c r="LEK6"/>
      <c r="LEL6"/>
      <c r="LEM6"/>
      <c r="LEN6"/>
      <c r="LEO6"/>
      <c r="LEP6"/>
      <c r="LEQ6"/>
      <c r="LER6"/>
      <c r="LES6"/>
      <c r="LET6"/>
      <c r="LEU6"/>
      <c r="LEV6"/>
      <c r="LEW6"/>
      <c r="LEX6"/>
      <c r="LEY6"/>
      <c r="LEZ6"/>
      <c r="LFA6"/>
      <c r="LFB6"/>
      <c r="LFC6"/>
      <c r="LFD6"/>
      <c r="LFE6"/>
      <c r="LFF6"/>
      <c r="LFG6"/>
      <c r="LFH6"/>
      <c r="LFI6"/>
      <c r="LFJ6"/>
      <c r="LFK6"/>
      <c r="LFL6"/>
      <c r="LFM6"/>
      <c r="LFN6"/>
      <c r="LFO6"/>
      <c r="LFP6"/>
      <c r="LFQ6"/>
      <c r="LFR6"/>
      <c r="LFS6"/>
      <c r="LFT6"/>
      <c r="LFU6"/>
      <c r="LFV6"/>
      <c r="LFW6"/>
      <c r="LFX6"/>
      <c r="LFY6"/>
      <c r="LFZ6"/>
      <c r="LGA6"/>
      <c r="LGB6"/>
      <c r="LGC6"/>
      <c r="LGD6"/>
      <c r="LGE6"/>
      <c r="LGF6"/>
      <c r="LGG6"/>
      <c r="LGH6"/>
      <c r="LGI6"/>
      <c r="LGJ6"/>
      <c r="LGK6"/>
      <c r="LGL6"/>
      <c r="LGM6"/>
      <c r="LGN6"/>
      <c r="LGO6"/>
      <c r="LGP6"/>
      <c r="LGQ6"/>
      <c r="LGR6"/>
      <c r="LGS6"/>
      <c r="LGT6"/>
      <c r="LGU6"/>
      <c r="LGV6"/>
      <c r="LGW6"/>
      <c r="LGX6"/>
      <c r="LGY6"/>
      <c r="LGZ6"/>
      <c r="LHA6"/>
      <c r="LHB6"/>
      <c r="LHC6"/>
      <c r="LHD6"/>
      <c r="LHE6"/>
      <c r="LHF6"/>
      <c r="LHG6"/>
      <c r="LHH6"/>
      <c r="LHI6"/>
      <c r="LHJ6"/>
      <c r="LHK6"/>
      <c r="LHL6"/>
      <c r="LHM6"/>
      <c r="LHN6"/>
      <c r="LHO6"/>
      <c r="LHP6"/>
      <c r="LHQ6"/>
      <c r="LHR6"/>
      <c r="LHS6"/>
      <c r="LHT6"/>
      <c r="LHU6"/>
      <c r="LHV6"/>
      <c r="LHW6"/>
      <c r="LHX6"/>
      <c r="LHY6"/>
      <c r="LHZ6"/>
      <c r="LIA6"/>
      <c r="LIB6"/>
      <c r="LIC6"/>
      <c r="LID6"/>
      <c r="LIE6"/>
      <c r="LIF6"/>
      <c r="LIG6"/>
      <c r="LIH6"/>
      <c r="LII6"/>
      <c r="LIJ6"/>
      <c r="LIK6"/>
      <c r="LIL6"/>
      <c r="LIM6"/>
      <c r="LIN6"/>
      <c r="LIO6"/>
      <c r="LIP6"/>
      <c r="LIQ6"/>
      <c r="LIR6"/>
      <c r="LIS6"/>
      <c r="LIT6"/>
      <c r="LIU6"/>
      <c r="LIV6"/>
      <c r="LIW6"/>
      <c r="LIX6"/>
      <c r="LIY6"/>
      <c r="LIZ6"/>
      <c r="LJA6"/>
      <c r="LJB6"/>
      <c r="LJC6"/>
      <c r="LJD6"/>
      <c r="LJE6"/>
      <c r="LJF6"/>
      <c r="LJG6"/>
      <c r="LJH6"/>
      <c r="LJI6"/>
      <c r="LJJ6"/>
      <c r="LJK6"/>
      <c r="LJL6"/>
      <c r="LJM6"/>
      <c r="LJN6"/>
      <c r="LJO6"/>
      <c r="LJP6"/>
      <c r="LJQ6"/>
      <c r="LJR6"/>
      <c r="LJS6"/>
      <c r="LJT6"/>
      <c r="LJU6"/>
      <c r="LJV6"/>
      <c r="LJW6"/>
      <c r="LJX6"/>
      <c r="LJY6"/>
      <c r="LJZ6"/>
      <c r="LKA6"/>
      <c r="LKB6"/>
      <c r="LKC6"/>
      <c r="LKD6"/>
      <c r="LKE6"/>
      <c r="LKF6"/>
      <c r="LKG6"/>
      <c r="LKH6"/>
      <c r="LKI6"/>
      <c r="LKJ6"/>
      <c r="LKK6"/>
      <c r="LKL6"/>
      <c r="LKM6"/>
      <c r="LKN6"/>
      <c r="LKO6"/>
      <c r="LKP6"/>
      <c r="LKQ6"/>
      <c r="LKR6"/>
      <c r="LKS6"/>
      <c r="LKT6"/>
      <c r="LKU6"/>
      <c r="LKV6"/>
      <c r="LKW6"/>
      <c r="LKX6"/>
      <c r="LKY6"/>
      <c r="LKZ6"/>
      <c r="LLA6"/>
      <c r="LLB6"/>
      <c r="LLC6"/>
      <c r="LLD6"/>
      <c r="LLE6"/>
      <c r="LLF6"/>
      <c r="LLG6"/>
      <c r="LLH6"/>
      <c r="LLI6"/>
      <c r="LLJ6"/>
      <c r="LLK6"/>
      <c r="LLL6"/>
      <c r="LLM6"/>
      <c r="LLN6"/>
      <c r="LLO6"/>
      <c r="LLP6"/>
      <c r="LLQ6"/>
      <c r="LLR6"/>
      <c r="LLS6"/>
      <c r="LLT6"/>
      <c r="LLU6"/>
      <c r="LLV6"/>
      <c r="LLW6"/>
      <c r="LLX6"/>
      <c r="LLY6"/>
      <c r="LLZ6"/>
      <c r="LMA6"/>
      <c r="LMB6"/>
      <c r="LMC6"/>
      <c r="LMD6"/>
      <c r="LME6"/>
      <c r="LMF6"/>
      <c r="LMG6"/>
      <c r="LMH6"/>
      <c r="LMI6"/>
      <c r="LMJ6"/>
      <c r="LMK6"/>
      <c r="LML6"/>
      <c r="LMM6"/>
      <c r="LMN6"/>
      <c r="LMO6"/>
      <c r="LMP6"/>
      <c r="LMQ6"/>
      <c r="LMR6"/>
      <c r="LMS6"/>
      <c r="LMT6"/>
      <c r="LMU6"/>
      <c r="LMV6"/>
      <c r="LMW6"/>
      <c r="LMX6"/>
      <c r="LMY6"/>
      <c r="LMZ6"/>
      <c r="LNA6"/>
      <c r="LNB6"/>
      <c r="LNC6"/>
      <c r="LND6"/>
      <c r="LNE6"/>
      <c r="LNF6"/>
      <c r="LNG6"/>
      <c r="LNH6"/>
      <c r="LNI6"/>
      <c r="LNJ6"/>
      <c r="LNK6"/>
      <c r="LNL6"/>
      <c r="LNM6"/>
      <c r="LNN6"/>
      <c r="LNO6"/>
      <c r="LNP6"/>
      <c r="LNQ6"/>
      <c r="LNR6"/>
      <c r="LNS6"/>
      <c r="LNT6"/>
      <c r="LNU6"/>
      <c r="LNV6"/>
      <c r="LNW6"/>
      <c r="LNX6"/>
      <c r="LNY6"/>
      <c r="LNZ6"/>
      <c r="LOA6"/>
      <c r="LOB6"/>
      <c r="LOC6"/>
      <c r="LOD6"/>
      <c r="LOE6"/>
      <c r="LOF6"/>
      <c r="LOG6"/>
      <c r="LOH6"/>
      <c r="LOI6"/>
      <c r="LOJ6"/>
      <c r="LOK6"/>
      <c r="LOL6"/>
      <c r="LOM6"/>
      <c r="LON6"/>
      <c r="LOO6"/>
      <c r="LOP6"/>
      <c r="LOQ6"/>
      <c r="LOR6"/>
      <c r="LOS6"/>
      <c r="LOT6"/>
      <c r="LOU6"/>
      <c r="LOV6"/>
      <c r="LOW6"/>
      <c r="LOX6"/>
      <c r="LOY6"/>
      <c r="LOZ6"/>
      <c r="LPA6"/>
      <c r="LPB6"/>
      <c r="LPC6"/>
      <c r="LPD6"/>
      <c r="LPE6"/>
      <c r="LPF6"/>
      <c r="LPG6"/>
      <c r="LPH6"/>
      <c r="LPI6"/>
      <c r="LPJ6"/>
      <c r="LPK6"/>
      <c r="LPL6"/>
      <c r="LPM6"/>
      <c r="LPN6"/>
      <c r="LPO6"/>
      <c r="LPP6"/>
      <c r="LPQ6"/>
      <c r="LPR6"/>
      <c r="LPS6"/>
      <c r="LPT6"/>
      <c r="LPU6"/>
      <c r="LPV6"/>
      <c r="LPW6"/>
      <c r="LPX6"/>
      <c r="LPY6"/>
      <c r="LPZ6"/>
      <c r="LQA6"/>
      <c r="LQB6"/>
      <c r="LQC6"/>
      <c r="LQD6"/>
      <c r="LQE6"/>
      <c r="LQF6"/>
      <c r="LQG6"/>
      <c r="LQH6"/>
      <c r="LQI6"/>
      <c r="LQJ6"/>
      <c r="LQK6"/>
      <c r="LQL6"/>
      <c r="LQM6"/>
      <c r="LQN6"/>
      <c r="LQO6"/>
      <c r="LQP6"/>
      <c r="LQQ6"/>
      <c r="LQR6"/>
      <c r="LQS6"/>
      <c r="LQT6"/>
      <c r="LQU6"/>
      <c r="LQV6"/>
      <c r="LQW6"/>
      <c r="LQX6"/>
      <c r="LQY6"/>
      <c r="LQZ6"/>
      <c r="LRA6"/>
      <c r="LRB6"/>
      <c r="LRC6"/>
      <c r="LRD6"/>
      <c r="LRE6"/>
      <c r="LRF6"/>
      <c r="LRG6"/>
      <c r="LRH6"/>
      <c r="LRI6"/>
      <c r="LRJ6"/>
      <c r="LRK6"/>
      <c r="LRL6"/>
      <c r="LRM6"/>
      <c r="LRN6"/>
      <c r="LRO6"/>
      <c r="LRP6"/>
      <c r="LRQ6"/>
      <c r="LRR6"/>
      <c r="LRS6"/>
      <c r="LRT6"/>
      <c r="LRU6"/>
      <c r="LRV6"/>
      <c r="LRW6"/>
      <c r="LRX6"/>
      <c r="LRY6"/>
      <c r="LRZ6"/>
      <c r="LSA6"/>
      <c r="LSB6"/>
      <c r="LSC6"/>
      <c r="LSD6"/>
      <c r="LSE6"/>
      <c r="LSF6"/>
      <c r="LSG6"/>
      <c r="LSH6"/>
      <c r="LSI6"/>
      <c r="LSJ6"/>
      <c r="LSK6"/>
      <c r="LSL6"/>
      <c r="LSM6"/>
      <c r="LSN6"/>
      <c r="LSO6"/>
      <c r="LSP6"/>
      <c r="LSQ6"/>
      <c r="LSR6"/>
      <c r="LSS6"/>
      <c r="LST6"/>
      <c r="LSU6"/>
      <c r="LSV6"/>
      <c r="LSW6"/>
      <c r="LSX6"/>
      <c r="LSY6"/>
      <c r="LSZ6"/>
      <c r="LTA6"/>
      <c r="LTB6"/>
      <c r="LTC6"/>
      <c r="LTD6"/>
      <c r="LTE6"/>
      <c r="LTF6"/>
      <c r="LTG6"/>
      <c r="LTH6"/>
      <c r="LTI6"/>
      <c r="LTJ6"/>
      <c r="LTK6"/>
      <c r="LTL6"/>
      <c r="LTM6"/>
      <c r="LTN6"/>
      <c r="LTO6"/>
      <c r="LTP6"/>
      <c r="LTQ6"/>
      <c r="LTR6"/>
      <c r="LTS6"/>
      <c r="LTT6"/>
      <c r="LTU6"/>
      <c r="LTV6"/>
      <c r="LTW6"/>
      <c r="LTX6"/>
      <c r="LTY6"/>
      <c r="LTZ6"/>
      <c r="LUA6"/>
      <c r="LUB6"/>
      <c r="LUC6"/>
      <c r="LUD6"/>
      <c r="LUE6"/>
      <c r="LUF6"/>
      <c r="LUG6"/>
      <c r="LUH6"/>
      <c r="LUI6"/>
      <c r="LUJ6"/>
      <c r="LUK6"/>
      <c r="LUL6"/>
      <c r="LUM6"/>
      <c r="LUN6"/>
      <c r="LUO6"/>
      <c r="LUP6"/>
      <c r="LUQ6"/>
      <c r="LUR6"/>
      <c r="LUS6"/>
      <c r="LUT6"/>
      <c r="LUU6"/>
      <c r="LUV6"/>
      <c r="LUW6"/>
      <c r="LUX6"/>
      <c r="LUY6"/>
      <c r="LUZ6"/>
      <c r="LVA6"/>
      <c r="LVB6"/>
      <c r="LVC6"/>
      <c r="LVD6"/>
      <c r="LVE6"/>
      <c r="LVF6"/>
      <c r="LVG6"/>
      <c r="LVH6"/>
      <c r="LVI6"/>
      <c r="LVJ6"/>
      <c r="LVK6"/>
      <c r="LVL6"/>
      <c r="LVM6"/>
      <c r="LVN6"/>
      <c r="LVO6"/>
      <c r="LVP6"/>
      <c r="LVQ6"/>
      <c r="LVR6"/>
      <c r="LVS6"/>
      <c r="LVT6"/>
      <c r="LVU6"/>
      <c r="LVV6"/>
      <c r="LVW6"/>
      <c r="LVX6"/>
      <c r="LVY6"/>
      <c r="LVZ6"/>
      <c r="LWA6"/>
      <c r="LWB6"/>
      <c r="LWC6"/>
      <c r="LWD6"/>
      <c r="LWE6"/>
      <c r="LWF6"/>
      <c r="LWG6"/>
      <c r="LWH6"/>
      <c r="LWI6"/>
      <c r="LWJ6"/>
      <c r="LWK6"/>
      <c r="LWL6"/>
      <c r="LWM6"/>
      <c r="LWN6"/>
      <c r="LWO6"/>
      <c r="LWP6"/>
      <c r="LWQ6"/>
      <c r="LWR6"/>
      <c r="LWS6"/>
      <c r="LWT6"/>
      <c r="LWU6"/>
      <c r="LWV6"/>
      <c r="LWW6"/>
      <c r="LWX6"/>
      <c r="LWY6"/>
      <c r="LWZ6"/>
      <c r="LXA6"/>
      <c r="LXB6"/>
      <c r="LXC6"/>
      <c r="LXD6"/>
      <c r="LXE6"/>
      <c r="LXF6"/>
      <c r="LXG6"/>
      <c r="LXH6"/>
      <c r="LXI6"/>
      <c r="LXJ6"/>
      <c r="LXK6"/>
      <c r="LXL6"/>
      <c r="LXM6"/>
      <c r="LXN6"/>
      <c r="LXO6"/>
      <c r="LXP6"/>
      <c r="LXQ6"/>
      <c r="LXR6"/>
      <c r="LXS6"/>
      <c r="LXT6"/>
      <c r="LXU6"/>
      <c r="LXV6"/>
      <c r="LXW6"/>
      <c r="LXX6"/>
      <c r="LXY6"/>
      <c r="LXZ6"/>
      <c r="LYA6"/>
      <c r="LYB6"/>
      <c r="LYC6"/>
      <c r="LYD6"/>
      <c r="LYE6"/>
      <c r="LYF6"/>
      <c r="LYG6"/>
      <c r="LYH6"/>
      <c r="LYI6"/>
      <c r="LYJ6"/>
      <c r="LYK6"/>
      <c r="LYL6"/>
      <c r="LYM6"/>
      <c r="LYN6"/>
      <c r="LYO6"/>
      <c r="LYP6"/>
      <c r="LYQ6"/>
      <c r="LYR6"/>
      <c r="LYS6"/>
      <c r="LYT6"/>
      <c r="LYU6"/>
      <c r="LYV6"/>
      <c r="LYW6"/>
      <c r="LYX6"/>
      <c r="LYY6"/>
      <c r="LYZ6"/>
      <c r="LZA6"/>
      <c r="LZB6"/>
      <c r="LZC6"/>
      <c r="LZD6"/>
      <c r="LZE6"/>
      <c r="LZF6"/>
      <c r="LZG6"/>
      <c r="LZH6"/>
      <c r="LZI6"/>
      <c r="LZJ6"/>
      <c r="LZK6"/>
      <c r="LZL6"/>
      <c r="LZM6"/>
      <c r="LZN6"/>
      <c r="LZO6"/>
      <c r="LZP6"/>
      <c r="LZQ6"/>
      <c r="LZR6"/>
      <c r="LZS6"/>
      <c r="LZT6"/>
      <c r="LZU6"/>
      <c r="LZV6"/>
      <c r="LZW6"/>
      <c r="LZX6"/>
      <c r="LZY6"/>
      <c r="LZZ6"/>
      <c r="MAA6"/>
      <c r="MAB6"/>
      <c r="MAC6"/>
      <c r="MAD6"/>
      <c r="MAE6"/>
      <c r="MAF6"/>
      <c r="MAG6"/>
      <c r="MAH6"/>
      <c r="MAI6"/>
      <c r="MAJ6"/>
      <c r="MAK6"/>
      <c r="MAL6"/>
      <c r="MAM6"/>
      <c r="MAN6"/>
      <c r="MAO6"/>
      <c r="MAP6"/>
      <c r="MAQ6"/>
      <c r="MAR6"/>
      <c r="MAS6"/>
      <c r="MAT6"/>
      <c r="MAU6"/>
      <c r="MAV6"/>
      <c r="MAW6"/>
      <c r="MAX6"/>
      <c r="MAY6"/>
      <c r="MAZ6"/>
      <c r="MBA6"/>
      <c r="MBB6"/>
      <c r="MBC6"/>
      <c r="MBD6"/>
      <c r="MBE6"/>
      <c r="MBF6"/>
      <c r="MBG6"/>
      <c r="MBH6"/>
      <c r="MBI6"/>
      <c r="MBJ6"/>
      <c r="MBK6"/>
      <c r="MBL6"/>
      <c r="MBM6"/>
      <c r="MBN6"/>
      <c r="MBO6"/>
      <c r="MBP6"/>
      <c r="MBQ6"/>
      <c r="MBR6"/>
      <c r="MBS6"/>
      <c r="MBT6"/>
      <c r="MBU6"/>
      <c r="MBV6"/>
      <c r="MBW6"/>
      <c r="MBX6"/>
      <c r="MBY6"/>
      <c r="MBZ6"/>
      <c r="MCA6"/>
      <c r="MCB6"/>
      <c r="MCC6"/>
      <c r="MCD6"/>
      <c r="MCE6"/>
      <c r="MCF6"/>
      <c r="MCG6"/>
      <c r="MCH6"/>
      <c r="MCI6"/>
      <c r="MCJ6"/>
      <c r="MCK6"/>
      <c r="MCL6"/>
      <c r="MCM6"/>
      <c r="MCN6"/>
      <c r="MCO6"/>
      <c r="MCP6"/>
      <c r="MCQ6"/>
      <c r="MCR6"/>
      <c r="MCS6"/>
      <c r="MCT6"/>
      <c r="MCU6"/>
      <c r="MCV6"/>
      <c r="MCW6"/>
      <c r="MCX6"/>
      <c r="MCY6"/>
      <c r="MCZ6"/>
      <c r="MDA6"/>
      <c r="MDB6"/>
      <c r="MDC6"/>
      <c r="MDD6"/>
      <c r="MDE6"/>
      <c r="MDF6"/>
      <c r="MDG6"/>
      <c r="MDH6"/>
      <c r="MDI6"/>
      <c r="MDJ6"/>
      <c r="MDK6"/>
      <c r="MDL6"/>
      <c r="MDM6"/>
      <c r="MDN6"/>
      <c r="MDO6"/>
      <c r="MDP6"/>
      <c r="MDQ6"/>
      <c r="MDR6"/>
      <c r="MDS6"/>
      <c r="MDT6"/>
      <c r="MDU6"/>
      <c r="MDV6"/>
      <c r="MDW6"/>
      <c r="MDX6"/>
      <c r="MDY6"/>
      <c r="MDZ6"/>
      <c r="MEA6"/>
      <c r="MEB6"/>
      <c r="MEC6"/>
      <c r="MED6"/>
      <c r="MEE6"/>
      <c r="MEF6"/>
      <c r="MEG6"/>
      <c r="MEH6"/>
      <c r="MEI6"/>
      <c r="MEJ6"/>
      <c r="MEK6"/>
      <c r="MEL6"/>
      <c r="MEM6"/>
      <c r="MEN6"/>
      <c r="MEO6"/>
      <c r="MEP6"/>
      <c r="MEQ6"/>
      <c r="MER6"/>
      <c r="MES6"/>
      <c r="MET6"/>
      <c r="MEU6"/>
      <c r="MEV6"/>
      <c r="MEW6"/>
      <c r="MEX6"/>
      <c r="MEY6"/>
      <c r="MEZ6"/>
      <c r="MFA6"/>
      <c r="MFB6"/>
      <c r="MFC6"/>
      <c r="MFD6"/>
      <c r="MFE6"/>
      <c r="MFF6"/>
      <c r="MFG6"/>
      <c r="MFH6"/>
      <c r="MFI6"/>
      <c r="MFJ6"/>
      <c r="MFK6"/>
      <c r="MFL6"/>
      <c r="MFM6"/>
      <c r="MFN6"/>
      <c r="MFO6"/>
      <c r="MFP6"/>
      <c r="MFQ6"/>
      <c r="MFR6"/>
      <c r="MFS6"/>
      <c r="MFT6"/>
      <c r="MFU6"/>
      <c r="MFV6"/>
      <c r="MFW6"/>
      <c r="MFX6"/>
      <c r="MFY6"/>
      <c r="MFZ6"/>
      <c r="MGA6"/>
      <c r="MGB6"/>
      <c r="MGC6"/>
      <c r="MGD6"/>
      <c r="MGE6"/>
      <c r="MGF6"/>
      <c r="MGG6"/>
      <c r="MGH6"/>
      <c r="MGI6"/>
      <c r="MGJ6"/>
      <c r="MGK6"/>
      <c r="MGL6"/>
      <c r="MGM6"/>
      <c r="MGN6"/>
      <c r="MGO6"/>
      <c r="MGP6"/>
      <c r="MGQ6"/>
      <c r="MGR6"/>
      <c r="MGS6"/>
      <c r="MGT6"/>
      <c r="MGU6"/>
      <c r="MGV6"/>
      <c r="MGW6"/>
      <c r="MGX6"/>
      <c r="MGY6"/>
      <c r="MGZ6"/>
      <c r="MHA6"/>
      <c r="MHB6"/>
      <c r="MHC6"/>
      <c r="MHD6"/>
      <c r="MHE6"/>
      <c r="MHF6"/>
      <c r="MHG6"/>
      <c r="MHH6"/>
      <c r="MHI6"/>
      <c r="MHJ6"/>
      <c r="MHK6"/>
      <c r="MHL6"/>
      <c r="MHM6"/>
      <c r="MHN6"/>
      <c r="MHO6"/>
      <c r="MHP6"/>
      <c r="MHQ6"/>
      <c r="MHR6"/>
      <c r="MHS6"/>
      <c r="MHT6"/>
      <c r="MHU6"/>
      <c r="MHV6"/>
      <c r="MHW6"/>
      <c r="MHX6"/>
      <c r="MHY6"/>
      <c r="MHZ6"/>
      <c r="MIA6"/>
      <c r="MIB6"/>
      <c r="MIC6"/>
      <c r="MID6"/>
      <c r="MIE6"/>
      <c r="MIF6"/>
      <c r="MIG6"/>
      <c r="MIH6"/>
      <c r="MII6"/>
      <c r="MIJ6"/>
      <c r="MIK6"/>
      <c r="MIL6"/>
      <c r="MIM6"/>
      <c r="MIN6"/>
      <c r="MIO6"/>
      <c r="MIP6"/>
      <c r="MIQ6"/>
      <c r="MIR6"/>
      <c r="MIS6"/>
      <c r="MIT6"/>
      <c r="MIU6"/>
      <c r="MIV6"/>
      <c r="MIW6"/>
      <c r="MIX6"/>
      <c r="MIY6"/>
      <c r="MIZ6"/>
      <c r="MJA6"/>
      <c r="MJB6"/>
      <c r="MJC6"/>
      <c r="MJD6"/>
      <c r="MJE6"/>
      <c r="MJF6"/>
      <c r="MJG6"/>
      <c r="MJH6"/>
      <c r="MJI6"/>
      <c r="MJJ6"/>
      <c r="MJK6"/>
      <c r="MJL6"/>
      <c r="MJM6"/>
      <c r="MJN6"/>
      <c r="MJO6"/>
      <c r="MJP6"/>
      <c r="MJQ6"/>
      <c r="MJR6"/>
      <c r="MJS6"/>
      <c r="MJT6"/>
      <c r="MJU6"/>
      <c r="MJV6"/>
      <c r="MJW6"/>
      <c r="MJX6"/>
      <c r="MJY6"/>
      <c r="MJZ6"/>
      <c r="MKA6"/>
      <c r="MKB6"/>
      <c r="MKC6"/>
      <c r="MKD6"/>
      <c r="MKE6"/>
      <c r="MKF6"/>
      <c r="MKG6"/>
      <c r="MKH6"/>
      <c r="MKI6"/>
      <c r="MKJ6"/>
      <c r="MKK6"/>
      <c r="MKL6"/>
      <c r="MKM6"/>
      <c r="MKN6"/>
      <c r="MKO6"/>
      <c r="MKP6"/>
      <c r="MKQ6"/>
      <c r="MKR6"/>
      <c r="MKS6"/>
      <c r="MKT6"/>
      <c r="MKU6"/>
      <c r="MKV6"/>
      <c r="MKW6"/>
      <c r="MKX6"/>
      <c r="MKY6"/>
      <c r="MKZ6"/>
      <c r="MLA6"/>
      <c r="MLB6"/>
      <c r="MLC6"/>
      <c r="MLD6"/>
      <c r="MLE6"/>
      <c r="MLF6"/>
      <c r="MLG6"/>
      <c r="MLH6"/>
      <c r="MLI6"/>
      <c r="MLJ6"/>
      <c r="MLK6"/>
      <c r="MLL6"/>
      <c r="MLM6"/>
      <c r="MLN6"/>
      <c r="MLO6"/>
      <c r="MLP6"/>
      <c r="MLQ6"/>
      <c r="MLR6"/>
      <c r="MLS6"/>
      <c r="MLT6"/>
      <c r="MLU6"/>
      <c r="MLV6"/>
      <c r="MLW6"/>
      <c r="MLX6"/>
      <c r="MLY6"/>
      <c r="MLZ6"/>
      <c r="MMA6"/>
      <c r="MMB6"/>
      <c r="MMC6"/>
      <c r="MMD6"/>
      <c r="MME6"/>
      <c r="MMF6"/>
      <c r="MMG6"/>
      <c r="MMH6"/>
      <c r="MMI6"/>
      <c r="MMJ6"/>
      <c r="MMK6"/>
      <c r="MML6"/>
      <c r="MMM6"/>
      <c r="MMN6"/>
      <c r="MMO6"/>
      <c r="MMP6"/>
      <c r="MMQ6"/>
      <c r="MMR6"/>
      <c r="MMS6"/>
      <c r="MMT6"/>
      <c r="MMU6"/>
      <c r="MMV6"/>
      <c r="MMW6"/>
      <c r="MMX6"/>
      <c r="MMY6"/>
      <c r="MMZ6"/>
      <c r="MNA6"/>
      <c r="MNB6"/>
      <c r="MNC6"/>
      <c r="MND6"/>
      <c r="MNE6"/>
      <c r="MNF6"/>
      <c r="MNG6"/>
      <c r="MNH6"/>
      <c r="MNI6"/>
      <c r="MNJ6"/>
      <c r="MNK6"/>
      <c r="MNL6"/>
      <c r="MNM6"/>
      <c r="MNN6"/>
      <c r="MNO6"/>
      <c r="MNP6"/>
      <c r="MNQ6"/>
      <c r="MNR6"/>
      <c r="MNS6"/>
      <c r="MNT6"/>
      <c r="MNU6"/>
      <c r="MNV6"/>
      <c r="MNW6"/>
      <c r="MNX6"/>
      <c r="MNY6"/>
      <c r="MNZ6"/>
      <c r="MOA6"/>
      <c r="MOB6"/>
      <c r="MOC6"/>
      <c r="MOD6"/>
      <c r="MOE6"/>
      <c r="MOF6"/>
      <c r="MOG6"/>
      <c r="MOH6"/>
      <c r="MOI6"/>
      <c r="MOJ6"/>
      <c r="MOK6"/>
      <c r="MOL6"/>
      <c r="MOM6"/>
      <c r="MON6"/>
      <c r="MOO6"/>
      <c r="MOP6"/>
      <c r="MOQ6"/>
      <c r="MOR6"/>
      <c r="MOS6"/>
      <c r="MOT6"/>
      <c r="MOU6"/>
      <c r="MOV6"/>
      <c r="MOW6"/>
      <c r="MOX6"/>
      <c r="MOY6"/>
      <c r="MOZ6"/>
      <c r="MPA6"/>
      <c r="MPB6"/>
      <c r="MPC6"/>
      <c r="MPD6"/>
      <c r="MPE6"/>
      <c r="MPF6"/>
      <c r="MPG6"/>
      <c r="MPH6"/>
      <c r="MPI6"/>
      <c r="MPJ6"/>
      <c r="MPK6"/>
      <c r="MPL6"/>
      <c r="MPM6"/>
      <c r="MPN6"/>
      <c r="MPO6"/>
      <c r="MPP6"/>
      <c r="MPQ6"/>
      <c r="MPR6"/>
      <c r="MPS6"/>
      <c r="MPT6"/>
      <c r="MPU6"/>
      <c r="MPV6"/>
      <c r="MPW6"/>
      <c r="MPX6"/>
      <c r="MPY6"/>
      <c r="MPZ6"/>
      <c r="MQA6"/>
      <c r="MQB6"/>
      <c r="MQC6"/>
      <c r="MQD6"/>
      <c r="MQE6"/>
      <c r="MQF6"/>
      <c r="MQG6"/>
      <c r="MQH6"/>
      <c r="MQI6"/>
      <c r="MQJ6"/>
      <c r="MQK6"/>
      <c r="MQL6"/>
      <c r="MQM6"/>
      <c r="MQN6"/>
      <c r="MQO6"/>
      <c r="MQP6"/>
      <c r="MQQ6"/>
      <c r="MQR6"/>
      <c r="MQS6"/>
      <c r="MQT6"/>
      <c r="MQU6"/>
      <c r="MQV6"/>
      <c r="MQW6"/>
      <c r="MQX6"/>
      <c r="MQY6"/>
      <c r="MQZ6"/>
      <c r="MRA6"/>
      <c r="MRB6"/>
      <c r="MRC6"/>
      <c r="MRD6"/>
      <c r="MRE6"/>
      <c r="MRF6"/>
      <c r="MRG6"/>
      <c r="MRH6"/>
      <c r="MRI6"/>
      <c r="MRJ6"/>
      <c r="MRK6"/>
      <c r="MRL6"/>
      <c r="MRM6"/>
      <c r="MRN6"/>
      <c r="MRO6"/>
      <c r="MRP6"/>
      <c r="MRQ6"/>
      <c r="MRR6"/>
      <c r="MRS6"/>
      <c r="MRT6"/>
      <c r="MRU6"/>
      <c r="MRV6"/>
      <c r="MRW6"/>
      <c r="MRX6"/>
      <c r="MRY6"/>
      <c r="MRZ6"/>
      <c r="MSA6"/>
      <c r="MSB6"/>
      <c r="MSC6"/>
      <c r="MSD6"/>
      <c r="MSE6"/>
      <c r="MSF6"/>
      <c r="MSG6"/>
      <c r="MSH6"/>
      <c r="MSI6"/>
      <c r="MSJ6"/>
      <c r="MSK6"/>
      <c r="MSL6"/>
      <c r="MSM6"/>
      <c r="MSN6"/>
      <c r="MSO6"/>
      <c r="MSP6"/>
      <c r="MSQ6"/>
      <c r="MSR6"/>
      <c r="MSS6"/>
      <c r="MST6"/>
      <c r="MSU6"/>
      <c r="MSV6"/>
      <c r="MSW6"/>
      <c r="MSX6"/>
      <c r="MSY6"/>
      <c r="MSZ6"/>
      <c r="MTA6"/>
      <c r="MTB6"/>
      <c r="MTC6"/>
      <c r="MTD6"/>
      <c r="MTE6"/>
      <c r="MTF6"/>
      <c r="MTG6"/>
      <c r="MTH6"/>
      <c r="MTI6"/>
      <c r="MTJ6"/>
      <c r="MTK6"/>
      <c r="MTL6"/>
      <c r="MTM6"/>
      <c r="MTN6"/>
      <c r="MTO6"/>
      <c r="MTP6"/>
      <c r="MTQ6"/>
      <c r="MTR6"/>
      <c r="MTS6"/>
      <c r="MTT6"/>
      <c r="MTU6"/>
      <c r="MTV6"/>
      <c r="MTW6"/>
      <c r="MTX6"/>
      <c r="MTY6"/>
      <c r="MTZ6"/>
      <c r="MUA6"/>
      <c r="MUB6"/>
      <c r="MUC6"/>
      <c r="MUD6"/>
      <c r="MUE6"/>
      <c r="MUF6"/>
      <c r="MUG6"/>
      <c r="MUH6"/>
      <c r="MUI6"/>
      <c r="MUJ6"/>
      <c r="MUK6"/>
      <c r="MUL6"/>
      <c r="MUM6"/>
      <c r="MUN6"/>
      <c r="MUO6"/>
      <c r="MUP6"/>
      <c r="MUQ6"/>
      <c r="MUR6"/>
      <c r="MUS6"/>
      <c r="MUT6"/>
      <c r="MUU6"/>
      <c r="MUV6"/>
      <c r="MUW6"/>
      <c r="MUX6"/>
      <c r="MUY6"/>
      <c r="MUZ6"/>
      <c r="MVA6"/>
      <c r="MVB6"/>
      <c r="MVC6"/>
      <c r="MVD6"/>
      <c r="MVE6"/>
      <c r="MVF6"/>
      <c r="MVG6"/>
      <c r="MVH6"/>
      <c r="MVI6"/>
      <c r="MVJ6"/>
      <c r="MVK6"/>
      <c r="MVL6"/>
      <c r="MVM6"/>
      <c r="MVN6"/>
      <c r="MVO6"/>
      <c r="MVP6"/>
      <c r="MVQ6"/>
      <c r="MVR6"/>
      <c r="MVS6"/>
      <c r="MVT6"/>
      <c r="MVU6"/>
      <c r="MVV6"/>
      <c r="MVW6"/>
      <c r="MVX6"/>
      <c r="MVY6"/>
      <c r="MVZ6"/>
      <c r="MWA6"/>
      <c r="MWB6"/>
      <c r="MWC6"/>
      <c r="MWD6"/>
      <c r="MWE6"/>
      <c r="MWF6"/>
      <c r="MWG6"/>
      <c r="MWH6"/>
      <c r="MWI6"/>
      <c r="MWJ6"/>
      <c r="MWK6"/>
      <c r="MWL6"/>
      <c r="MWM6"/>
      <c r="MWN6"/>
      <c r="MWO6"/>
      <c r="MWP6"/>
      <c r="MWQ6"/>
      <c r="MWR6"/>
      <c r="MWS6"/>
      <c r="MWT6"/>
      <c r="MWU6"/>
      <c r="MWV6"/>
      <c r="MWW6"/>
      <c r="MWX6"/>
      <c r="MWY6"/>
      <c r="MWZ6"/>
      <c r="MXA6"/>
      <c r="MXB6"/>
      <c r="MXC6"/>
      <c r="MXD6"/>
      <c r="MXE6"/>
      <c r="MXF6"/>
      <c r="MXG6"/>
      <c r="MXH6"/>
      <c r="MXI6"/>
      <c r="MXJ6"/>
      <c r="MXK6"/>
      <c r="MXL6"/>
      <c r="MXM6"/>
      <c r="MXN6"/>
      <c r="MXO6"/>
      <c r="MXP6"/>
      <c r="MXQ6"/>
      <c r="MXR6"/>
      <c r="MXS6"/>
      <c r="MXT6"/>
      <c r="MXU6"/>
      <c r="MXV6"/>
      <c r="MXW6"/>
      <c r="MXX6"/>
      <c r="MXY6"/>
      <c r="MXZ6"/>
      <c r="MYA6"/>
      <c r="MYB6"/>
      <c r="MYC6"/>
      <c r="MYD6"/>
      <c r="MYE6"/>
      <c r="MYF6"/>
      <c r="MYG6"/>
      <c r="MYH6"/>
      <c r="MYI6"/>
      <c r="MYJ6"/>
      <c r="MYK6"/>
      <c r="MYL6"/>
      <c r="MYM6"/>
      <c r="MYN6"/>
      <c r="MYO6"/>
      <c r="MYP6"/>
      <c r="MYQ6"/>
      <c r="MYR6"/>
      <c r="MYS6"/>
      <c r="MYT6"/>
      <c r="MYU6"/>
      <c r="MYV6"/>
      <c r="MYW6"/>
      <c r="MYX6"/>
      <c r="MYY6"/>
      <c r="MYZ6"/>
      <c r="MZA6"/>
      <c r="MZB6"/>
      <c r="MZC6"/>
      <c r="MZD6"/>
      <c r="MZE6"/>
      <c r="MZF6"/>
      <c r="MZG6"/>
      <c r="MZH6"/>
      <c r="MZI6"/>
      <c r="MZJ6"/>
      <c r="MZK6"/>
      <c r="MZL6"/>
      <c r="MZM6"/>
      <c r="MZN6"/>
      <c r="MZO6"/>
      <c r="MZP6"/>
      <c r="MZQ6"/>
      <c r="MZR6"/>
      <c r="MZS6"/>
      <c r="MZT6"/>
      <c r="MZU6"/>
      <c r="MZV6"/>
      <c r="MZW6"/>
      <c r="MZX6"/>
      <c r="MZY6"/>
      <c r="MZZ6"/>
      <c r="NAA6"/>
      <c r="NAB6"/>
      <c r="NAC6"/>
      <c r="NAD6"/>
      <c r="NAE6"/>
      <c r="NAF6"/>
      <c r="NAG6"/>
      <c r="NAH6"/>
      <c r="NAI6"/>
      <c r="NAJ6"/>
      <c r="NAK6"/>
      <c r="NAL6"/>
      <c r="NAM6"/>
      <c r="NAN6"/>
      <c r="NAO6"/>
      <c r="NAP6"/>
      <c r="NAQ6"/>
      <c r="NAR6"/>
      <c r="NAS6"/>
      <c r="NAT6"/>
      <c r="NAU6"/>
      <c r="NAV6"/>
      <c r="NAW6"/>
      <c r="NAX6"/>
      <c r="NAY6"/>
      <c r="NAZ6"/>
      <c r="NBA6"/>
      <c r="NBB6"/>
      <c r="NBC6"/>
      <c r="NBD6"/>
      <c r="NBE6"/>
      <c r="NBF6"/>
      <c r="NBG6"/>
      <c r="NBH6"/>
      <c r="NBI6"/>
      <c r="NBJ6"/>
      <c r="NBK6"/>
      <c r="NBL6"/>
      <c r="NBM6"/>
      <c r="NBN6"/>
      <c r="NBO6"/>
      <c r="NBP6"/>
      <c r="NBQ6"/>
      <c r="NBR6"/>
      <c r="NBS6"/>
      <c r="NBT6"/>
      <c r="NBU6"/>
      <c r="NBV6"/>
      <c r="NBW6"/>
      <c r="NBX6"/>
      <c r="NBY6"/>
      <c r="NBZ6"/>
      <c r="NCA6"/>
      <c r="NCB6"/>
      <c r="NCC6"/>
      <c r="NCD6"/>
      <c r="NCE6"/>
      <c r="NCF6"/>
      <c r="NCG6"/>
      <c r="NCH6"/>
      <c r="NCI6"/>
      <c r="NCJ6"/>
      <c r="NCK6"/>
      <c r="NCL6"/>
      <c r="NCM6"/>
      <c r="NCN6"/>
      <c r="NCO6"/>
      <c r="NCP6"/>
      <c r="NCQ6"/>
      <c r="NCR6"/>
      <c r="NCS6"/>
      <c r="NCT6"/>
      <c r="NCU6"/>
      <c r="NCV6"/>
      <c r="NCW6"/>
      <c r="NCX6"/>
      <c r="NCY6"/>
      <c r="NCZ6"/>
      <c r="NDA6"/>
      <c r="NDB6"/>
      <c r="NDC6"/>
      <c r="NDD6"/>
      <c r="NDE6"/>
      <c r="NDF6"/>
      <c r="NDG6"/>
      <c r="NDH6"/>
      <c r="NDI6"/>
      <c r="NDJ6"/>
      <c r="NDK6"/>
      <c r="NDL6"/>
      <c r="NDM6"/>
      <c r="NDN6"/>
      <c r="NDO6"/>
      <c r="NDP6"/>
      <c r="NDQ6"/>
      <c r="NDR6"/>
      <c r="NDS6"/>
      <c r="NDT6"/>
      <c r="NDU6"/>
      <c r="NDV6"/>
      <c r="NDW6"/>
      <c r="NDX6"/>
      <c r="NDY6"/>
      <c r="NDZ6"/>
      <c r="NEA6"/>
      <c r="NEB6"/>
      <c r="NEC6"/>
      <c r="NED6"/>
      <c r="NEE6"/>
      <c r="NEF6"/>
      <c r="NEG6"/>
      <c r="NEH6"/>
      <c r="NEI6"/>
      <c r="NEJ6"/>
      <c r="NEK6"/>
      <c r="NEL6"/>
      <c r="NEM6"/>
      <c r="NEN6"/>
      <c r="NEO6"/>
      <c r="NEP6"/>
      <c r="NEQ6"/>
      <c r="NER6"/>
      <c r="NES6"/>
      <c r="NET6"/>
      <c r="NEU6"/>
      <c r="NEV6"/>
      <c r="NEW6"/>
      <c r="NEX6"/>
      <c r="NEY6"/>
      <c r="NEZ6"/>
      <c r="NFA6"/>
      <c r="NFB6"/>
      <c r="NFC6"/>
      <c r="NFD6"/>
      <c r="NFE6"/>
      <c r="NFF6"/>
      <c r="NFG6"/>
      <c r="NFH6"/>
      <c r="NFI6"/>
      <c r="NFJ6"/>
      <c r="NFK6"/>
      <c r="NFL6"/>
      <c r="NFM6"/>
      <c r="NFN6"/>
      <c r="NFO6"/>
      <c r="NFP6"/>
      <c r="NFQ6"/>
      <c r="NFR6"/>
      <c r="NFS6"/>
      <c r="NFT6"/>
      <c r="NFU6"/>
      <c r="NFV6"/>
      <c r="NFW6"/>
      <c r="NFX6"/>
      <c r="NFY6"/>
      <c r="NFZ6"/>
      <c r="NGA6"/>
      <c r="NGB6"/>
      <c r="NGC6"/>
      <c r="NGD6"/>
      <c r="NGE6"/>
      <c r="NGF6"/>
      <c r="NGG6"/>
      <c r="NGH6"/>
      <c r="NGI6"/>
      <c r="NGJ6"/>
      <c r="NGK6"/>
      <c r="NGL6"/>
      <c r="NGM6"/>
      <c r="NGN6"/>
      <c r="NGO6"/>
      <c r="NGP6"/>
      <c r="NGQ6"/>
      <c r="NGR6"/>
      <c r="NGS6"/>
      <c r="NGT6"/>
      <c r="NGU6"/>
      <c r="NGV6"/>
      <c r="NGW6"/>
      <c r="NGX6"/>
      <c r="NGY6"/>
      <c r="NGZ6"/>
      <c r="NHA6"/>
      <c r="NHB6"/>
      <c r="NHC6"/>
      <c r="NHD6"/>
      <c r="NHE6"/>
      <c r="NHF6"/>
      <c r="NHG6"/>
      <c r="NHH6"/>
      <c r="NHI6"/>
      <c r="NHJ6"/>
      <c r="NHK6"/>
      <c r="NHL6"/>
      <c r="NHM6"/>
      <c r="NHN6"/>
      <c r="NHO6"/>
      <c r="NHP6"/>
      <c r="NHQ6"/>
      <c r="NHR6"/>
      <c r="NHS6"/>
      <c r="NHT6"/>
      <c r="NHU6"/>
      <c r="NHV6"/>
      <c r="NHW6"/>
      <c r="NHX6"/>
      <c r="NHY6"/>
      <c r="NHZ6"/>
      <c r="NIA6"/>
      <c r="NIB6"/>
      <c r="NIC6"/>
      <c r="NID6"/>
      <c r="NIE6"/>
      <c r="NIF6"/>
      <c r="NIG6"/>
      <c r="NIH6"/>
      <c r="NII6"/>
      <c r="NIJ6"/>
      <c r="NIK6"/>
      <c r="NIL6"/>
      <c r="NIM6"/>
      <c r="NIN6"/>
      <c r="NIO6"/>
      <c r="NIP6"/>
      <c r="NIQ6"/>
      <c r="NIR6"/>
      <c r="NIS6"/>
      <c r="NIT6"/>
      <c r="NIU6"/>
      <c r="NIV6"/>
      <c r="NIW6"/>
      <c r="NIX6"/>
      <c r="NIY6"/>
      <c r="NIZ6"/>
      <c r="NJA6"/>
      <c r="NJB6"/>
      <c r="NJC6"/>
      <c r="NJD6"/>
      <c r="NJE6"/>
      <c r="NJF6"/>
      <c r="NJG6"/>
      <c r="NJH6"/>
      <c r="NJI6"/>
      <c r="NJJ6"/>
      <c r="NJK6"/>
      <c r="NJL6"/>
      <c r="NJM6"/>
      <c r="NJN6"/>
      <c r="NJO6"/>
      <c r="NJP6"/>
      <c r="NJQ6"/>
      <c r="NJR6"/>
      <c r="NJS6"/>
      <c r="NJT6"/>
      <c r="NJU6"/>
      <c r="NJV6"/>
      <c r="NJW6"/>
      <c r="NJX6"/>
      <c r="NJY6"/>
      <c r="NJZ6"/>
      <c r="NKA6"/>
      <c r="NKB6"/>
      <c r="NKC6"/>
      <c r="NKD6"/>
      <c r="NKE6"/>
      <c r="NKF6"/>
      <c r="NKG6"/>
      <c r="NKH6"/>
      <c r="NKI6"/>
      <c r="NKJ6"/>
      <c r="NKK6"/>
      <c r="NKL6"/>
      <c r="NKM6"/>
      <c r="NKN6"/>
      <c r="NKO6"/>
      <c r="NKP6"/>
      <c r="NKQ6"/>
      <c r="NKR6"/>
      <c r="NKS6"/>
      <c r="NKT6"/>
      <c r="NKU6"/>
      <c r="NKV6"/>
      <c r="NKW6"/>
      <c r="NKX6"/>
      <c r="NKY6"/>
      <c r="NKZ6"/>
      <c r="NLA6"/>
      <c r="NLB6"/>
      <c r="NLC6"/>
      <c r="NLD6"/>
      <c r="NLE6"/>
      <c r="NLF6"/>
      <c r="NLG6"/>
      <c r="NLH6"/>
      <c r="NLI6"/>
      <c r="NLJ6"/>
      <c r="NLK6"/>
      <c r="NLL6"/>
      <c r="NLM6"/>
      <c r="NLN6"/>
      <c r="NLO6"/>
      <c r="NLP6"/>
      <c r="NLQ6"/>
      <c r="NLR6"/>
      <c r="NLS6"/>
      <c r="NLT6"/>
      <c r="NLU6"/>
      <c r="NLV6"/>
      <c r="NLW6"/>
      <c r="NLX6"/>
      <c r="NLY6"/>
      <c r="NLZ6"/>
      <c r="NMA6"/>
      <c r="NMB6"/>
      <c r="NMC6"/>
      <c r="NMD6"/>
      <c r="NME6"/>
      <c r="NMF6"/>
      <c r="NMG6"/>
      <c r="NMH6"/>
      <c r="NMI6"/>
      <c r="NMJ6"/>
      <c r="NMK6"/>
      <c r="NML6"/>
      <c r="NMM6"/>
      <c r="NMN6"/>
      <c r="NMO6"/>
      <c r="NMP6"/>
      <c r="NMQ6"/>
      <c r="NMR6"/>
      <c r="NMS6"/>
      <c r="NMT6"/>
      <c r="NMU6"/>
      <c r="NMV6"/>
      <c r="NMW6"/>
      <c r="NMX6"/>
      <c r="NMY6"/>
      <c r="NMZ6"/>
      <c r="NNA6"/>
      <c r="NNB6"/>
      <c r="NNC6"/>
      <c r="NND6"/>
      <c r="NNE6"/>
      <c r="NNF6"/>
      <c r="NNG6"/>
      <c r="NNH6"/>
      <c r="NNI6"/>
      <c r="NNJ6"/>
      <c r="NNK6"/>
      <c r="NNL6"/>
      <c r="NNM6"/>
      <c r="NNN6"/>
      <c r="NNO6"/>
      <c r="NNP6"/>
      <c r="NNQ6"/>
      <c r="NNR6"/>
      <c r="NNS6"/>
      <c r="NNT6"/>
      <c r="NNU6"/>
      <c r="NNV6"/>
      <c r="NNW6"/>
      <c r="NNX6"/>
      <c r="NNY6"/>
      <c r="NNZ6"/>
      <c r="NOA6"/>
      <c r="NOB6"/>
      <c r="NOC6"/>
      <c r="NOD6"/>
      <c r="NOE6"/>
      <c r="NOF6"/>
      <c r="NOG6"/>
      <c r="NOH6"/>
      <c r="NOI6"/>
      <c r="NOJ6"/>
      <c r="NOK6"/>
      <c r="NOL6"/>
      <c r="NOM6"/>
      <c r="NON6"/>
      <c r="NOO6"/>
      <c r="NOP6"/>
      <c r="NOQ6"/>
      <c r="NOR6"/>
      <c r="NOS6"/>
      <c r="NOT6"/>
      <c r="NOU6"/>
      <c r="NOV6"/>
      <c r="NOW6"/>
      <c r="NOX6"/>
      <c r="NOY6"/>
      <c r="NOZ6"/>
      <c r="NPA6"/>
      <c r="NPB6"/>
      <c r="NPC6"/>
      <c r="NPD6"/>
      <c r="NPE6"/>
      <c r="NPF6"/>
      <c r="NPG6"/>
      <c r="NPH6"/>
      <c r="NPI6"/>
      <c r="NPJ6"/>
      <c r="NPK6"/>
      <c r="NPL6"/>
      <c r="NPM6"/>
      <c r="NPN6"/>
      <c r="NPO6"/>
      <c r="NPP6"/>
      <c r="NPQ6"/>
      <c r="NPR6"/>
      <c r="NPS6"/>
      <c r="NPT6"/>
      <c r="NPU6"/>
      <c r="NPV6"/>
      <c r="NPW6"/>
      <c r="NPX6"/>
      <c r="NPY6"/>
      <c r="NPZ6"/>
      <c r="NQA6"/>
      <c r="NQB6"/>
      <c r="NQC6"/>
      <c r="NQD6"/>
      <c r="NQE6"/>
      <c r="NQF6"/>
      <c r="NQG6"/>
      <c r="NQH6"/>
      <c r="NQI6"/>
      <c r="NQJ6"/>
      <c r="NQK6"/>
      <c r="NQL6"/>
      <c r="NQM6"/>
      <c r="NQN6"/>
      <c r="NQO6"/>
      <c r="NQP6"/>
      <c r="NQQ6"/>
      <c r="NQR6"/>
      <c r="NQS6"/>
      <c r="NQT6"/>
      <c r="NQU6"/>
      <c r="NQV6"/>
      <c r="NQW6"/>
      <c r="NQX6"/>
      <c r="NQY6"/>
      <c r="NQZ6"/>
      <c r="NRA6"/>
      <c r="NRB6"/>
      <c r="NRC6"/>
      <c r="NRD6"/>
      <c r="NRE6"/>
      <c r="NRF6"/>
      <c r="NRG6"/>
      <c r="NRH6"/>
      <c r="NRI6"/>
      <c r="NRJ6"/>
      <c r="NRK6"/>
      <c r="NRL6"/>
      <c r="NRM6"/>
      <c r="NRN6"/>
      <c r="NRO6"/>
      <c r="NRP6"/>
      <c r="NRQ6"/>
      <c r="NRR6"/>
      <c r="NRS6"/>
      <c r="NRT6"/>
      <c r="NRU6"/>
      <c r="NRV6"/>
      <c r="NRW6"/>
      <c r="NRX6"/>
      <c r="NRY6"/>
      <c r="NRZ6"/>
      <c r="NSA6"/>
      <c r="NSB6"/>
      <c r="NSC6"/>
      <c r="NSD6"/>
      <c r="NSE6"/>
      <c r="NSF6"/>
      <c r="NSG6"/>
      <c r="NSH6"/>
      <c r="NSI6"/>
      <c r="NSJ6"/>
      <c r="NSK6"/>
      <c r="NSL6"/>
      <c r="NSM6"/>
      <c r="NSN6"/>
      <c r="NSO6"/>
      <c r="NSP6"/>
      <c r="NSQ6"/>
      <c r="NSR6"/>
      <c r="NSS6"/>
      <c r="NST6"/>
      <c r="NSU6"/>
      <c r="NSV6"/>
      <c r="NSW6"/>
      <c r="NSX6"/>
      <c r="NSY6"/>
      <c r="NSZ6"/>
      <c r="NTA6"/>
      <c r="NTB6"/>
      <c r="NTC6"/>
      <c r="NTD6"/>
      <c r="NTE6"/>
      <c r="NTF6"/>
      <c r="NTG6"/>
      <c r="NTH6"/>
      <c r="NTI6"/>
      <c r="NTJ6"/>
      <c r="NTK6"/>
      <c r="NTL6"/>
      <c r="NTM6"/>
      <c r="NTN6"/>
      <c r="NTO6"/>
      <c r="NTP6"/>
      <c r="NTQ6"/>
      <c r="NTR6"/>
      <c r="NTS6"/>
      <c r="NTT6"/>
      <c r="NTU6"/>
      <c r="NTV6"/>
      <c r="NTW6"/>
      <c r="NTX6"/>
      <c r="NTY6"/>
      <c r="NTZ6"/>
      <c r="NUA6"/>
      <c r="NUB6"/>
      <c r="NUC6"/>
      <c r="NUD6"/>
      <c r="NUE6"/>
      <c r="NUF6"/>
      <c r="NUG6"/>
      <c r="NUH6"/>
      <c r="NUI6"/>
      <c r="NUJ6"/>
      <c r="NUK6"/>
      <c r="NUL6"/>
      <c r="NUM6"/>
      <c r="NUN6"/>
      <c r="NUO6"/>
      <c r="NUP6"/>
      <c r="NUQ6"/>
      <c r="NUR6"/>
      <c r="NUS6"/>
      <c r="NUT6"/>
      <c r="NUU6"/>
      <c r="NUV6"/>
      <c r="NUW6"/>
      <c r="NUX6"/>
      <c r="NUY6"/>
      <c r="NUZ6"/>
      <c r="NVA6"/>
      <c r="NVB6"/>
      <c r="NVC6"/>
      <c r="NVD6"/>
      <c r="NVE6"/>
      <c r="NVF6"/>
      <c r="NVG6"/>
      <c r="NVH6"/>
      <c r="NVI6"/>
      <c r="NVJ6"/>
      <c r="NVK6"/>
      <c r="NVL6"/>
      <c r="NVM6"/>
      <c r="NVN6"/>
      <c r="NVO6"/>
      <c r="NVP6"/>
      <c r="NVQ6"/>
      <c r="NVR6"/>
      <c r="NVS6"/>
      <c r="NVT6"/>
      <c r="NVU6"/>
      <c r="NVV6"/>
      <c r="NVW6"/>
      <c r="NVX6"/>
      <c r="NVY6"/>
      <c r="NVZ6"/>
      <c r="NWA6"/>
      <c r="NWB6"/>
      <c r="NWC6"/>
      <c r="NWD6"/>
      <c r="NWE6"/>
      <c r="NWF6"/>
      <c r="NWG6"/>
      <c r="NWH6"/>
      <c r="NWI6"/>
      <c r="NWJ6"/>
      <c r="NWK6"/>
      <c r="NWL6"/>
      <c r="NWM6"/>
      <c r="NWN6"/>
      <c r="NWO6"/>
      <c r="NWP6"/>
      <c r="NWQ6"/>
      <c r="NWR6"/>
      <c r="NWS6"/>
      <c r="NWT6"/>
      <c r="NWU6"/>
      <c r="NWV6"/>
      <c r="NWW6"/>
      <c r="NWX6"/>
      <c r="NWY6"/>
      <c r="NWZ6"/>
      <c r="NXA6"/>
      <c r="NXB6"/>
      <c r="NXC6"/>
      <c r="NXD6"/>
      <c r="NXE6"/>
      <c r="NXF6"/>
      <c r="NXG6"/>
      <c r="NXH6"/>
      <c r="NXI6"/>
      <c r="NXJ6"/>
      <c r="NXK6"/>
      <c r="NXL6"/>
      <c r="NXM6"/>
      <c r="NXN6"/>
      <c r="NXO6"/>
      <c r="NXP6"/>
      <c r="NXQ6"/>
      <c r="NXR6"/>
      <c r="NXS6"/>
      <c r="NXT6"/>
      <c r="NXU6"/>
      <c r="NXV6"/>
      <c r="NXW6"/>
      <c r="NXX6"/>
      <c r="NXY6"/>
      <c r="NXZ6"/>
      <c r="NYA6"/>
      <c r="NYB6"/>
      <c r="NYC6"/>
      <c r="NYD6"/>
      <c r="NYE6"/>
      <c r="NYF6"/>
      <c r="NYG6"/>
      <c r="NYH6"/>
      <c r="NYI6"/>
      <c r="NYJ6"/>
      <c r="NYK6"/>
      <c r="NYL6"/>
      <c r="NYM6"/>
      <c r="NYN6"/>
      <c r="NYO6"/>
      <c r="NYP6"/>
      <c r="NYQ6"/>
      <c r="NYR6"/>
      <c r="NYS6"/>
      <c r="NYT6"/>
      <c r="NYU6"/>
      <c r="NYV6"/>
      <c r="NYW6"/>
      <c r="NYX6"/>
      <c r="NYY6"/>
      <c r="NYZ6"/>
      <c r="NZA6"/>
      <c r="NZB6"/>
      <c r="NZC6"/>
      <c r="NZD6"/>
      <c r="NZE6"/>
      <c r="NZF6"/>
      <c r="NZG6"/>
      <c r="NZH6"/>
      <c r="NZI6"/>
      <c r="NZJ6"/>
      <c r="NZK6"/>
      <c r="NZL6"/>
      <c r="NZM6"/>
      <c r="NZN6"/>
      <c r="NZO6"/>
      <c r="NZP6"/>
      <c r="NZQ6"/>
      <c r="NZR6"/>
      <c r="NZS6"/>
      <c r="NZT6"/>
      <c r="NZU6"/>
      <c r="NZV6"/>
      <c r="NZW6"/>
      <c r="NZX6"/>
      <c r="NZY6"/>
      <c r="NZZ6"/>
      <c r="OAA6"/>
      <c r="OAB6"/>
      <c r="OAC6"/>
      <c r="OAD6"/>
      <c r="OAE6"/>
      <c r="OAF6"/>
      <c r="OAG6"/>
      <c r="OAH6"/>
      <c r="OAI6"/>
      <c r="OAJ6"/>
      <c r="OAK6"/>
      <c r="OAL6"/>
      <c r="OAM6"/>
      <c r="OAN6"/>
      <c r="OAO6"/>
      <c r="OAP6"/>
      <c r="OAQ6"/>
      <c r="OAR6"/>
      <c r="OAS6"/>
      <c r="OAT6"/>
      <c r="OAU6"/>
      <c r="OAV6"/>
      <c r="OAW6"/>
      <c r="OAX6"/>
      <c r="OAY6"/>
      <c r="OAZ6"/>
      <c r="OBA6"/>
      <c r="OBB6"/>
      <c r="OBC6"/>
      <c r="OBD6"/>
      <c r="OBE6"/>
      <c r="OBF6"/>
      <c r="OBG6"/>
      <c r="OBH6"/>
      <c r="OBI6"/>
      <c r="OBJ6"/>
      <c r="OBK6"/>
      <c r="OBL6"/>
      <c r="OBM6"/>
      <c r="OBN6"/>
      <c r="OBO6"/>
      <c r="OBP6"/>
      <c r="OBQ6"/>
      <c r="OBR6"/>
      <c r="OBS6"/>
      <c r="OBT6"/>
      <c r="OBU6"/>
      <c r="OBV6"/>
      <c r="OBW6"/>
      <c r="OBX6"/>
      <c r="OBY6"/>
      <c r="OBZ6"/>
      <c r="OCA6"/>
      <c r="OCB6"/>
      <c r="OCC6"/>
      <c r="OCD6"/>
      <c r="OCE6"/>
      <c r="OCF6"/>
      <c r="OCG6"/>
      <c r="OCH6"/>
      <c r="OCI6"/>
      <c r="OCJ6"/>
      <c r="OCK6"/>
      <c r="OCL6"/>
      <c r="OCM6"/>
      <c r="OCN6"/>
      <c r="OCO6"/>
      <c r="OCP6"/>
      <c r="OCQ6"/>
      <c r="OCR6"/>
      <c r="OCS6"/>
      <c r="OCT6"/>
      <c r="OCU6"/>
      <c r="OCV6"/>
      <c r="OCW6"/>
      <c r="OCX6"/>
      <c r="OCY6"/>
      <c r="OCZ6"/>
      <c r="ODA6"/>
      <c r="ODB6"/>
      <c r="ODC6"/>
      <c r="ODD6"/>
      <c r="ODE6"/>
      <c r="ODF6"/>
      <c r="ODG6"/>
      <c r="ODH6"/>
      <c r="ODI6"/>
      <c r="ODJ6"/>
      <c r="ODK6"/>
      <c r="ODL6"/>
      <c r="ODM6"/>
      <c r="ODN6"/>
      <c r="ODO6"/>
      <c r="ODP6"/>
      <c r="ODQ6"/>
      <c r="ODR6"/>
      <c r="ODS6"/>
      <c r="ODT6"/>
      <c r="ODU6"/>
      <c r="ODV6"/>
      <c r="ODW6"/>
      <c r="ODX6"/>
      <c r="ODY6"/>
      <c r="ODZ6"/>
      <c r="OEA6"/>
      <c r="OEB6"/>
      <c r="OEC6"/>
      <c r="OED6"/>
      <c r="OEE6"/>
      <c r="OEF6"/>
      <c r="OEG6"/>
      <c r="OEH6"/>
      <c r="OEI6"/>
      <c r="OEJ6"/>
      <c r="OEK6"/>
      <c r="OEL6"/>
      <c r="OEM6"/>
      <c r="OEN6"/>
      <c r="OEO6"/>
      <c r="OEP6"/>
      <c r="OEQ6"/>
      <c r="OER6"/>
      <c r="OES6"/>
      <c r="OET6"/>
      <c r="OEU6"/>
      <c r="OEV6"/>
      <c r="OEW6"/>
      <c r="OEX6"/>
      <c r="OEY6"/>
      <c r="OEZ6"/>
      <c r="OFA6"/>
      <c r="OFB6"/>
      <c r="OFC6"/>
      <c r="OFD6"/>
      <c r="OFE6"/>
      <c r="OFF6"/>
      <c r="OFG6"/>
      <c r="OFH6"/>
      <c r="OFI6"/>
      <c r="OFJ6"/>
      <c r="OFK6"/>
      <c r="OFL6"/>
      <c r="OFM6"/>
      <c r="OFN6"/>
      <c r="OFO6"/>
      <c r="OFP6"/>
      <c r="OFQ6"/>
      <c r="OFR6"/>
      <c r="OFS6"/>
      <c r="OFT6"/>
      <c r="OFU6"/>
      <c r="OFV6"/>
      <c r="OFW6"/>
      <c r="OFX6"/>
      <c r="OFY6"/>
      <c r="OFZ6"/>
      <c r="OGA6"/>
      <c r="OGB6"/>
      <c r="OGC6"/>
      <c r="OGD6"/>
      <c r="OGE6"/>
      <c r="OGF6"/>
      <c r="OGG6"/>
      <c r="OGH6"/>
      <c r="OGI6"/>
      <c r="OGJ6"/>
      <c r="OGK6"/>
      <c r="OGL6"/>
      <c r="OGM6"/>
      <c r="OGN6"/>
      <c r="OGO6"/>
      <c r="OGP6"/>
      <c r="OGQ6"/>
      <c r="OGR6"/>
      <c r="OGS6"/>
      <c r="OGT6"/>
      <c r="OGU6"/>
      <c r="OGV6"/>
      <c r="OGW6"/>
      <c r="OGX6"/>
      <c r="OGY6"/>
      <c r="OGZ6"/>
      <c r="OHA6"/>
      <c r="OHB6"/>
      <c r="OHC6"/>
      <c r="OHD6"/>
      <c r="OHE6"/>
      <c r="OHF6"/>
      <c r="OHG6"/>
      <c r="OHH6"/>
      <c r="OHI6"/>
      <c r="OHJ6"/>
      <c r="OHK6"/>
      <c r="OHL6"/>
      <c r="OHM6"/>
      <c r="OHN6"/>
      <c r="OHO6"/>
      <c r="OHP6"/>
      <c r="OHQ6"/>
      <c r="OHR6"/>
      <c r="OHS6"/>
      <c r="OHT6"/>
      <c r="OHU6"/>
      <c r="OHV6"/>
      <c r="OHW6"/>
      <c r="OHX6"/>
      <c r="OHY6"/>
      <c r="OHZ6"/>
      <c r="OIA6"/>
      <c r="OIB6"/>
      <c r="OIC6"/>
      <c r="OID6"/>
      <c r="OIE6"/>
      <c r="OIF6"/>
      <c r="OIG6"/>
      <c r="OIH6"/>
      <c r="OII6"/>
      <c r="OIJ6"/>
      <c r="OIK6"/>
      <c r="OIL6"/>
      <c r="OIM6"/>
      <c r="OIN6"/>
      <c r="OIO6"/>
      <c r="OIP6"/>
      <c r="OIQ6"/>
      <c r="OIR6"/>
      <c r="OIS6"/>
      <c r="OIT6"/>
      <c r="OIU6"/>
      <c r="OIV6"/>
      <c r="OIW6"/>
      <c r="OIX6"/>
      <c r="OIY6"/>
      <c r="OIZ6"/>
      <c r="OJA6"/>
      <c r="OJB6"/>
      <c r="OJC6"/>
      <c r="OJD6"/>
      <c r="OJE6"/>
      <c r="OJF6"/>
      <c r="OJG6"/>
      <c r="OJH6"/>
      <c r="OJI6"/>
      <c r="OJJ6"/>
      <c r="OJK6"/>
      <c r="OJL6"/>
      <c r="OJM6"/>
      <c r="OJN6"/>
      <c r="OJO6"/>
      <c r="OJP6"/>
      <c r="OJQ6"/>
      <c r="OJR6"/>
      <c r="OJS6"/>
      <c r="OJT6"/>
      <c r="OJU6"/>
      <c r="OJV6"/>
      <c r="OJW6"/>
      <c r="OJX6"/>
      <c r="OJY6"/>
      <c r="OJZ6"/>
      <c r="OKA6"/>
      <c r="OKB6"/>
      <c r="OKC6"/>
      <c r="OKD6"/>
      <c r="OKE6"/>
      <c r="OKF6"/>
      <c r="OKG6"/>
      <c r="OKH6"/>
      <c r="OKI6"/>
      <c r="OKJ6"/>
      <c r="OKK6"/>
      <c r="OKL6"/>
      <c r="OKM6"/>
      <c r="OKN6"/>
      <c r="OKO6"/>
      <c r="OKP6"/>
      <c r="OKQ6"/>
      <c r="OKR6"/>
      <c r="OKS6"/>
      <c r="OKT6"/>
      <c r="OKU6"/>
      <c r="OKV6"/>
      <c r="OKW6"/>
      <c r="OKX6"/>
      <c r="OKY6"/>
      <c r="OKZ6"/>
      <c r="OLA6"/>
      <c r="OLB6"/>
      <c r="OLC6"/>
      <c r="OLD6"/>
      <c r="OLE6"/>
      <c r="OLF6"/>
      <c r="OLG6"/>
      <c r="OLH6"/>
      <c r="OLI6"/>
      <c r="OLJ6"/>
      <c r="OLK6"/>
      <c r="OLL6"/>
      <c r="OLM6"/>
      <c r="OLN6"/>
      <c r="OLO6"/>
      <c r="OLP6"/>
      <c r="OLQ6"/>
      <c r="OLR6"/>
      <c r="OLS6"/>
      <c r="OLT6"/>
      <c r="OLU6"/>
      <c r="OLV6"/>
      <c r="OLW6"/>
      <c r="OLX6"/>
      <c r="OLY6"/>
      <c r="OLZ6"/>
      <c r="OMA6"/>
      <c r="OMB6"/>
      <c r="OMC6"/>
      <c r="OMD6"/>
      <c r="OME6"/>
      <c r="OMF6"/>
      <c r="OMG6"/>
      <c r="OMH6"/>
      <c r="OMI6"/>
      <c r="OMJ6"/>
      <c r="OMK6"/>
      <c r="OML6"/>
      <c r="OMM6"/>
      <c r="OMN6"/>
      <c r="OMO6"/>
      <c r="OMP6"/>
      <c r="OMQ6"/>
      <c r="OMR6"/>
      <c r="OMS6"/>
      <c r="OMT6"/>
      <c r="OMU6"/>
      <c r="OMV6"/>
      <c r="OMW6"/>
      <c r="OMX6"/>
      <c r="OMY6"/>
      <c r="OMZ6"/>
      <c r="ONA6"/>
      <c r="ONB6"/>
      <c r="ONC6"/>
      <c r="OND6"/>
      <c r="ONE6"/>
      <c r="ONF6"/>
      <c r="ONG6"/>
      <c r="ONH6"/>
      <c r="ONI6"/>
      <c r="ONJ6"/>
      <c r="ONK6"/>
      <c r="ONL6"/>
      <c r="ONM6"/>
      <c r="ONN6"/>
      <c r="ONO6"/>
      <c r="ONP6"/>
      <c r="ONQ6"/>
      <c r="ONR6"/>
      <c r="ONS6"/>
      <c r="ONT6"/>
      <c r="ONU6"/>
      <c r="ONV6"/>
      <c r="ONW6"/>
      <c r="ONX6"/>
      <c r="ONY6"/>
      <c r="ONZ6"/>
      <c r="OOA6"/>
      <c r="OOB6"/>
      <c r="OOC6"/>
      <c r="OOD6"/>
      <c r="OOE6"/>
      <c r="OOF6"/>
      <c r="OOG6"/>
      <c r="OOH6"/>
      <c r="OOI6"/>
      <c r="OOJ6"/>
      <c r="OOK6"/>
      <c r="OOL6"/>
      <c r="OOM6"/>
      <c r="OON6"/>
      <c r="OOO6"/>
      <c r="OOP6"/>
      <c r="OOQ6"/>
      <c r="OOR6"/>
      <c r="OOS6"/>
      <c r="OOT6"/>
      <c r="OOU6"/>
      <c r="OOV6"/>
      <c r="OOW6"/>
      <c r="OOX6"/>
      <c r="OOY6"/>
      <c r="OOZ6"/>
      <c r="OPA6"/>
      <c r="OPB6"/>
      <c r="OPC6"/>
      <c r="OPD6"/>
      <c r="OPE6"/>
      <c r="OPF6"/>
      <c r="OPG6"/>
      <c r="OPH6"/>
      <c r="OPI6"/>
      <c r="OPJ6"/>
      <c r="OPK6"/>
      <c r="OPL6"/>
      <c r="OPM6"/>
      <c r="OPN6"/>
      <c r="OPO6"/>
      <c r="OPP6"/>
      <c r="OPQ6"/>
      <c r="OPR6"/>
      <c r="OPS6"/>
      <c r="OPT6"/>
      <c r="OPU6"/>
      <c r="OPV6"/>
      <c r="OPW6"/>
      <c r="OPX6"/>
      <c r="OPY6"/>
      <c r="OPZ6"/>
      <c r="OQA6"/>
      <c r="OQB6"/>
      <c r="OQC6"/>
      <c r="OQD6"/>
      <c r="OQE6"/>
      <c r="OQF6"/>
      <c r="OQG6"/>
      <c r="OQH6"/>
      <c r="OQI6"/>
      <c r="OQJ6"/>
      <c r="OQK6"/>
      <c r="OQL6"/>
      <c r="OQM6"/>
      <c r="OQN6"/>
      <c r="OQO6"/>
      <c r="OQP6"/>
      <c r="OQQ6"/>
      <c r="OQR6"/>
      <c r="OQS6"/>
      <c r="OQT6"/>
      <c r="OQU6"/>
      <c r="OQV6"/>
      <c r="OQW6"/>
      <c r="OQX6"/>
      <c r="OQY6"/>
      <c r="OQZ6"/>
      <c r="ORA6"/>
      <c r="ORB6"/>
      <c r="ORC6"/>
      <c r="ORD6"/>
      <c r="ORE6"/>
      <c r="ORF6"/>
      <c r="ORG6"/>
      <c r="ORH6"/>
      <c r="ORI6"/>
      <c r="ORJ6"/>
      <c r="ORK6"/>
      <c r="ORL6"/>
      <c r="ORM6"/>
      <c r="ORN6"/>
      <c r="ORO6"/>
      <c r="ORP6"/>
      <c r="ORQ6"/>
      <c r="ORR6"/>
      <c r="ORS6"/>
      <c r="ORT6"/>
      <c r="ORU6"/>
      <c r="ORV6"/>
      <c r="ORW6"/>
      <c r="ORX6"/>
      <c r="ORY6"/>
      <c r="ORZ6"/>
      <c r="OSA6"/>
      <c r="OSB6"/>
      <c r="OSC6"/>
      <c r="OSD6"/>
      <c r="OSE6"/>
      <c r="OSF6"/>
      <c r="OSG6"/>
      <c r="OSH6"/>
      <c r="OSI6"/>
      <c r="OSJ6"/>
      <c r="OSK6"/>
      <c r="OSL6"/>
      <c r="OSM6"/>
      <c r="OSN6"/>
      <c r="OSO6"/>
      <c r="OSP6"/>
      <c r="OSQ6"/>
      <c r="OSR6"/>
      <c r="OSS6"/>
      <c r="OST6"/>
      <c r="OSU6"/>
      <c r="OSV6"/>
      <c r="OSW6"/>
      <c r="OSX6"/>
      <c r="OSY6"/>
      <c r="OSZ6"/>
      <c r="OTA6"/>
      <c r="OTB6"/>
      <c r="OTC6"/>
      <c r="OTD6"/>
      <c r="OTE6"/>
      <c r="OTF6"/>
      <c r="OTG6"/>
      <c r="OTH6"/>
      <c r="OTI6"/>
      <c r="OTJ6"/>
      <c r="OTK6"/>
      <c r="OTL6"/>
      <c r="OTM6"/>
      <c r="OTN6"/>
      <c r="OTO6"/>
      <c r="OTP6"/>
      <c r="OTQ6"/>
      <c r="OTR6"/>
      <c r="OTS6"/>
      <c r="OTT6"/>
      <c r="OTU6"/>
      <c r="OTV6"/>
      <c r="OTW6"/>
      <c r="OTX6"/>
      <c r="OTY6"/>
      <c r="OTZ6"/>
      <c r="OUA6"/>
      <c r="OUB6"/>
      <c r="OUC6"/>
      <c r="OUD6"/>
      <c r="OUE6"/>
      <c r="OUF6"/>
      <c r="OUG6"/>
      <c r="OUH6"/>
      <c r="OUI6"/>
      <c r="OUJ6"/>
      <c r="OUK6"/>
      <c r="OUL6"/>
      <c r="OUM6"/>
      <c r="OUN6"/>
      <c r="OUO6"/>
      <c r="OUP6"/>
      <c r="OUQ6"/>
      <c r="OUR6"/>
      <c r="OUS6"/>
      <c r="OUT6"/>
      <c r="OUU6"/>
      <c r="OUV6"/>
      <c r="OUW6"/>
      <c r="OUX6"/>
      <c r="OUY6"/>
      <c r="OUZ6"/>
      <c r="OVA6"/>
      <c r="OVB6"/>
      <c r="OVC6"/>
      <c r="OVD6"/>
      <c r="OVE6"/>
      <c r="OVF6"/>
      <c r="OVG6"/>
      <c r="OVH6"/>
      <c r="OVI6"/>
      <c r="OVJ6"/>
      <c r="OVK6"/>
      <c r="OVL6"/>
      <c r="OVM6"/>
      <c r="OVN6"/>
      <c r="OVO6"/>
      <c r="OVP6"/>
      <c r="OVQ6"/>
      <c r="OVR6"/>
      <c r="OVS6"/>
      <c r="OVT6"/>
      <c r="OVU6"/>
      <c r="OVV6"/>
      <c r="OVW6"/>
      <c r="OVX6"/>
      <c r="OVY6"/>
      <c r="OVZ6"/>
      <c r="OWA6"/>
      <c r="OWB6"/>
      <c r="OWC6"/>
      <c r="OWD6"/>
      <c r="OWE6"/>
      <c r="OWF6"/>
      <c r="OWG6"/>
      <c r="OWH6"/>
      <c r="OWI6"/>
      <c r="OWJ6"/>
      <c r="OWK6"/>
      <c r="OWL6"/>
      <c r="OWM6"/>
      <c r="OWN6"/>
      <c r="OWO6"/>
      <c r="OWP6"/>
      <c r="OWQ6"/>
      <c r="OWR6"/>
      <c r="OWS6"/>
      <c r="OWT6"/>
      <c r="OWU6"/>
      <c r="OWV6"/>
      <c r="OWW6"/>
      <c r="OWX6"/>
      <c r="OWY6"/>
      <c r="OWZ6"/>
      <c r="OXA6"/>
      <c r="OXB6"/>
      <c r="OXC6"/>
      <c r="OXD6"/>
      <c r="OXE6"/>
      <c r="OXF6"/>
      <c r="OXG6"/>
      <c r="OXH6"/>
      <c r="OXI6"/>
      <c r="OXJ6"/>
      <c r="OXK6"/>
      <c r="OXL6"/>
      <c r="OXM6"/>
      <c r="OXN6"/>
      <c r="OXO6"/>
      <c r="OXP6"/>
      <c r="OXQ6"/>
      <c r="OXR6"/>
      <c r="OXS6"/>
      <c r="OXT6"/>
      <c r="OXU6"/>
      <c r="OXV6"/>
      <c r="OXW6"/>
      <c r="OXX6"/>
      <c r="OXY6"/>
      <c r="OXZ6"/>
      <c r="OYA6"/>
      <c r="OYB6"/>
      <c r="OYC6"/>
      <c r="OYD6"/>
      <c r="OYE6"/>
      <c r="OYF6"/>
      <c r="OYG6"/>
      <c r="OYH6"/>
      <c r="OYI6"/>
      <c r="OYJ6"/>
      <c r="OYK6"/>
      <c r="OYL6"/>
      <c r="OYM6"/>
      <c r="OYN6"/>
      <c r="OYO6"/>
      <c r="OYP6"/>
      <c r="OYQ6"/>
      <c r="OYR6"/>
      <c r="OYS6"/>
      <c r="OYT6"/>
      <c r="OYU6"/>
      <c r="OYV6"/>
      <c r="OYW6"/>
      <c r="OYX6"/>
      <c r="OYY6"/>
      <c r="OYZ6"/>
      <c r="OZA6"/>
      <c r="OZB6"/>
      <c r="OZC6"/>
      <c r="OZD6"/>
      <c r="OZE6"/>
      <c r="OZF6"/>
      <c r="OZG6"/>
      <c r="OZH6"/>
      <c r="OZI6"/>
      <c r="OZJ6"/>
      <c r="OZK6"/>
      <c r="OZL6"/>
      <c r="OZM6"/>
      <c r="OZN6"/>
      <c r="OZO6"/>
      <c r="OZP6"/>
      <c r="OZQ6"/>
      <c r="OZR6"/>
      <c r="OZS6"/>
      <c r="OZT6"/>
      <c r="OZU6"/>
      <c r="OZV6"/>
      <c r="OZW6"/>
      <c r="OZX6"/>
      <c r="OZY6"/>
      <c r="OZZ6"/>
      <c r="PAA6"/>
      <c r="PAB6"/>
      <c r="PAC6"/>
      <c r="PAD6"/>
      <c r="PAE6"/>
      <c r="PAF6"/>
      <c r="PAG6"/>
      <c r="PAH6"/>
      <c r="PAI6"/>
      <c r="PAJ6"/>
      <c r="PAK6"/>
      <c r="PAL6"/>
      <c r="PAM6"/>
      <c r="PAN6"/>
      <c r="PAO6"/>
      <c r="PAP6"/>
      <c r="PAQ6"/>
      <c r="PAR6"/>
      <c r="PAS6"/>
      <c r="PAT6"/>
      <c r="PAU6"/>
      <c r="PAV6"/>
      <c r="PAW6"/>
      <c r="PAX6"/>
      <c r="PAY6"/>
      <c r="PAZ6"/>
      <c r="PBA6"/>
      <c r="PBB6"/>
      <c r="PBC6"/>
      <c r="PBD6"/>
      <c r="PBE6"/>
      <c r="PBF6"/>
      <c r="PBG6"/>
      <c r="PBH6"/>
      <c r="PBI6"/>
      <c r="PBJ6"/>
      <c r="PBK6"/>
      <c r="PBL6"/>
      <c r="PBM6"/>
      <c r="PBN6"/>
      <c r="PBO6"/>
      <c r="PBP6"/>
      <c r="PBQ6"/>
      <c r="PBR6"/>
      <c r="PBS6"/>
      <c r="PBT6"/>
      <c r="PBU6"/>
      <c r="PBV6"/>
      <c r="PBW6"/>
      <c r="PBX6"/>
      <c r="PBY6"/>
      <c r="PBZ6"/>
      <c r="PCA6"/>
      <c r="PCB6"/>
      <c r="PCC6"/>
      <c r="PCD6"/>
      <c r="PCE6"/>
      <c r="PCF6"/>
      <c r="PCG6"/>
      <c r="PCH6"/>
      <c r="PCI6"/>
      <c r="PCJ6"/>
      <c r="PCK6"/>
      <c r="PCL6"/>
      <c r="PCM6"/>
      <c r="PCN6"/>
      <c r="PCO6"/>
      <c r="PCP6"/>
      <c r="PCQ6"/>
      <c r="PCR6"/>
      <c r="PCS6"/>
      <c r="PCT6"/>
      <c r="PCU6"/>
      <c r="PCV6"/>
      <c r="PCW6"/>
      <c r="PCX6"/>
      <c r="PCY6"/>
      <c r="PCZ6"/>
      <c r="PDA6"/>
      <c r="PDB6"/>
      <c r="PDC6"/>
      <c r="PDD6"/>
      <c r="PDE6"/>
      <c r="PDF6"/>
      <c r="PDG6"/>
      <c r="PDH6"/>
      <c r="PDI6"/>
      <c r="PDJ6"/>
      <c r="PDK6"/>
      <c r="PDL6"/>
      <c r="PDM6"/>
      <c r="PDN6"/>
      <c r="PDO6"/>
      <c r="PDP6"/>
      <c r="PDQ6"/>
      <c r="PDR6"/>
      <c r="PDS6"/>
      <c r="PDT6"/>
      <c r="PDU6"/>
      <c r="PDV6"/>
      <c r="PDW6"/>
      <c r="PDX6"/>
      <c r="PDY6"/>
      <c r="PDZ6"/>
      <c r="PEA6"/>
      <c r="PEB6"/>
      <c r="PEC6"/>
      <c r="PED6"/>
      <c r="PEE6"/>
      <c r="PEF6"/>
      <c r="PEG6"/>
      <c r="PEH6"/>
      <c r="PEI6"/>
      <c r="PEJ6"/>
      <c r="PEK6"/>
      <c r="PEL6"/>
      <c r="PEM6"/>
      <c r="PEN6"/>
      <c r="PEO6"/>
      <c r="PEP6"/>
      <c r="PEQ6"/>
      <c r="PER6"/>
      <c r="PES6"/>
      <c r="PET6"/>
      <c r="PEU6"/>
      <c r="PEV6"/>
      <c r="PEW6"/>
      <c r="PEX6"/>
      <c r="PEY6"/>
      <c r="PEZ6"/>
      <c r="PFA6"/>
      <c r="PFB6"/>
      <c r="PFC6"/>
      <c r="PFD6"/>
      <c r="PFE6"/>
      <c r="PFF6"/>
      <c r="PFG6"/>
      <c r="PFH6"/>
      <c r="PFI6"/>
      <c r="PFJ6"/>
      <c r="PFK6"/>
      <c r="PFL6"/>
      <c r="PFM6"/>
      <c r="PFN6"/>
      <c r="PFO6"/>
      <c r="PFP6"/>
      <c r="PFQ6"/>
      <c r="PFR6"/>
      <c r="PFS6"/>
      <c r="PFT6"/>
      <c r="PFU6"/>
      <c r="PFV6"/>
      <c r="PFW6"/>
      <c r="PFX6"/>
      <c r="PFY6"/>
      <c r="PFZ6"/>
      <c r="PGA6"/>
      <c r="PGB6"/>
      <c r="PGC6"/>
      <c r="PGD6"/>
      <c r="PGE6"/>
      <c r="PGF6"/>
      <c r="PGG6"/>
      <c r="PGH6"/>
      <c r="PGI6"/>
      <c r="PGJ6"/>
      <c r="PGK6"/>
      <c r="PGL6"/>
      <c r="PGM6"/>
      <c r="PGN6"/>
      <c r="PGO6"/>
      <c r="PGP6"/>
      <c r="PGQ6"/>
      <c r="PGR6"/>
      <c r="PGS6"/>
      <c r="PGT6"/>
      <c r="PGU6"/>
      <c r="PGV6"/>
      <c r="PGW6"/>
      <c r="PGX6"/>
      <c r="PGY6"/>
      <c r="PGZ6"/>
      <c r="PHA6"/>
      <c r="PHB6"/>
      <c r="PHC6"/>
      <c r="PHD6"/>
      <c r="PHE6"/>
      <c r="PHF6"/>
      <c r="PHG6"/>
      <c r="PHH6"/>
      <c r="PHI6"/>
      <c r="PHJ6"/>
      <c r="PHK6"/>
      <c r="PHL6"/>
      <c r="PHM6"/>
      <c r="PHN6"/>
      <c r="PHO6"/>
      <c r="PHP6"/>
      <c r="PHQ6"/>
      <c r="PHR6"/>
      <c r="PHS6"/>
      <c r="PHT6"/>
      <c r="PHU6"/>
      <c r="PHV6"/>
      <c r="PHW6"/>
      <c r="PHX6"/>
      <c r="PHY6"/>
      <c r="PHZ6"/>
      <c r="PIA6"/>
      <c r="PIB6"/>
      <c r="PIC6"/>
      <c r="PID6"/>
      <c r="PIE6"/>
      <c r="PIF6"/>
      <c r="PIG6"/>
      <c r="PIH6"/>
      <c r="PII6"/>
      <c r="PIJ6"/>
      <c r="PIK6"/>
      <c r="PIL6"/>
      <c r="PIM6"/>
      <c r="PIN6"/>
      <c r="PIO6"/>
      <c r="PIP6"/>
      <c r="PIQ6"/>
      <c r="PIR6"/>
      <c r="PIS6"/>
      <c r="PIT6"/>
      <c r="PIU6"/>
      <c r="PIV6"/>
      <c r="PIW6"/>
      <c r="PIX6"/>
      <c r="PIY6"/>
      <c r="PIZ6"/>
      <c r="PJA6"/>
      <c r="PJB6"/>
      <c r="PJC6"/>
      <c r="PJD6"/>
      <c r="PJE6"/>
      <c r="PJF6"/>
      <c r="PJG6"/>
      <c r="PJH6"/>
      <c r="PJI6"/>
      <c r="PJJ6"/>
      <c r="PJK6"/>
      <c r="PJL6"/>
      <c r="PJM6"/>
      <c r="PJN6"/>
      <c r="PJO6"/>
      <c r="PJP6"/>
      <c r="PJQ6"/>
      <c r="PJR6"/>
      <c r="PJS6"/>
      <c r="PJT6"/>
      <c r="PJU6"/>
      <c r="PJV6"/>
      <c r="PJW6"/>
      <c r="PJX6"/>
      <c r="PJY6"/>
      <c r="PJZ6"/>
      <c r="PKA6"/>
      <c r="PKB6"/>
      <c r="PKC6"/>
      <c r="PKD6"/>
      <c r="PKE6"/>
      <c r="PKF6"/>
      <c r="PKG6"/>
      <c r="PKH6"/>
      <c r="PKI6"/>
      <c r="PKJ6"/>
      <c r="PKK6"/>
      <c r="PKL6"/>
      <c r="PKM6"/>
      <c r="PKN6"/>
      <c r="PKO6"/>
      <c r="PKP6"/>
      <c r="PKQ6"/>
      <c r="PKR6"/>
      <c r="PKS6"/>
      <c r="PKT6"/>
      <c r="PKU6"/>
      <c r="PKV6"/>
      <c r="PKW6"/>
      <c r="PKX6"/>
      <c r="PKY6"/>
      <c r="PKZ6"/>
      <c r="PLA6"/>
      <c r="PLB6"/>
      <c r="PLC6"/>
      <c r="PLD6"/>
      <c r="PLE6"/>
      <c r="PLF6"/>
      <c r="PLG6"/>
      <c r="PLH6"/>
      <c r="PLI6"/>
      <c r="PLJ6"/>
      <c r="PLK6"/>
      <c r="PLL6"/>
      <c r="PLM6"/>
      <c r="PLN6"/>
      <c r="PLO6"/>
      <c r="PLP6"/>
      <c r="PLQ6"/>
      <c r="PLR6"/>
      <c r="PLS6"/>
      <c r="PLT6"/>
      <c r="PLU6"/>
      <c r="PLV6"/>
      <c r="PLW6"/>
      <c r="PLX6"/>
      <c r="PLY6"/>
      <c r="PLZ6"/>
      <c r="PMA6"/>
      <c r="PMB6"/>
      <c r="PMC6"/>
      <c r="PMD6"/>
      <c r="PME6"/>
      <c r="PMF6"/>
      <c r="PMG6"/>
      <c r="PMH6"/>
      <c r="PMI6"/>
      <c r="PMJ6"/>
      <c r="PMK6"/>
      <c r="PML6"/>
      <c r="PMM6"/>
      <c r="PMN6"/>
      <c r="PMO6"/>
      <c r="PMP6"/>
      <c r="PMQ6"/>
      <c r="PMR6"/>
      <c r="PMS6"/>
      <c r="PMT6"/>
      <c r="PMU6"/>
      <c r="PMV6"/>
      <c r="PMW6"/>
      <c r="PMX6"/>
      <c r="PMY6"/>
      <c r="PMZ6"/>
      <c r="PNA6"/>
      <c r="PNB6"/>
      <c r="PNC6"/>
      <c r="PND6"/>
      <c r="PNE6"/>
      <c r="PNF6"/>
      <c r="PNG6"/>
      <c r="PNH6"/>
      <c r="PNI6"/>
      <c r="PNJ6"/>
      <c r="PNK6"/>
      <c r="PNL6"/>
      <c r="PNM6"/>
      <c r="PNN6"/>
      <c r="PNO6"/>
      <c r="PNP6"/>
      <c r="PNQ6"/>
      <c r="PNR6"/>
      <c r="PNS6"/>
      <c r="PNT6"/>
      <c r="PNU6"/>
      <c r="PNV6"/>
      <c r="PNW6"/>
      <c r="PNX6"/>
      <c r="PNY6"/>
      <c r="PNZ6"/>
      <c r="POA6"/>
      <c r="POB6"/>
      <c r="POC6"/>
      <c r="POD6"/>
      <c r="POE6"/>
      <c r="POF6"/>
      <c r="POG6"/>
      <c r="POH6"/>
      <c r="POI6"/>
      <c r="POJ6"/>
      <c r="POK6"/>
      <c r="POL6"/>
      <c r="POM6"/>
      <c r="PON6"/>
      <c r="POO6"/>
      <c r="POP6"/>
      <c r="POQ6"/>
      <c r="POR6"/>
      <c r="POS6"/>
      <c r="POT6"/>
      <c r="POU6"/>
      <c r="POV6"/>
      <c r="POW6"/>
      <c r="POX6"/>
      <c r="POY6"/>
      <c r="POZ6"/>
      <c r="PPA6"/>
      <c r="PPB6"/>
      <c r="PPC6"/>
      <c r="PPD6"/>
      <c r="PPE6"/>
      <c r="PPF6"/>
      <c r="PPG6"/>
      <c r="PPH6"/>
      <c r="PPI6"/>
      <c r="PPJ6"/>
      <c r="PPK6"/>
      <c r="PPL6"/>
      <c r="PPM6"/>
      <c r="PPN6"/>
      <c r="PPO6"/>
      <c r="PPP6"/>
      <c r="PPQ6"/>
      <c r="PPR6"/>
      <c r="PPS6"/>
      <c r="PPT6"/>
      <c r="PPU6"/>
      <c r="PPV6"/>
      <c r="PPW6"/>
      <c r="PPX6"/>
      <c r="PPY6"/>
      <c r="PPZ6"/>
      <c r="PQA6"/>
      <c r="PQB6"/>
      <c r="PQC6"/>
      <c r="PQD6"/>
      <c r="PQE6"/>
      <c r="PQF6"/>
      <c r="PQG6"/>
      <c r="PQH6"/>
      <c r="PQI6"/>
      <c r="PQJ6"/>
      <c r="PQK6"/>
      <c r="PQL6"/>
      <c r="PQM6"/>
      <c r="PQN6"/>
      <c r="PQO6"/>
      <c r="PQP6"/>
      <c r="PQQ6"/>
      <c r="PQR6"/>
      <c r="PQS6"/>
      <c r="PQT6"/>
      <c r="PQU6"/>
      <c r="PQV6"/>
      <c r="PQW6"/>
      <c r="PQX6"/>
      <c r="PQY6"/>
      <c r="PQZ6"/>
      <c r="PRA6"/>
      <c r="PRB6"/>
      <c r="PRC6"/>
      <c r="PRD6"/>
      <c r="PRE6"/>
      <c r="PRF6"/>
      <c r="PRG6"/>
      <c r="PRH6"/>
      <c r="PRI6"/>
      <c r="PRJ6"/>
      <c r="PRK6"/>
      <c r="PRL6"/>
      <c r="PRM6"/>
      <c r="PRN6"/>
      <c r="PRO6"/>
      <c r="PRP6"/>
      <c r="PRQ6"/>
      <c r="PRR6"/>
      <c r="PRS6"/>
      <c r="PRT6"/>
      <c r="PRU6"/>
      <c r="PRV6"/>
      <c r="PRW6"/>
      <c r="PRX6"/>
      <c r="PRY6"/>
      <c r="PRZ6"/>
      <c r="PSA6"/>
      <c r="PSB6"/>
      <c r="PSC6"/>
      <c r="PSD6"/>
      <c r="PSE6"/>
      <c r="PSF6"/>
      <c r="PSG6"/>
      <c r="PSH6"/>
      <c r="PSI6"/>
      <c r="PSJ6"/>
      <c r="PSK6"/>
      <c r="PSL6"/>
      <c r="PSM6"/>
      <c r="PSN6"/>
      <c r="PSO6"/>
      <c r="PSP6"/>
      <c r="PSQ6"/>
      <c r="PSR6"/>
      <c r="PSS6"/>
      <c r="PST6"/>
      <c r="PSU6"/>
      <c r="PSV6"/>
      <c r="PSW6"/>
      <c r="PSX6"/>
      <c r="PSY6"/>
      <c r="PSZ6"/>
      <c r="PTA6"/>
      <c r="PTB6"/>
      <c r="PTC6"/>
      <c r="PTD6"/>
      <c r="PTE6"/>
      <c r="PTF6"/>
      <c r="PTG6"/>
      <c r="PTH6"/>
      <c r="PTI6"/>
      <c r="PTJ6"/>
      <c r="PTK6"/>
      <c r="PTL6"/>
      <c r="PTM6"/>
      <c r="PTN6"/>
      <c r="PTO6"/>
      <c r="PTP6"/>
      <c r="PTQ6"/>
      <c r="PTR6"/>
      <c r="PTS6"/>
      <c r="PTT6"/>
      <c r="PTU6"/>
      <c r="PTV6"/>
      <c r="PTW6"/>
      <c r="PTX6"/>
      <c r="PTY6"/>
      <c r="PTZ6"/>
      <c r="PUA6"/>
      <c r="PUB6"/>
      <c r="PUC6"/>
      <c r="PUD6"/>
      <c r="PUE6"/>
      <c r="PUF6"/>
      <c r="PUG6"/>
      <c r="PUH6"/>
      <c r="PUI6"/>
      <c r="PUJ6"/>
      <c r="PUK6"/>
      <c r="PUL6"/>
      <c r="PUM6"/>
      <c r="PUN6"/>
      <c r="PUO6"/>
      <c r="PUP6"/>
      <c r="PUQ6"/>
      <c r="PUR6"/>
      <c r="PUS6"/>
      <c r="PUT6"/>
      <c r="PUU6"/>
      <c r="PUV6"/>
      <c r="PUW6"/>
      <c r="PUX6"/>
      <c r="PUY6"/>
      <c r="PUZ6"/>
      <c r="PVA6"/>
      <c r="PVB6"/>
      <c r="PVC6"/>
      <c r="PVD6"/>
      <c r="PVE6"/>
      <c r="PVF6"/>
      <c r="PVG6"/>
      <c r="PVH6"/>
      <c r="PVI6"/>
      <c r="PVJ6"/>
      <c r="PVK6"/>
      <c r="PVL6"/>
      <c r="PVM6"/>
      <c r="PVN6"/>
      <c r="PVO6"/>
      <c r="PVP6"/>
      <c r="PVQ6"/>
      <c r="PVR6"/>
      <c r="PVS6"/>
      <c r="PVT6"/>
      <c r="PVU6"/>
      <c r="PVV6"/>
      <c r="PVW6"/>
      <c r="PVX6"/>
      <c r="PVY6"/>
      <c r="PVZ6"/>
      <c r="PWA6"/>
      <c r="PWB6"/>
      <c r="PWC6"/>
      <c r="PWD6"/>
      <c r="PWE6"/>
      <c r="PWF6"/>
      <c r="PWG6"/>
      <c r="PWH6"/>
      <c r="PWI6"/>
      <c r="PWJ6"/>
      <c r="PWK6"/>
      <c r="PWL6"/>
      <c r="PWM6"/>
      <c r="PWN6"/>
      <c r="PWO6"/>
      <c r="PWP6"/>
      <c r="PWQ6"/>
      <c r="PWR6"/>
      <c r="PWS6"/>
      <c r="PWT6"/>
      <c r="PWU6"/>
      <c r="PWV6"/>
      <c r="PWW6"/>
      <c r="PWX6"/>
      <c r="PWY6"/>
      <c r="PWZ6"/>
      <c r="PXA6"/>
      <c r="PXB6"/>
      <c r="PXC6"/>
      <c r="PXD6"/>
      <c r="PXE6"/>
      <c r="PXF6"/>
      <c r="PXG6"/>
      <c r="PXH6"/>
      <c r="PXI6"/>
      <c r="PXJ6"/>
      <c r="PXK6"/>
      <c r="PXL6"/>
      <c r="PXM6"/>
      <c r="PXN6"/>
      <c r="PXO6"/>
      <c r="PXP6"/>
      <c r="PXQ6"/>
      <c r="PXR6"/>
      <c r="PXS6"/>
      <c r="PXT6"/>
      <c r="PXU6"/>
      <c r="PXV6"/>
      <c r="PXW6"/>
      <c r="PXX6"/>
      <c r="PXY6"/>
      <c r="PXZ6"/>
      <c r="PYA6"/>
      <c r="PYB6"/>
      <c r="PYC6"/>
      <c r="PYD6"/>
      <c r="PYE6"/>
      <c r="PYF6"/>
      <c r="PYG6"/>
      <c r="PYH6"/>
      <c r="PYI6"/>
      <c r="PYJ6"/>
      <c r="PYK6"/>
      <c r="PYL6"/>
      <c r="PYM6"/>
      <c r="PYN6"/>
      <c r="PYO6"/>
      <c r="PYP6"/>
      <c r="PYQ6"/>
      <c r="PYR6"/>
      <c r="PYS6"/>
      <c r="PYT6"/>
      <c r="PYU6"/>
      <c r="PYV6"/>
      <c r="PYW6"/>
      <c r="PYX6"/>
      <c r="PYY6"/>
      <c r="PYZ6"/>
      <c r="PZA6"/>
      <c r="PZB6"/>
      <c r="PZC6"/>
      <c r="PZD6"/>
      <c r="PZE6"/>
      <c r="PZF6"/>
      <c r="PZG6"/>
      <c r="PZH6"/>
      <c r="PZI6"/>
      <c r="PZJ6"/>
      <c r="PZK6"/>
      <c r="PZL6"/>
      <c r="PZM6"/>
      <c r="PZN6"/>
      <c r="PZO6"/>
      <c r="PZP6"/>
      <c r="PZQ6"/>
      <c r="PZR6"/>
      <c r="PZS6"/>
      <c r="PZT6"/>
      <c r="PZU6"/>
      <c r="PZV6"/>
      <c r="PZW6"/>
      <c r="PZX6"/>
      <c r="PZY6"/>
      <c r="PZZ6"/>
      <c r="QAA6"/>
      <c r="QAB6"/>
      <c r="QAC6"/>
      <c r="QAD6"/>
      <c r="QAE6"/>
      <c r="QAF6"/>
      <c r="QAG6"/>
      <c r="QAH6"/>
      <c r="QAI6"/>
      <c r="QAJ6"/>
      <c r="QAK6"/>
      <c r="QAL6"/>
      <c r="QAM6"/>
      <c r="QAN6"/>
      <c r="QAO6"/>
      <c r="QAP6"/>
      <c r="QAQ6"/>
      <c r="QAR6"/>
      <c r="QAS6"/>
      <c r="QAT6"/>
      <c r="QAU6"/>
      <c r="QAV6"/>
      <c r="QAW6"/>
      <c r="QAX6"/>
      <c r="QAY6"/>
      <c r="QAZ6"/>
      <c r="QBA6"/>
      <c r="QBB6"/>
      <c r="QBC6"/>
      <c r="QBD6"/>
      <c r="QBE6"/>
      <c r="QBF6"/>
      <c r="QBG6"/>
      <c r="QBH6"/>
      <c r="QBI6"/>
      <c r="QBJ6"/>
      <c r="QBK6"/>
      <c r="QBL6"/>
      <c r="QBM6"/>
      <c r="QBN6"/>
      <c r="QBO6"/>
      <c r="QBP6"/>
      <c r="QBQ6"/>
      <c r="QBR6"/>
      <c r="QBS6"/>
      <c r="QBT6"/>
      <c r="QBU6"/>
      <c r="QBV6"/>
      <c r="QBW6"/>
      <c r="QBX6"/>
      <c r="QBY6"/>
      <c r="QBZ6"/>
      <c r="QCA6"/>
      <c r="QCB6"/>
      <c r="QCC6"/>
      <c r="QCD6"/>
      <c r="QCE6"/>
      <c r="QCF6"/>
      <c r="QCG6"/>
      <c r="QCH6"/>
      <c r="QCI6"/>
      <c r="QCJ6"/>
      <c r="QCK6"/>
      <c r="QCL6"/>
      <c r="QCM6"/>
      <c r="QCN6"/>
      <c r="QCO6"/>
      <c r="QCP6"/>
      <c r="QCQ6"/>
      <c r="QCR6"/>
      <c r="QCS6"/>
      <c r="QCT6"/>
      <c r="QCU6"/>
      <c r="QCV6"/>
      <c r="QCW6"/>
      <c r="QCX6"/>
      <c r="QCY6"/>
      <c r="QCZ6"/>
      <c r="QDA6"/>
      <c r="QDB6"/>
      <c r="QDC6"/>
      <c r="QDD6"/>
      <c r="QDE6"/>
      <c r="QDF6"/>
      <c r="QDG6"/>
      <c r="QDH6"/>
      <c r="QDI6"/>
      <c r="QDJ6"/>
      <c r="QDK6"/>
      <c r="QDL6"/>
      <c r="QDM6"/>
      <c r="QDN6"/>
      <c r="QDO6"/>
      <c r="QDP6"/>
      <c r="QDQ6"/>
      <c r="QDR6"/>
      <c r="QDS6"/>
      <c r="QDT6"/>
      <c r="QDU6"/>
      <c r="QDV6"/>
      <c r="QDW6"/>
      <c r="QDX6"/>
      <c r="QDY6"/>
      <c r="QDZ6"/>
      <c r="QEA6"/>
      <c r="QEB6"/>
      <c r="QEC6"/>
      <c r="QED6"/>
      <c r="QEE6"/>
      <c r="QEF6"/>
      <c r="QEG6"/>
      <c r="QEH6"/>
      <c r="QEI6"/>
      <c r="QEJ6"/>
      <c r="QEK6"/>
      <c r="QEL6"/>
      <c r="QEM6"/>
      <c r="QEN6"/>
      <c r="QEO6"/>
      <c r="QEP6"/>
      <c r="QEQ6"/>
      <c r="QER6"/>
      <c r="QES6"/>
      <c r="QET6"/>
      <c r="QEU6"/>
      <c r="QEV6"/>
      <c r="QEW6"/>
      <c r="QEX6"/>
      <c r="QEY6"/>
      <c r="QEZ6"/>
      <c r="QFA6"/>
      <c r="QFB6"/>
      <c r="QFC6"/>
      <c r="QFD6"/>
      <c r="QFE6"/>
      <c r="QFF6"/>
      <c r="QFG6"/>
      <c r="QFH6"/>
      <c r="QFI6"/>
      <c r="QFJ6"/>
      <c r="QFK6"/>
      <c r="QFL6"/>
      <c r="QFM6"/>
      <c r="QFN6"/>
      <c r="QFO6"/>
      <c r="QFP6"/>
      <c r="QFQ6"/>
      <c r="QFR6"/>
      <c r="QFS6"/>
      <c r="QFT6"/>
      <c r="QFU6"/>
      <c r="QFV6"/>
      <c r="QFW6"/>
      <c r="QFX6"/>
      <c r="QFY6"/>
      <c r="QFZ6"/>
      <c r="QGA6"/>
      <c r="QGB6"/>
      <c r="QGC6"/>
      <c r="QGD6"/>
      <c r="QGE6"/>
      <c r="QGF6"/>
      <c r="QGG6"/>
      <c r="QGH6"/>
      <c r="QGI6"/>
      <c r="QGJ6"/>
      <c r="QGK6"/>
      <c r="QGL6"/>
      <c r="QGM6"/>
      <c r="QGN6"/>
      <c r="QGO6"/>
      <c r="QGP6"/>
      <c r="QGQ6"/>
      <c r="QGR6"/>
      <c r="QGS6"/>
      <c r="QGT6"/>
      <c r="QGU6"/>
      <c r="QGV6"/>
      <c r="QGW6"/>
      <c r="QGX6"/>
      <c r="QGY6"/>
      <c r="QGZ6"/>
      <c r="QHA6"/>
      <c r="QHB6"/>
      <c r="QHC6"/>
      <c r="QHD6"/>
      <c r="QHE6"/>
      <c r="QHF6"/>
      <c r="QHG6"/>
      <c r="QHH6"/>
      <c r="QHI6"/>
      <c r="QHJ6"/>
      <c r="QHK6"/>
      <c r="QHL6"/>
      <c r="QHM6"/>
      <c r="QHN6"/>
      <c r="QHO6"/>
      <c r="QHP6"/>
      <c r="QHQ6"/>
      <c r="QHR6"/>
      <c r="QHS6"/>
      <c r="QHT6"/>
      <c r="QHU6"/>
      <c r="QHV6"/>
      <c r="QHW6"/>
      <c r="QHX6"/>
      <c r="QHY6"/>
      <c r="QHZ6"/>
      <c r="QIA6"/>
      <c r="QIB6"/>
      <c r="QIC6"/>
      <c r="QID6"/>
      <c r="QIE6"/>
      <c r="QIF6"/>
      <c r="QIG6"/>
      <c r="QIH6"/>
      <c r="QII6"/>
      <c r="QIJ6"/>
      <c r="QIK6"/>
      <c r="QIL6"/>
      <c r="QIM6"/>
      <c r="QIN6"/>
      <c r="QIO6"/>
      <c r="QIP6"/>
      <c r="QIQ6"/>
      <c r="QIR6"/>
      <c r="QIS6"/>
      <c r="QIT6"/>
      <c r="QIU6"/>
      <c r="QIV6"/>
      <c r="QIW6"/>
      <c r="QIX6"/>
      <c r="QIY6"/>
      <c r="QIZ6"/>
      <c r="QJA6"/>
      <c r="QJB6"/>
      <c r="QJC6"/>
      <c r="QJD6"/>
      <c r="QJE6"/>
      <c r="QJF6"/>
      <c r="QJG6"/>
      <c r="QJH6"/>
      <c r="QJI6"/>
      <c r="QJJ6"/>
      <c r="QJK6"/>
      <c r="QJL6"/>
      <c r="QJM6"/>
      <c r="QJN6"/>
      <c r="QJO6"/>
      <c r="QJP6"/>
      <c r="QJQ6"/>
      <c r="QJR6"/>
      <c r="QJS6"/>
      <c r="QJT6"/>
      <c r="QJU6"/>
      <c r="QJV6"/>
      <c r="QJW6"/>
      <c r="QJX6"/>
      <c r="QJY6"/>
      <c r="QJZ6"/>
      <c r="QKA6"/>
      <c r="QKB6"/>
      <c r="QKC6"/>
      <c r="QKD6"/>
      <c r="QKE6"/>
      <c r="QKF6"/>
      <c r="QKG6"/>
      <c r="QKH6"/>
      <c r="QKI6"/>
      <c r="QKJ6"/>
      <c r="QKK6"/>
      <c r="QKL6"/>
      <c r="QKM6"/>
      <c r="QKN6"/>
      <c r="QKO6"/>
      <c r="QKP6"/>
      <c r="QKQ6"/>
      <c r="QKR6"/>
      <c r="QKS6"/>
      <c r="QKT6"/>
      <c r="QKU6"/>
      <c r="QKV6"/>
      <c r="QKW6"/>
      <c r="QKX6"/>
      <c r="QKY6"/>
      <c r="QKZ6"/>
      <c r="QLA6"/>
      <c r="QLB6"/>
      <c r="QLC6"/>
      <c r="QLD6"/>
      <c r="QLE6"/>
      <c r="QLF6"/>
      <c r="QLG6"/>
      <c r="QLH6"/>
      <c r="QLI6"/>
      <c r="QLJ6"/>
      <c r="QLK6"/>
      <c r="QLL6"/>
      <c r="QLM6"/>
      <c r="QLN6"/>
      <c r="QLO6"/>
      <c r="QLP6"/>
      <c r="QLQ6"/>
      <c r="QLR6"/>
      <c r="QLS6"/>
      <c r="QLT6"/>
      <c r="QLU6"/>
      <c r="QLV6"/>
      <c r="QLW6"/>
      <c r="QLX6"/>
      <c r="QLY6"/>
      <c r="QLZ6"/>
      <c r="QMA6"/>
      <c r="QMB6"/>
      <c r="QMC6"/>
      <c r="QMD6"/>
      <c r="QME6"/>
      <c r="QMF6"/>
      <c r="QMG6"/>
      <c r="QMH6"/>
      <c r="QMI6"/>
      <c r="QMJ6"/>
      <c r="QMK6"/>
      <c r="QML6"/>
      <c r="QMM6"/>
      <c r="QMN6"/>
      <c r="QMO6"/>
      <c r="QMP6"/>
      <c r="QMQ6"/>
      <c r="QMR6"/>
      <c r="QMS6"/>
      <c r="QMT6"/>
      <c r="QMU6"/>
      <c r="QMV6"/>
      <c r="QMW6"/>
      <c r="QMX6"/>
      <c r="QMY6"/>
      <c r="QMZ6"/>
      <c r="QNA6"/>
      <c r="QNB6"/>
      <c r="QNC6"/>
      <c r="QND6"/>
      <c r="QNE6"/>
      <c r="QNF6"/>
      <c r="QNG6"/>
      <c r="QNH6"/>
      <c r="QNI6"/>
      <c r="QNJ6"/>
      <c r="QNK6"/>
      <c r="QNL6"/>
      <c r="QNM6"/>
      <c r="QNN6"/>
      <c r="QNO6"/>
      <c r="QNP6"/>
      <c r="QNQ6"/>
      <c r="QNR6"/>
      <c r="QNS6"/>
      <c r="QNT6"/>
      <c r="QNU6"/>
      <c r="QNV6"/>
      <c r="QNW6"/>
      <c r="QNX6"/>
      <c r="QNY6"/>
      <c r="QNZ6"/>
      <c r="QOA6"/>
      <c r="QOB6"/>
      <c r="QOC6"/>
      <c r="QOD6"/>
      <c r="QOE6"/>
      <c r="QOF6"/>
      <c r="QOG6"/>
      <c r="QOH6"/>
      <c r="QOI6"/>
      <c r="QOJ6"/>
      <c r="QOK6"/>
      <c r="QOL6"/>
      <c r="QOM6"/>
      <c r="QON6"/>
      <c r="QOO6"/>
      <c r="QOP6"/>
      <c r="QOQ6"/>
      <c r="QOR6"/>
      <c r="QOS6"/>
      <c r="QOT6"/>
      <c r="QOU6"/>
      <c r="QOV6"/>
      <c r="QOW6"/>
      <c r="QOX6"/>
      <c r="QOY6"/>
      <c r="QOZ6"/>
      <c r="QPA6"/>
      <c r="QPB6"/>
      <c r="QPC6"/>
      <c r="QPD6"/>
      <c r="QPE6"/>
      <c r="QPF6"/>
      <c r="QPG6"/>
      <c r="QPH6"/>
      <c r="QPI6"/>
      <c r="QPJ6"/>
      <c r="QPK6"/>
      <c r="QPL6"/>
      <c r="QPM6"/>
      <c r="QPN6"/>
      <c r="QPO6"/>
      <c r="QPP6"/>
      <c r="QPQ6"/>
      <c r="QPR6"/>
      <c r="QPS6"/>
      <c r="QPT6"/>
      <c r="QPU6"/>
      <c r="QPV6"/>
      <c r="QPW6"/>
      <c r="QPX6"/>
      <c r="QPY6"/>
      <c r="QPZ6"/>
      <c r="QQA6"/>
      <c r="QQB6"/>
      <c r="QQC6"/>
      <c r="QQD6"/>
      <c r="QQE6"/>
      <c r="QQF6"/>
      <c r="QQG6"/>
      <c r="QQH6"/>
      <c r="QQI6"/>
      <c r="QQJ6"/>
      <c r="QQK6"/>
      <c r="QQL6"/>
      <c r="QQM6"/>
      <c r="QQN6"/>
      <c r="QQO6"/>
      <c r="QQP6"/>
      <c r="QQQ6"/>
      <c r="QQR6"/>
      <c r="QQS6"/>
      <c r="QQT6"/>
      <c r="QQU6"/>
      <c r="QQV6"/>
      <c r="QQW6"/>
      <c r="QQX6"/>
      <c r="QQY6"/>
      <c r="QQZ6"/>
      <c r="QRA6"/>
      <c r="QRB6"/>
      <c r="QRC6"/>
      <c r="QRD6"/>
      <c r="QRE6"/>
      <c r="QRF6"/>
      <c r="QRG6"/>
      <c r="QRH6"/>
      <c r="QRI6"/>
      <c r="QRJ6"/>
      <c r="QRK6"/>
      <c r="QRL6"/>
      <c r="QRM6"/>
      <c r="QRN6"/>
      <c r="QRO6"/>
      <c r="QRP6"/>
      <c r="QRQ6"/>
      <c r="QRR6"/>
      <c r="QRS6"/>
      <c r="QRT6"/>
      <c r="QRU6"/>
      <c r="QRV6"/>
      <c r="QRW6"/>
      <c r="QRX6"/>
      <c r="QRY6"/>
      <c r="QRZ6"/>
      <c r="QSA6"/>
      <c r="QSB6"/>
      <c r="QSC6"/>
      <c r="QSD6"/>
      <c r="QSE6"/>
      <c r="QSF6"/>
      <c r="QSG6"/>
      <c r="QSH6"/>
      <c r="QSI6"/>
      <c r="QSJ6"/>
      <c r="QSK6"/>
      <c r="QSL6"/>
      <c r="QSM6"/>
      <c r="QSN6"/>
      <c r="QSO6"/>
      <c r="QSP6"/>
      <c r="QSQ6"/>
      <c r="QSR6"/>
      <c r="QSS6"/>
      <c r="QST6"/>
      <c r="QSU6"/>
      <c r="QSV6"/>
      <c r="QSW6"/>
      <c r="QSX6"/>
      <c r="QSY6"/>
      <c r="QSZ6"/>
      <c r="QTA6"/>
      <c r="QTB6"/>
      <c r="QTC6"/>
      <c r="QTD6"/>
      <c r="QTE6"/>
      <c r="QTF6"/>
      <c r="QTG6"/>
      <c r="QTH6"/>
      <c r="QTI6"/>
      <c r="QTJ6"/>
      <c r="QTK6"/>
      <c r="QTL6"/>
      <c r="QTM6"/>
      <c r="QTN6"/>
      <c r="QTO6"/>
      <c r="QTP6"/>
      <c r="QTQ6"/>
      <c r="QTR6"/>
      <c r="QTS6"/>
      <c r="QTT6"/>
      <c r="QTU6"/>
      <c r="QTV6"/>
      <c r="QTW6"/>
      <c r="QTX6"/>
      <c r="QTY6"/>
      <c r="QTZ6"/>
      <c r="QUA6"/>
      <c r="QUB6"/>
      <c r="QUC6"/>
      <c r="QUD6"/>
      <c r="QUE6"/>
      <c r="QUF6"/>
      <c r="QUG6"/>
      <c r="QUH6"/>
      <c r="QUI6"/>
      <c r="QUJ6"/>
      <c r="QUK6"/>
      <c r="QUL6"/>
      <c r="QUM6"/>
      <c r="QUN6"/>
      <c r="QUO6"/>
      <c r="QUP6"/>
      <c r="QUQ6"/>
      <c r="QUR6"/>
      <c r="QUS6"/>
      <c r="QUT6"/>
      <c r="QUU6"/>
      <c r="QUV6"/>
      <c r="QUW6"/>
      <c r="QUX6"/>
      <c r="QUY6"/>
      <c r="QUZ6"/>
      <c r="QVA6"/>
      <c r="QVB6"/>
      <c r="QVC6"/>
      <c r="QVD6"/>
      <c r="QVE6"/>
      <c r="QVF6"/>
      <c r="QVG6"/>
      <c r="QVH6"/>
      <c r="QVI6"/>
      <c r="QVJ6"/>
      <c r="QVK6"/>
      <c r="QVL6"/>
      <c r="QVM6"/>
      <c r="QVN6"/>
      <c r="QVO6"/>
      <c r="QVP6"/>
      <c r="QVQ6"/>
      <c r="QVR6"/>
      <c r="QVS6"/>
      <c r="QVT6"/>
      <c r="QVU6"/>
      <c r="QVV6"/>
      <c r="QVW6"/>
      <c r="QVX6"/>
      <c r="QVY6"/>
      <c r="QVZ6"/>
      <c r="QWA6"/>
      <c r="QWB6"/>
      <c r="QWC6"/>
      <c r="QWD6"/>
      <c r="QWE6"/>
      <c r="QWF6"/>
      <c r="QWG6"/>
      <c r="QWH6"/>
      <c r="QWI6"/>
      <c r="QWJ6"/>
      <c r="QWK6"/>
      <c r="QWL6"/>
      <c r="QWM6"/>
      <c r="QWN6"/>
      <c r="QWO6"/>
      <c r="QWP6"/>
      <c r="QWQ6"/>
      <c r="QWR6"/>
      <c r="QWS6"/>
      <c r="QWT6"/>
      <c r="QWU6"/>
      <c r="QWV6"/>
      <c r="QWW6"/>
      <c r="QWX6"/>
      <c r="QWY6"/>
      <c r="QWZ6"/>
      <c r="QXA6"/>
      <c r="QXB6"/>
      <c r="QXC6"/>
      <c r="QXD6"/>
      <c r="QXE6"/>
      <c r="QXF6"/>
      <c r="QXG6"/>
      <c r="QXH6"/>
      <c r="QXI6"/>
      <c r="QXJ6"/>
      <c r="QXK6"/>
      <c r="QXL6"/>
      <c r="QXM6"/>
      <c r="QXN6"/>
      <c r="QXO6"/>
      <c r="QXP6"/>
      <c r="QXQ6"/>
      <c r="QXR6"/>
      <c r="QXS6"/>
      <c r="QXT6"/>
      <c r="QXU6"/>
      <c r="QXV6"/>
      <c r="QXW6"/>
      <c r="QXX6"/>
      <c r="QXY6"/>
      <c r="QXZ6"/>
      <c r="QYA6"/>
      <c r="QYB6"/>
      <c r="QYC6"/>
      <c r="QYD6"/>
      <c r="QYE6"/>
      <c r="QYF6"/>
      <c r="QYG6"/>
      <c r="QYH6"/>
      <c r="QYI6"/>
      <c r="QYJ6"/>
      <c r="QYK6"/>
      <c r="QYL6"/>
      <c r="QYM6"/>
      <c r="QYN6"/>
      <c r="QYO6"/>
      <c r="QYP6"/>
      <c r="QYQ6"/>
      <c r="QYR6"/>
      <c r="QYS6"/>
      <c r="QYT6"/>
      <c r="QYU6"/>
      <c r="QYV6"/>
      <c r="QYW6"/>
      <c r="QYX6"/>
      <c r="QYY6"/>
      <c r="QYZ6"/>
      <c r="QZA6"/>
      <c r="QZB6"/>
      <c r="QZC6"/>
      <c r="QZD6"/>
      <c r="QZE6"/>
      <c r="QZF6"/>
      <c r="QZG6"/>
      <c r="QZH6"/>
      <c r="QZI6"/>
      <c r="QZJ6"/>
      <c r="QZK6"/>
      <c r="QZL6"/>
      <c r="QZM6"/>
      <c r="QZN6"/>
      <c r="QZO6"/>
      <c r="QZP6"/>
      <c r="QZQ6"/>
      <c r="QZR6"/>
      <c r="QZS6"/>
      <c r="QZT6"/>
      <c r="QZU6"/>
      <c r="QZV6"/>
      <c r="QZW6"/>
      <c r="QZX6"/>
      <c r="QZY6"/>
      <c r="QZZ6"/>
      <c r="RAA6"/>
      <c r="RAB6"/>
      <c r="RAC6"/>
      <c r="RAD6"/>
      <c r="RAE6"/>
      <c r="RAF6"/>
      <c r="RAG6"/>
      <c r="RAH6"/>
      <c r="RAI6"/>
      <c r="RAJ6"/>
      <c r="RAK6"/>
      <c r="RAL6"/>
      <c r="RAM6"/>
      <c r="RAN6"/>
      <c r="RAO6"/>
      <c r="RAP6"/>
      <c r="RAQ6"/>
      <c r="RAR6"/>
      <c r="RAS6"/>
      <c r="RAT6"/>
      <c r="RAU6"/>
      <c r="RAV6"/>
      <c r="RAW6"/>
      <c r="RAX6"/>
      <c r="RAY6"/>
      <c r="RAZ6"/>
      <c r="RBA6"/>
      <c r="RBB6"/>
      <c r="RBC6"/>
      <c r="RBD6"/>
      <c r="RBE6"/>
      <c r="RBF6"/>
      <c r="RBG6"/>
      <c r="RBH6"/>
      <c r="RBI6"/>
      <c r="RBJ6"/>
      <c r="RBK6"/>
      <c r="RBL6"/>
      <c r="RBM6"/>
      <c r="RBN6"/>
      <c r="RBO6"/>
      <c r="RBP6"/>
      <c r="RBQ6"/>
      <c r="RBR6"/>
      <c r="RBS6"/>
      <c r="RBT6"/>
      <c r="RBU6"/>
      <c r="RBV6"/>
      <c r="RBW6"/>
      <c r="RBX6"/>
      <c r="RBY6"/>
      <c r="RBZ6"/>
      <c r="RCA6"/>
      <c r="RCB6"/>
      <c r="RCC6"/>
      <c r="RCD6"/>
      <c r="RCE6"/>
      <c r="RCF6"/>
      <c r="RCG6"/>
      <c r="RCH6"/>
      <c r="RCI6"/>
      <c r="RCJ6"/>
      <c r="RCK6"/>
      <c r="RCL6"/>
      <c r="RCM6"/>
      <c r="RCN6"/>
      <c r="RCO6"/>
      <c r="RCP6"/>
      <c r="RCQ6"/>
      <c r="RCR6"/>
      <c r="RCS6"/>
      <c r="RCT6"/>
      <c r="RCU6"/>
      <c r="RCV6"/>
      <c r="RCW6"/>
      <c r="RCX6"/>
      <c r="RCY6"/>
      <c r="RCZ6"/>
      <c r="RDA6"/>
      <c r="RDB6"/>
      <c r="RDC6"/>
      <c r="RDD6"/>
      <c r="RDE6"/>
      <c r="RDF6"/>
      <c r="RDG6"/>
      <c r="RDH6"/>
      <c r="RDI6"/>
      <c r="RDJ6"/>
      <c r="RDK6"/>
      <c r="RDL6"/>
      <c r="RDM6"/>
      <c r="RDN6"/>
      <c r="RDO6"/>
      <c r="RDP6"/>
      <c r="RDQ6"/>
      <c r="RDR6"/>
      <c r="RDS6"/>
      <c r="RDT6"/>
      <c r="RDU6"/>
      <c r="RDV6"/>
      <c r="RDW6"/>
      <c r="RDX6"/>
      <c r="RDY6"/>
      <c r="RDZ6"/>
      <c r="REA6"/>
      <c r="REB6"/>
      <c r="REC6"/>
      <c r="RED6"/>
      <c r="REE6"/>
      <c r="REF6"/>
      <c r="REG6"/>
      <c r="REH6"/>
      <c r="REI6"/>
      <c r="REJ6"/>
      <c r="REK6"/>
      <c r="REL6"/>
      <c r="REM6"/>
      <c r="REN6"/>
      <c r="REO6"/>
      <c r="REP6"/>
      <c r="REQ6"/>
      <c r="RER6"/>
      <c r="RES6"/>
      <c r="RET6"/>
      <c r="REU6"/>
      <c r="REV6"/>
      <c r="REW6"/>
      <c r="REX6"/>
      <c r="REY6"/>
      <c r="REZ6"/>
      <c r="RFA6"/>
      <c r="RFB6"/>
      <c r="RFC6"/>
      <c r="RFD6"/>
      <c r="RFE6"/>
      <c r="RFF6"/>
      <c r="RFG6"/>
      <c r="RFH6"/>
      <c r="RFI6"/>
      <c r="RFJ6"/>
      <c r="RFK6"/>
      <c r="RFL6"/>
      <c r="RFM6"/>
      <c r="RFN6"/>
      <c r="RFO6"/>
      <c r="RFP6"/>
      <c r="RFQ6"/>
      <c r="RFR6"/>
      <c r="RFS6"/>
      <c r="RFT6"/>
      <c r="RFU6"/>
      <c r="RFV6"/>
      <c r="RFW6"/>
      <c r="RFX6"/>
      <c r="RFY6"/>
      <c r="RFZ6"/>
      <c r="RGA6"/>
      <c r="RGB6"/>
      <c r="RGC6"/>
      <c r="RGD6"/>
      <c r="RGE6"/>
      <c r="RGF6"/>
      <c r="RGG6"/>
      <c r="RGH6"/>
      <c r="RGI6"/>
      <c r="RGJ6"/>
      <c r="RGK6"/>
      <c r="RGL6"/>
      <c r="RGM6"/>
      <c r="RGN6"/>
      <c r="RGO6"/>
      <c r="RGP6"/>
      <c r="RGQ6"/>
      <c r="RGR6"/>
      <c r="RGS6"/>
      <c r="RGT6"/>
      <c r="RGU6"/>
      <c r="RGV6"/>
      <c r="RGW6"/>
      <c r="RGX6"/>
      <c r="RGY6"/>
      <c r="RGZ6"/>
      <c r="RHA6"/>
      <c r="RHB6"/>
      <c r="RHC6"/>
      <c r="RHD6"/>
      <c r="RHE6"/>
      <c r="RHF6"/>
      <c r="RHG6"/>
      <c r="RHH6"/>
      <c r="RHI6"/>
      <c r="RHJ6"/>
      <c r="RHK6"/>
      <c r="RHL6"/>
      <c r="RHM6"/>
      <c r="RHN6"/>
      <c r="RHO6"/>
      <c r="RHP6"/>
      <c r="RHQ6"/>
      <c r="RHR6"/>
      <c r="RHS6"/>
      <c r="RHT6"/>
      <c r="RHU6"/>
      <c r="RHV6"/>
      <c r="RHW6"/>
      <c r="RHX6"/>
      <c r="RHY6"/>
      <c r="RHZ6"/>
      <c r="RIA6"/>
      <c r="RIB6"/>
      <c r="RIC6"/>
      <c r="RID6"/>
      <c r="RIE6"/>
      <c r="RIF6"/>
      <c r="RIG6"/>
      <c r="RIH6"/>
      <c r="RII6"/>
      <c r="RIJ6"/>
      <c r="RIK6"/>
      <c r="RIL6"/>
      <c r="RIM6"/>
      <c r="RIN6"/>
      <c r="RIO6"/>
      <c r="RIP6"/>
      <c r="RIQ6"/>
      <c r="RIR6"/>
      <c r="RIS6"/>
      <c r="RIT6"/>
      <c r="RIU6"/>
      <c r="RIV6"/>
      <c r="RIW6"/>
      <c r="RIX6"/>
      <c r="RIY6"/>
      <c r="RIZ6"/>
      <c r="RJA6"/>
      <c r="RJB6"/>
      <c r="RJC6"/>
      <c r="RJD6"/>
      <c r="RJE6"/>
      <c r="RJF6"/>
      <c r="RJG6"/>
      <c r="RJH6"/>
      <c r="RJI6"/>
      <c r="RJJ6"/>
      <c r="RJK6"/>
      <c r="RJL6"/>
      <c r="RJM6"/>
      <c r="RJN6"/>
      <c r="RJO6"/>
      <c r="RJP6"/>
      <c r="RJQ6"/>
      <c r="RJR6"/>
      <c r="RJS6"/>
      <c r="RJT6"/>
      <c r="RJU6"/>
      <c r="RJV6"/>
      <c r="RJW6"/>
      <c r="RJX6"/>
      <c r="RJY6"/>
      <c r="RJZ6"/>
      <c r="RKA6"/>
      <c r="RKB6"/>
      <c r="RKC6"/>
      <c r="RKD6"/>
      <c r="RKE6"/>
      <c r="RKF6"/>
      <c r="RKG6"/>
      <c r="RKH6"/>
      <c r="RKI6"/>
      <c r="RKJ6"/>
      <c r="RKK6"/>
      <c r="RKL6"/>
      <c r="RKM6"/>
      <c r="RKN6"/>
      <c r="RKO6"/>
      <c r="RKP6"/>
      <c r="RKQ6"/>
      <c r="RKR6"/>
      <c r="RKS6"/>
      <c r="RKT6"/>
      <c r="RKU6"/>
      <c r="RKV6"/>
      <c r="RKW6"/>
      <c r="RKX6"/>
      <c r="RKY6"/>
      <c r="RKZ6"/>
      <c r="RLA6"/>
      <c r="RLB6"/>
      <c r="RLC6"/>
      <c r="RLD6"/>
      <c r="RLE6"/>
      <c r="RLF6"/>
      <c r="RLG6"/>
      <c r="RLH6"/>
      <c r="RLI6"/>
      <c r="RLJ6"/>
      <c r="RLK6"/>
      <c r="RLL6"/>
      <c r="RLM6"/>
      <c r="RLN6"/>
      <c r="RLO6"/>
      <c r="RLP6"/>
      <c r="RLQ6"/>
      <c r="RLR6"/>
      <c r="RLS6"/>
      <c r="RLT6"/>
      <c r="RLU6"/>
      <c r="RLV6"/>
      <c r="RLW6"/>
      <c r="RLX6"/>
      <c r="RLY6"/>
      <c r="RLZ6"/>
      <c r="RMA6"/>
      <c r="RMB6"/>
      <c r="RMC6"/>
      <c r="RMD6"/>
      <c r="RME6"/>
      <c r="RMF6"/>
      <c r="RMG6"/>
      <c r="RMH6"/>
      <c r="RMI6"/>
      <c r="RMJ6"/>
      <c r="RMK6"/>
      <c r="RML6"/>
      <c r="RMM6"/>
      <c r="RMN6"/>
      <c r="RMO6"/>
      <c r="RMP6"/>
      <c r="RMQ6"/>
      <c r="RMR6"/>
      <c r="RMS6"/>
      <c r="RMT6"/>
      <c r="RMU6"/>
      <c r="RMV6"/>
      <c r="RMW6"/>
      <c r="RMX6"/>
      <c r="RMY6"/>
      <c r="RMZ6"/>
      <c r="RNA6"/>
      <c r="RNB6"/>
      <c r="RNC6"/>
      <c r="RND6"/>
      <c r="RNE6"/>
      <c r="RNF6"/>
      <c r="RNG6"/>
      <c r="RNH6"/>
      <c r="RNI6"/>
      <c r="RNJ6"/>
      <c r="RNK6"/>
      <c r="RNL6"/>
      <c r="RNM6"/>
      <c r="RNN6"/>
      <c r="RNO6"/>
      <c r="RNP6"/>
      <c r="RNQ6"/>
      <c r="RNR6"/>
      <c r="RNS6"/>
      <c r="RNT6"/>
      <c r="RNU6"/>
      <c r="RNV6"/>
      <c r="RNW6"/>
      <c r="RNX6"/>
      <c r="RNY6"/>
      <c r="RNZ6"/>
      <c r="ROA6"/>
      <c r="ROB6"/>
      <c r="ROC6"/>
      <c r="ROD6"/>
      <c r="ROE6"/>
      <c r="ROF6"/>
      <c r="ROG6"/>
      <c r="ROH6"/>
      <c r="ROI6"/>
      <c r="ROJ6"/>
      <c r="ROK6"/>
      <c r="ROL6"/>
      <c r="ROM6"/>
      <c r="RON6"/>
      <c r="ROO6"/>
      <c r="ROP6"/>
      <c r="ROQ6"/>
      <c r="ROR6"/>
      <c r="ROS6"/>
      <c r="ROT6"/>
      <c r="ROU6"/>
      <c r="ROV6"/>
      <c r="ROW6"/>
      <c r="ROX6"/>
      <c r="ROY6"/>
      <c r="ROZ6"/>
      <c r="RPA6"/>
      <c r="RPB6"/>
      <c r="RPC6"/>
      <c r="RPD6"/>
      <c r="RPE6"/>
      <c r="RPF6"/>
      <c r="RPG6"/>
      <c r="RPH6"/>
      <c r="RPI6"/>
      <c r="RPJ6"/>
      <c r="RPK6"/>
      <c r="RPL6"/>
      <c r="RPM6"/>
      <c r="RPN6"/>
      <c r="RPO6"/>
      <c r="RPP6"/>
      <c r="RPQ6"/>
      <c r="RPR6"/>
      <c r="RPS6"/>
      <c r="RPT6"/>
      <c r="RPU6"/>
      <c r="RPV6"/>
      <c r="RPW6"/>
      <c r="RPX6"/>
      <c r="RPY6"/>
      <c r="RPZ6"/>
      <c r="RQA6"/>
      <c r="RQB6"/>
      <c r="RQC6"/>
      <c r="RQD6"/>
      <c r="RQE6"/>
      <c r="RQF6"/>
      <c r="RQG6"/>
      <c r="RQH6"/>
      <c r="RQI6"/>
      <c r="RQJ6"/>
      <c r="RQK6"/>
      <c r="RQL6"/>
      <c r="RQM6"/>
      <c r="RQN6"/>
      <c r="RQO6"/>
      <c r="RQP6"/>
      <c r="RQQ6"/>
      <c r="RQR6"/>
      <c r="RQS6"/>
      <c r="RQT6"/>
      <c r="RQU6"/>
      <c r="RQV6"/>
      <c r="RQW6"/>
      <c r="RQX6"/>
      <c r="RQY6"/>
      <c r="RQZ6"/>
      <c r="RRA6"/>
      <c r="RRB6"/>
      <c r="RRC6"/>
      <c r="RRD6"/>
      <c r="RRE6"/>
      <c r="RRF6"/>
      <c r="RRG6"/>
      <c r="RRH6"/>
      <c r="RRI6"/>
      <c r="RRJ6"/>
      <c r="RRK6"/>
      <c r="RRL6"/>
      <c r="RRM6"/>
      <c r="RRN6"/>
      <c r="RRO6"/>
      <c r="RRP6"/>
      <c r="RRQ6"/>
      <c r="RRR6"/>
      <c r="RRS6"/>
      <c r="RRT6"/>
      <c r="RRU6"/>
      <c r="RRV6"/>
      <c r="RRW6"/>
      <c r="RRX6"/>
      <c r="RRY6"/>
      <c r="RRZ6"/>
      <c r="RSA6"/>
      <c r="RSB6"/>
      <c r="RSC6"/>
      <c r="RSD6"/>
      <c r="RSE6"/>
      <c r="RSF6"/>
      <c r="RSG6"/>
      <c r="RSH6"/>
      <c r="RSI6"/>
      <c r="RSJ6"/>
      <c r="RSK6"/>
      <c r="RSL6"/>
      <c r="RSM6"/>
      <c r="RSN6"/>
      <c r="RSO6"/>
      <c r="RSP6"/>
      <c r="RSQ6"/>
      <c r="RSR6"/>
      <c r="RSS6"/>
      <c r="RST6"/>
      <c r="RSU6"/>
      <c r="RSV6"/>
      <c r="RSW6"/>
      <c r="RSX6"/>
      <c r="RSY6"/>
      <c r="RSZ6"/>
      <c r="RTA6"/>
      <c r="RTB6"/>
      <c r="RTC6"/>
      <c r="RTD6"/>
      <c r="RTE6"/>
      <c r="RTF6"/>
      <c r="RTG6"/>
      <c r="RTH6"/>
      <c r="RTI6"/>
      <c r="RTJ6"/>
      <c r="RTK6"/>
      <c r="RTL6"/>
      <c r="RTM6"/>
      <c r="RTN6"/>
      <c r="RTO6"/>
      <c r="RTP6"/>
      <c r="RTQ6"/>
      <c r="RTR6"/>
      <c r="RTS6"/>
      <c r="RTT6"/>
      <c r="RTU6"/>
      <c r="RTV6"/>
      <c r="RTW6"/>
      <c r="RTX6"/>
      <c r="RTY6"/>
      <c r="RTZ6"/>
      <c r="RUA6"/>
      <c r="RUB6"/>
      <c r="RUC6"/>
      <c r="RUD6"/>
      <c r="RUE6"/>
      <c r="RUF6"/>
      <c r="RUG6"/>
      <c r="RUH6"/>
      <c r="RUI6"/>
      <c r="RUJ6"/>
      <c r="RUK6"/>
      <c r="RUL6"/>
      <c r="RUM6"/>
      <c r="RUN6"/>
      <c r="RUO6"/>
      <c r="RUP6"/>
      <c r="RUQ6"/>
      <c r="RUR6"/>
      <c r="RUS6"/>
      <c r="RUT6"/>
      <c r="RUU6"/>
      <c r="RUV6"/>
      <c r="RUW6"/>
      <c r="RUX6"/>
      <c r="RUY6"/>
      <c r="RUZ6"/>
      <c r="RVA6"/>
      <c r="RVB6"/>
      <c r="RVC6"/>
      <c r="RVD6"/>
      <c r="RVE6"/>
      <c r="RVF6"/>
      <c r="RVG6"/>
      <c r="RVH6"/>
      <c r="RVI6"/>
      <c r="RVJ6"/>
      <c r="RVK6"/>
      <c r="RVL6"/>
      <c r="RVM6"/>
      <c r="RVN6"/>
      <c r="RVO6"/>
      <c r="RVP6"/>
      <c r="RVQ6"/>
      <c r="RVR6"/>
      <c r="RVS6"/>
      <c r="RVT6"/>
      <c r="RVU6"/>
      <c r="RVV6"/>
      <c r="RVW6"/>
      <c r="RVX6"/>
      <c r="RVY6"/>
      <c r="RVZ6"/>
      <c r="RWA6"/>
      <c r="RWB6"/>
      <c r="RWC6"/>
      <c r="RWD6"/>
      <c r="RWE6"/>
      <c r="RWF6"/>
      <c r="RWG6"/>
      <c r="RWH6"/>
      <c r="RWI6"/>
      <c r="RWJ6"/>
      <c r="RWK6"/>
      <c r="RWL6"/>
      <c r="RWM6"/>
      <c r="RWN6"/>
      <c r="RWO6"/>
      <c r="RWP6"/>
      <c r="RWQ6"/>
      <c r="RWR6"/>
      <c r="RWS6"/>
      <c r="RWT6"/>
      <c r="RWU6"/>
      <c r="RWV6"/>
      <c r="RWW6"/>
      <c r="RWX6"/>
      <c r="RWY6"/>
      <c r="RWZ6"/>
      <c r="RXA6"/>
      <c r="RXB6"/>
      <c r="RXC6"/>
      <c r="RXD6"/>
      <c r="RXE6"/>
      <c r="RXF6"/>
      <c r="RXG6"/>
      <c r="RXH6"/>
      <c r="RXI6"/>
      <c r="RXJ6"/>
      <c r="RXK6"/>
      <c r="RXL6"/>
      <c r="RXM6"/>
      <c r="RXN6"/>
      <c r="RXO6"/>
      <c r="RXP6"/>
      <c r="RXQ6"/>
      <c r="RXR6"/>
      <c r="RXS6"/>
      <c r="RXT6"/>
      <c r="RXU6"/>
      <c r="RXV6"/>
      <c r="RXW6"/>
      <c r="RXX6"/>
      <c r="RXY6"/>
      <c r="RXZ6"/>
      <c r="RYA6"/>
      <c r="RYB6"/>
      <c r="RYC6"/>
      <c r="RYD6"/>
      <c r="RYE6"/>
      <c r="RYF6"/>
      <c r="RYG6"/>
      <c r="RYH6"/>
      <c r="RYI6"/>
      <c r="RYJ6"/>
      <c r="RYK6"/>
      <c r="RYL6"/>
      <c r="RYM6"/>
      <c r="RYN6"/>
      <c r="RYO6"/>
      <c r="RYP6"/>
      <c r="RYQ6"/>
      <c r="RYR6"/>
      <c r="RYS6"/>
      <c r="RYT6"/>
      <c r="RYU6"/>
      <c r="RYV6"/>
      <c r="RYW6"/>
      <c r="RYX6"/>
      <c r="RYY6"/>
      <c r="RYZ6"/>
      <c r="RZA6"/>
      <c r="RZB6"/>
      <c r="RZC6"/>
      <c r="RZD6"/>
      <c r="RZE6"/>
      <c r="RZF6"/>
      <c r="RZG6"/>
      <c r="RZH6"/>
      <c r="RZI6"/>
      <c r="RZJ6"/>
      <c r="RZK6"/>
      <c r="RZL6"/>
      <c r="RZM6"/>
      <c r="RZN6"/>
      <c r="RZO6"/>
      <c r="RZP6"/>
      <c r="RZQ6"/>
      <c r="RZR6"/>
      <c r="RZS6"/>
      <c r="RZT6"/>
      <c r="RZU6"/>
      <c r="RZV6"/>
      <c r="RZW6"/>
      <c r="RZX6"/>
      <c r="RZY6"/>
      <c r="RZZ6"/>
      <c r="SAA6"/>
      <c r="SAB6"/>
      <c r="SAC6"/>
      <c r="SAD6"/>
      <c r="SAE6"/>
      <c r="SAF6"/>
      <c r="SAG6"/>
      <c r="SAH6"/>
      <c r="SAI6"/>
      <c r="SAJ6"/>
      <c r="SAK6"/>
      <c r="SAL6"/>
      <c r="SAM6"/>
      <c r="SAN6"/>
      <c r="SAO6"/>
      <c r="SAP6"/>
      <c r="SAQ6"/>
      <c r="SAR6"/>
      <c r="SAS6"/>
      <c r="SAT6"/>
      <c r="SAU6"/>
      <c r="SAV6"/>
      <c r="SAW6"/>
      <c r="SAX6"/>
      <c r="SAY6"/>
      <c r="SAZ6"/>
      <c r="SBA6"/>
      <c r="SBB6"/>
      <c r="SBC6"/>
      <c r="SBD6"/>
      <c r="SBE6"/>
      <c r="SBF6"/>
      <c r="SBG6"/>
      <c r="SBH6"/>
      <c r="SBI6"/>
      <c r="SBJ6"/>
      <c r="SBK6"/>
      <c r="SBL6"/>
      <c r="SBM6"/>
      <c r="SBN6"/>
      <c r="SBO6"/>
      <c r="SBP6"/>
      <c r="SBQ6"/>
      <c r="SBR6"/>
      <c r="SBS6"/>
      <c r="SBT6"/>
      <c r="SBU6"/>
      <c r="SBV6"/>
      <c r="SBW6"/>
      <c r="SBX6"/>
      <c r="SBY6"/>
      <c r="SBZ6"/>
      <c r="SCA6"/>
      <c r="SCB6"/>
      <c r="SCC6"/>
      <c r="SCD6"/>
      <c r="SCE6"/>
      <c r="SCF6"/>
      <c r="SCG6"/>
      <c r="SCH6"/>
      <c r="SCI6"/>
      <c r="SCJ6"/>
      <c r="SCK6"/>
      <c r="SCL6"/>
      <c r="SCM6"/>
      <c r="SCN6"/>
      <c r="SCO6"/>
      <c r="SCP6"/>
      <c r="SCQ6"/>
      <c r="SCR6"/>
      <c r="SCS6"/>
      <c r="SCT6"/>
      <c r="SCU6"/>
      <c r="SCV6"/>
      <c r="SCW6"/>
      <c r="SCX6"/>
      <c r="SCY6"/>
      <c r="SCZ6"/>
      <c r="SDA6"/>
      <c r="SDB6"/>
      <c r="SDC6"/>
      <c r="SDD6"/>
      <c r="SDE6"/>
      <c r="SDF6"/>
      <c r="SDG6"/>
      <c r="SDH6"/>
      <c r="SDI6"/>
      <c r="SDJ6"/>
      <c r="SDK6"/>
      <c r="SDL6"/>
      <c r="SDM6"/>
      <c r="SDN6"/>
      <c r="SDO6"/>
      <c r="SDP6"/>
      <c r="SDQ6"/>
      <c r="SDR6"/>
      <c r="SDS6"/>
      <c r="SDT6"/>
      <c r="SDU6"/>
      <c r="SDV6"/>
      <c r="SDW6"/>
      <c r="SDX6"/>
      <c r="SDY6"/>
      <c r="SDZ6"/>
      <c r="SEA6"/>
      <c r="SEB6"/>
      <c r="SEC6"/>
      <c r="SED6"/>
      <c r="SEE6"/>
      <c r="SEF6"/>
      <c r="SEG6"/>
      <c r="SEH6"/>
      <c r="SEI6"/>
      <c r="SEJ6"/>
      <c r="SEK6"/>
      <c r="SEL6"/>
      <c r="SEM6"/>
      <c r="SEN6"/>
      <c r="SEO6"/>
      <c r="SEP6"/>
      <c r="SEQ6"/>
      <c r="SER6"/>
      <c r="SES6"/>
      <c r="SET6"/>
      <c r="SEU6"/>
      <c r="SEV6"/>
      <c r="SEW6"/>
      <c r="SEX6"/>
      <c r="SEY6"/>
      <c r="SEZ6"/>
      <c r="SFA6"/>
      <c r="SFB6"/>
      <c r="SFC6"/>
      <c r="SFD6"/>
      <c r="SFE6"/>
      <c r="SFF6"/>
      <c r="SFG6"/>
      <c r="SFH6"/>
      <c r="SFI6"/>
      <c r="SFJ6"/>
      <c r="SFK6"/>
      <c r="SFL6"/>
      <c r="SFM6"/>
      <c r="SFN6"/>
      <c r="SFO6"/>
      <c r="SFP6"/>
      <c r="SFQ6"/>
      <c r="SFR6"/>
      <c r="SFS6"/>
      <c r="SFT6"/>
      <c r="SFU6"/>
      <c r="SFV6"/>
      <c r="SFW6"/>
      <c r="SFX6"/>
      <c r="SFY6"/>
      <c r="SFZ6"/>
      <c r="SGA6"/>
      <c r="SGB6"/>
      <c r="SGC6"/>
      <c r="SGD6"/>
      <c r="SGE6"/>
      <c r="SGF6"/>
      <c r="SGG6"/>
      <c r="SGH6"/>
      <c r="SGI6"/>
      <c r="SGJ6"/>
      <c r="SGK6"/>
      <c r="SGL6"/>
      <c r="SGM6"/>
      <c r="SGN6"/>
      <c r="SGO6"/>
      <c r="SGP6"/>
      <c r="SGQ6"/>
      <c r="SGR6"/>
      <c r="SGS6"/>
      <c r="SGT6"/>
      <c r="SGU6"/>
      <c r="SGV6"/>
      <c r="SGW6"/>
      <c r="SGX6"/>
      <c r="SGY6"/>
      <c r="SGZ6"/>
      <c r="SHA6"/>
      <c r="SHB6"/>
      <c r="SHC6"/>
      <c r="SHD6"/>
      <c r="SHE6"/>
      <c r="SHF6"/>
      <c r="SHG6"/>
      <c r="SHH6"/>
      <c r="SHI6"/>
      <c r="SHJ6"/>
      <c r="SHK6"/>
      <c r="SHL6"/>
      <c r="SHM6"/>
      <c r="SHN6"/>
      <c r="SHO6"/>
      <c r="SHP6"/>
      <c r="SHQ6"/>
      <c r="SHR6"/>
      <c r="SHS6"/>
      <c r="SHT6"/>
      <c r="SHU6"/>
      <c r="SHV6"/>
      <c r="SHW6"/>
      <c r="SHX6"/>
      <c r="SHY6"/>
      <c r="SHZ6"/>
      <c r="SIA6"/>
      <c r="SIB6"/>
      <c r="SIC6"/>
      <c r="SID6"/>
      <c r="SIE6"/>
      <c r="SIF6"/>
      <c r="SIG6"/>
      <c r="SIH6"/>
      <c r="SII6"/>
      <c r="SIJ6"/>
      <c r="SIK6"/>
      <c r="SIL6"/>
      <c r="SIM6"/>
      <c r="SIN6"/>
      <c r="SIO6"/>
      <c r="SIP6"/>
      <c r="SIQ6"/>
      <c r="SIR6"/>
      <c r="SIS6"/>
      <c r="SIT6"/>
      <c r="SIU6"/>
      <c r="SIV6"/>
      <c r="SIW6"/>
      <c r="SIX6"/>
      <c r="SIY6"/>
      <c r="SIZ6"/>
      <c r="SJA6"/>
      <c r="SJB6"/>
      <c r="SJC6"/>
      <c r="SJD6"/>
      <c r="SJE6"/>
      <c r="SJF6"/>
      <c r="SJG6"/>
      <c r="SJH6"/>
      <c r="SJI6"/>
      <c r="SJJ6"/>
      <c r="SJK6"/>
      <c r="SJL6"/>
      <c r="SJM6"/>
      <c r="SJN6"/>
      <c r="SJO6"/>
      <c r="SJP6"/>
      <c r="SJQ6"/>
      <c r="SJR6"/>
      <c r="SJS6"/>
      <c r="SJT6"/>
      <c r="SJU6"/>
      <c r="SJV6"/>
      <c r="SJW6"/>
      <c r="SJX6"/>
      <c r="SJY6"/>
      <c r="SJZ6"/>
      <c r="SKA6"/>
      <c r="SKB6"/>
      <c r="SKC6"/>
      <c r="SKD6"/>
      <c r="SKE6"/>
      <c r="SKF6"/>
      <c r="SKG6"/>
      <c r="SKH6"/>
      <c r="SKI6"/>
      <c r="SKJ6"/>
      <c r="SKK6"/>
      <c r="SKL6"/>
      <c r="SKM6"/>
      <c r="SKN6"/>
      <c r="SKO6"/>
      <c r="SKP6"/>
      <c r="SKQ6"/>
      <c r="SKR6"/>
      <c r="SKS6"/>
      <c r="SKT6"/>
      <c r="SKU6"/>
      <c r="SKV6"/>
      <c r="SKW6"/>
      <c r="SKX6"/>
      <c r="SKY6"/>
      <c r="SKZ6"/>
      <c r="SLA6"/>
      <c r="SLB6"/>
      <c r="SLC6"/>
      <c r="SLD6"/>
      <c r="SLE6"/>
      <c r="SLF6"/>
      <c r="SLG6"/>
      <c r="SLH6"/>
      <c r="SLI6"/>
      <c r="SLJ6"/>
      <c r="SLK6"/>
      <c r="SLL6"/>
      <c r="SLM6"/>
      <c r="SLN6"/>
      <c r="SLO6"/>
      <c r="SLP6"/>
      <c r="SLQ6"/>
      <c r="SLR6"/>
      <c r="SLS6"/>
      <c r="SLT6"/>
      <c r="SLU6"/>
      <c r="SLV6"/>
      <c r="SLW6"/>
      <c r="SLX6"/>
      <c r="SLY6"/>
      <c r="SLZ6"/>
      <c r="SMA6"/>
      <c r="SMB6"/>
      <c r="SMC6"/>
      <c r="SMD6"/>
      <c r="SME6"/>
      <c r="SMF6"/>
      <c r="SMG6"/>
      <c r="SMH6"/>
      <c r="SMI6"/>
      <c r="SMJ6"/>
      <c r="SMK6"/>
      <c r="SML6"/>
      <c r="SMM6"/>
      <c r="SMN6"/>
      <c r="SMO6"/>
      <c r="SMP6"/>
      <c r="SMQ6"/>
      <c r="SMR6"/>
      <c r="SMS6"/>
      <c r="SMT6"/>
      <c r="SMU6"/>
      <c r="SMV6"/>
      <c r="SMW6"/>
      <c r="SMX6"/>
      <c r="SMY6"/>
      <c r="SMZ6"/>
      <c r="SNA6"/>
      <c r="SNB6"/>
      <c r="SNC6"/>
      <c r="SND6"/>
      <c r="SNE6"/>
      <c r="SNF6"/>
      <c r="SNG6"/>
      <c r="SNH6"/>
      <c r="SNI6"/>
      <c r="SNJ6"/>
      <c r="SNK6"/>
      <c r="SNL6"/>
      <c r="SNM6"/>
      <c r="SNN6"/>
      <c r="SNO6"/>
      <c r="SNP6"/>
      <c r="SNQ6"/>
      <c r="SNR6"/>
      <c r="SNS6"/>
      <c r="SNT6"/>
      <c r="SNU6"/>
      <c r="SNV6"/>
      <c r="SNW6"/>
      <c r="SNX6"/>
      <c r="SNY6"/>
      <c r="SNZ6"/>
      <c r="SOA6"/>
      <c r="SOB6"/>
      <c r="SOC6"/>
      <c r="SOD6"/>
      <c r="SOE6"/>
      <c r="SOF6"/>
      <c r="SOG6"/>
      <c r="SOH6"/>
      <c r="SOI6"/>
      <c r="SOJ6"/>
      <c r="SOK6"/>
      <c r="SOL6"/>
      <c r="SOM6"/>
      <c r="SON6"/>
      <c r="SOO6"/>
      <c r="SOP6"/>
      <c r="SOQ6"/>
      <c r="SOR6"/>
      <c r="SOS6"/>
      <c r="SOT6"/>
      <c r="SOU6"/>
      <c r="SOV6"/>
      <c r="SOW6"/>
      <c r="SOX6"/>
      <c r="SOY6"/>
      <c r="SOZ6"/>
      <c r="SPA6"/>
      <c r="SPB6"/>
      <c r="SPC6"/>
      <c r="SPD6"/>
      <c r="SPE6"/>
      <c r="SPF6"/>
      <c r="SPG6"/>
      <c r="SPH6"/>
      <c r="SPI6"/>
      <c r="SPJ6"/>
      <c r="SPK6"/>
      <c r="SPL6"/>
      <c r="SPM6"/>
      <c r="SPN6"/>
      <c r="SPO6"/>
      <c r="SPP6"/>
      <c r="SPQ6"/>
      <c r="SPR6"/>
      <c r="SPS6"/>
      <c r="SPT6"/>
      <c r="SPU6"/>
      <c r="SPV6"/>
      <c r="SPW6"/>
      <c r="SPX6"/>
      <c r="SPY6"/>
      <c r="SPZ6"/>
      <c r="SQA6"/>
      <c r="SQB6"/>
      <c r="SQC6"/>
      <c r="SQD6"/>
      <c r="SQE6"/>
      <c r="SQF6"/>
      <c r="SQG6"/>
      <c r="SQH6"/>
      <c r="SQI6"/>
      <c r="SQJ6"/>
      <c r="SQK6"/>
      <c r="SQL6"/>
      <c r="SQM6"/>
      <c r="SQN6"/>
      <c r="SQO6"/>
      <c r="SQP6"/>
      <c r="SQQ6"/>
      <c r="SQR6"/>
      <c r="SQS6"/>
      <c r="SQT6"/>
      <c r="SQU6"/>
      <c r="SQV6"/>
      <c r="SQW6"/>
      <c r="SQX6"/>
      <c r="SQY6"/>
      <c r="SQZ6"/>
      <c r="SRA6"/>
      <c r="SRB6"/>
      <c r="SRC6"/>
      <c r="SRD6"/>
      <c r="SRE6"/>
      <c r="SRF6"/>
      <c r="SRG6"/>
      <c r="SRH6"/>
      <c r="SRI6"/>
      <c r="SRJ6"/>
      <c r="SRK6"/>
      <c r="SRL6"/>
      <c r="SRM6"/>
      <c r="SRN6"/>
      <c r="SRO6"/>
      <c r="SRP6"/>
      <c r="SRQ6"/>
      <c r="SRR6"/>
      <c r="SRS6"/>
      <c r="SRT6"/>
      <c r="SRU6"/>
      <c r="SRV6"/>
      <c r="SRW6"/>
      <c r="SRX6"/>
      <c r="SRY6"/>
      <c r="SRZ6"/>
      <c r="SSA6"/>
      <c r="SSB6"/>
      <c r="SSC6"/>
      <c r="SSD6"/>
      <c r="SSE6"/>
      <c r="SSF6"/>
      <c r="SSG6"/>
      <c r="SSH6"/>
      <c r="SSI6"/>
      <c r="SSJ6"/>
      <c r="SSK6"/>
      <c r="SSL6"/>
      <c r="SSM6"/>
      <c r="SSN6"/>
      <c r="SSO6"/>
      <c r="SSP6"/>
      <c r="SSQ6"/>
      <c r="SSR6"/>
      <c r="SSS6"/>
      <c r="SST6"/>
      <c r="SSU6"/>
      <c r="SSV6"/>
      <c r="SSW6"/>
      <c r="SSX6"/>
      <c r="SSY6"/>
      <c r="SSZ6"/>
      <c r="STA6"/>
      <c r="STB6"/>
      <c r="STC6"/>
      <c r="STD6"/>
      <c r="STE6"/>
      <c r="STF6"/>
      <c r="STG6"/>
      <c r="STH6"/>
      <c r="STI6"/>
      <c r="STJ6"/>
      <c r="STK6"/>
      <c r="STL6"/>
      <c r="STM6"/>
      <c r="STN6"/>
      <c r="STO6"/>
      <c r="STP6"/>
      <c r="STQ6"/>
      <c r="STR6"/>
      <c r="STS6"/>
      <c r="STT6"/>
      <c r="STU6"/>
      <c r="STV6"/>
      <c r="STW6"/>
      <c r="STX6"/>
      <c r="STY6"/>
      <c r="STZ6"/>
      <c r="SUA6"/>
      <c r="SUB6"/>
      <c r="SUC6"/>
      <c r="SUD6"/>
      <c r="SUE6"/>
      <c r="SUF6"/>
      <c r="SUG6"/>
      <c r="SUH6"/>
      <c r="SUI6"/>
      <c r="SUJ6"/>
      <c r="SUK6"/>
      <c r="SUL6"/>
      <c r="SUM6"/>
      <c r="SUN6"/>
      <c r="SUO6"/>
      <c r="SUP6"/>
      <c r="SUQ6"/>
      <c r="SUR6"/>
      <c r="SUS6"/>
      <c r="SUT6"/>
      <c r="SUU6"/>
      <c r="SUV6"/>
      <c r="SUW6"/>
      <c r="SUX6"/>
      <c r="SUY6"/>
      <c r="SUZ6"/>
      <c r="SVA6"/>
      <c r="SVB6"/>
      <c r="SVC6"/>
      <c r="SVD6"/>
      <c r="SVE6"/>
      <c r="SVF6"/>
      <c r="SVG6"/>
      <c r="SVH6"/>
      <c r="SVI6"/>
      <c r="SVJ6"/>
      <c r="SVK6"/>
      <c r="SVL6"/>
      <c r="SVM6"/>
      <c r="SVN6"/>
      <c r="SVO6"/>
      <c r="SVP6"/>
      <c r="SVQ6"/>
      <c r="SVR6"/>
      <c r="SVS6"/>
      <c r="SVT6"/>
      <c r="SVU6"/>
      <c r="SVV6"/>
      <c r="SVW6"/>
      <c r="SVX6"/>
      <c r="SVY6"/>
      <c r="SVZ6"/>
      <c r="SWA6"/>
      <c r="SWB6"/>
      <c r="SWC6"/>
      <c r="SWD6"/>
      <c r="SWE6"/>
      <c r="SWF6"/>
      <c r="SWG6"/>
      <c r="SWH6"/>
      <c r="SWI6"/>
      <c r="SWJ6"/>
      <c r="SWK6"/>
      <c r="SWL6"/>
      <c r="SWM6"/>
      <c r="SWN6"/>
      <c r="SWO6"/>
      <c r="SWP6"/>
      <c r="SWQ6"/>
      <c r="SWR6"/>
      <c r="SWS6"/>
      <c r="SWT6"/>
      <c r="SWU6"/>
      <c r="SWV6"/>
      <c r="SWW6"/>
      <c r="SWX6"/>
      <c r="SWY6"/>
      <c r="SWZ6"/>
      <c r="SXA6"/>
      <c r="SXB6"/>
      <c r="SXC6"/>
      <c r="SXD6"/>
      <c r="SXE6"/>
      <c r="SXF6"/>
      <c r="SXG6"/>
      <c r="SXH6"/>
      <c r="SXI6"/>
      <c r="SXJ6"/>
      <c r="SXK6"/>
      <c r="SXL6"/>
      <c r="SXM6"/>
      <c r="SXN6"/>
      <c r="SXO6"/>
      <c r="SXP6"/>
      <c r="SXQ6"/>
      <c r="SXR6"/>
      <c r="SXS6"/>
      <c r="SXT6"/>
      <c r="SXU6"/>
      <c r="SXV6"/>
      <c r="SXW6"/>
      <c r="SXX6"/>
      <c r="SXY6"/>
      <c r="SXZ6"/>
      <c r="SYA6"/>
      <c r="SYB6"/>
      <c r="SYC6"/>
      <c r="SYD6"/>
      <c r="SYE6"/>
      <c r="SYF6"/>
      <c r="SYG6"/>
      <c r="SYH6"/>
      <c r="SYI6"/>
      <c r="SYJ6"/>
      <c r="SYK6"/>
      <c r="SYL6"/>
      <c r="SYM6"/>
      <c r="SYN6"/>
      <c r="SYO6"/>
      <c r="SYP6"/>
      <c r="SYQ6"/>
      <c r="SYR6"/>
      <c r="SYS6"/>
      <c r="SYT6"/>
      <c r="SYU6"/>
      <c r="SYV6"/>
      <c r="SYW6"/>
      <c r="SYX6"/>
      <c r="SYY6"/>
      <c r="SYZ6"/>
      <c r="SZA6"/>
      <c r="SZB6"/>
      <c r="SZC6"/>
      <c r="SZD6"/>
      <c r="SZE6"/>
      <c r="SZF6"/>
      <c r="SZG6"/>
      <c r="SZH6"/>
      <c r="SZI6"/>
      <c r="SZJ6"/>
      <c r="SZK6"/>
      <c r="SZL6"/>
      <c r="SZM6"/>
      <c r="SZN6"/>
      <c r="SZO6"/>
      <c r="SZP6"/>
      <c r="SZQ6"/>
      <c r="SZR6"/>
      <c r="SZS6"/>
      <c r="SZT6"/>
      <c r="SZU6"/>
      <c r="SZV6"/>
      <c r="SZW6"/>
      <c r="SZX6"/>
      <c r="SZY6"/>
      <c r="SZZ6"/>
      <c r="TAA6"/>
      <c r="TAB6"/>
      <c r="TAC6"/>
      <c r="TAD6"/>
      <c r="TAE6"/>
      <c r="TAF6"/>
      <c r="TAG6"/>
      <c r="TAH6"/>
      <c r="TAI6"/>
      <c r="TAJ6"/>
      <c r="TAK6"/>
      <c r="TAL6"/>
      <c r="TAM6"/>
      <c r="TAN6"/>
      <c r="TAO6"/>
      <c r="TAP6"/>
      <c r="TAQ6"/>
      <c r="TAR6"/>
      <c r="TAS6"/>
      <c r="TAT6"/>
      <c r="TAU6"/>
      <c r="TAV6"/>
      <c r="TAW6"/>
      <c r="TAX6"/>
      <c r="TAY6"/>
      <c r="TAZ6"/>
      <c r="TBA6"/>
      <c r="TBB6"/>
      <c r="TBC6"/>
      <c r="TBD6"/>
      <c r="TBE6"/>
      <c r="TBF6"/>
      <c r="TBG6"/>
      <c r="TBH6"/>
      <c r="TBI6"/>
      <c r="TBJ6"/>
      <c r="TBK6"/>
      <c r="TBL6"/>
      <c r="TBM6"/>
      <c r="TBN6"/>
      <c r="TBO6"/>
      <c r="TBP6"/>
      <c r="TBQ6"/>
      <c r="TBR6"/>
      <c r="TBS6"/>
      <c r="TBT6"/>
      <c r="TBU6"/>
      <c r="TBV6"/>
      <c r="TBW6"/>
      <c r="TBX6"/>
      <c r="TBY6"/>
      <c r="TBZ6"/>
      <c r="TCA6"/>
      <c r="TCB6"/>
      <c r="TCC6"/>
      <c r="TCD6"/>
      <c r="TCE6"/>
      <c r="TCF6"/>
      <c r="TCG6"/>
      <c r="TCH6"/>
      <c r="TCI6"/>
      <c r="TCJ6"/>
      <c r="TCK6"/>
      <c r="TCL6"/>
      <c r="TCM6"/>
      <c r="TCN6"/>
      <c r="TCO6"/>
      <c r="TCP6"/>
      <c r="TCQ6"/>
      <c r="TCR6"/>
      <c r="TCS6"/>
      <c r="TCT6"/>
      <c r="TCU6"/>
      <c r="TCV6"/>
      <c r="TCW6"/>
      <c r="TCX6"/>
      <c r="TCY6"/>
      <c r="TCZ6"/>
      <c r="TDA6"/>
      <c r="TDB6"/>
      <c r="TDC6"/>
      <c r="TDD6"/>
      <c r="TDE6"/>
      <c r="TDF6"/>
      <c r="TDG6"/>
      <c r="TDH6"/>
      <c r="TDI6"/>
      <c r="TDJ6"/>
      <c r="TDK6"/>
      <c r="TDL6"/>
      <c r="TDM6"/>
      <c r="TDN6"/>
      <c r="TDO6"/>
      <c r="TDP6"/>
      <c r="TDQ6"/>
      <c r="TDR6"/>
      <c r="TDS6"/>
      <c r="TDT6"/>
      <c r="TDU6"/>
      <c r="TDV6"/>
      <c r="TDW6"/>
      <c r="TDX6"/>
      <c r="TDY6"/>
      <c r="TDZ6"/>
      <c r="TEA6"/>
      <c r="TEB6"/>
      <c r="TEC6"/>
      <c r="TED6"/>
      <c r="TEE6"/>
      <c r="TEF6"/>
      <c r="TEG6"/>
      <c r="TEH6"/>
      <c r="TEI6"/>
      <c r="TEJ6"/>
      <c r="TEK6"/>
      <c r="TEL6"/>
      <c r="TEM6"/>
      <c r="TEN6"/>
      <c r="TEO6"/>
      <c r="TEP6"/>
      <c r="TEQ6"/>
      <c r="TER6"/>
      <c r="TES6"/>
      <c r="TET6"/>
      <c r="TEU6"/>
      <c r="TEV6"/>
      <c r="TEW6"/>
      <c r="TEX6"/>
      <c r="TEY6"/>
      <c r="TEZ6"/>
      <c r="TFA6"/>
      <c r="TFB6"/>
      <c r="TFC6"/>
      <c r="TFD6"/>
      <c r="TFE6"/>
      <c r="TFF6"/>
      <c r="TFG6"/>
      <c r="TFH6"/>
      <c r="TFI6"/>
      <c r="TFJ6"/>
      <c r="TFK6"/>
      <c r="TFL6"/>
      <c r="TFM6"/>
      <c r="TFN6"/>
      <c r="TFO6"/>
      <c r="TFP6"/>
      <c r="TFQ6"/>
      <c r="TFR6"/>
      <c r="TFS6"/>
      <c r="TFT6"/>
      <c r="TFU6"/>
      <c r="TFV6"/>
      <c r="TFW6"/>
      <c r="TFX6"/>
      <c r="TFY6"/>
      <c r="TFZ6"/>
      <c r="TGA6"/>
      <c r="TGB6"/>
      <c r="TGC6"/>
      <c r="TGD6"/>
      <c r="TGE6"/>
      <c r="TGF6"/>
      <c r="TGG6"/>
      <c r="TGH6"/>
      <c r="TGI6"/>
      <c r="TGJ6"/>
      <c r="TGK6"/>
      <c r="TGL6"/>
      <c r="TGM6"/>
      <c r="TGN6"/>
      <c r="TGO6"/>
      <c r="TGP6"/>
      <c r="TGQ6"/>
      <c r="TGR6"/>
      <c r="TGS6"/>
      <c r="TGT6"/>
      <c r="TGU6"/>
      <c r="TGV6"/>
      <c r="TGW6"/>
      <c r="TGX6"/>
      <c r="TGY6"/>
      <c r="TGZ6"/>
      <c r="THA6"/>
      <c r="THB6"/>
      <c r="THC6"/>
      <c r="THD6"/>
      <c r="THE6"/>
      <c r="THF6"/>
      <c r="THG6"/>
      <c r="THH6"/>
      <c r="THI6"/>
      <c r="THJ6"/>
      <c r="THK6"/>
      <c r="THL6"/>
      <c r="THM6"/>
      <c r="THN6"/>
      <c r="THO6"/>
      <c r="THP6"/>
      <c r="THQ6"/>
      <c r="THR6"/>
      <c r="THS6"/>
      <c r="THT6"/>
      <c r="THU6"/>
      <c r="THV6"/>
      <c r="THW6"/>
      <c r="THX6"/>
      <c r="THY6"/>
      <c r="THZ6"/>
      <c r="TIA6"/>
      <c r="TIB6"/>
      <c r="TIC6"/>
      <c r="TID6"/>
      <c r="TIE6"/>
      <c r="TIF6"/>
      <c r="TIG6"/>
      <c r="TIH6"/>
      <c r="TII6"/>
      <c r="TIJ6"/>
      <c r="TIK6"/>
      <c r="TIL6"/>
      <c r="TIM6"/>
      <c r="TIN6"/>
      <c r="TIO6"/>
      <c r="TIP6"/>
      <c r="TIQ6"/>
      <c r="TIR6"/>
      <c r="TIS6"/>
      <c r="TIT6"/>
      <c r="TIU6"/>
      <c r="TIV6"/>
      <c r="TIW6"/>
      <c r="TIX6"/>
      <c r="TIY6"/>
      <c r="TIZ6"/>
      <c r="TJA6"/>
      <c r="TJB6"/>
      <c r="TJC6"/>
      <c r="TJD6"/>
      <c r="TJE6"/>
      <c r="TJF6"/>
      <c r="TJG6"/>
      <c r="TJH6"/>
      <c r="TJI6"/>
      <c r="TJJ6"/>
      <c r="TJK6"/>
      <c r="TJL6"/>
      <c r="TJM6"/>
      <c r="TJN6"/>
      <c r="TJO6"/>
      <c r="TJP6"/>
      <c r="TJQ6"/>
      <c r="TJR6"/>
      <c r="TJS6"/>
      <c r="TJT6"/>
      <c r="TJU6"/>
      <c r="TJV6"/>
      <c r="TJW6"/>
      <c r="TJX6"/>
      <c r="TJY6"/>
      <c r="TJZ6"/>
      <c r="TKA6"/>
      <c r="TKB6"/>
      <c r="TKC6"/>
      <c r="TKD6"/>
      <c r="TKE6"/>
      <c r="TKF6"/>
      <c r="TKG6"/>
      <c r="TKH6"/>
      <c r="TKI6"/>
      <c r="TKJ6"/>
      <c r="TKK6"/>
      <c r="TKL6"/>
      <c r="TKM6"/>
      <c r="TKN6"/>
      <c r="TKO6"/>
      <c r="TKP6"/>
      <c r="TKQ6"/>
      <c r="TKR6"/>
      <c r="TKS6"/>
      <c r="TKT6"/>
      <c r="TKU6"/>
      <c r="TKV6"/>
      <c r="TKW6"/>
      <c r="TKX6"/>
      <c r="TKY6"/>
      <c r="TKZ6"/>
      <c r="TLA6"/>
      <c r="TLB6"/>
      <c r="TLC6"/>
      <c r="TLD6"/>
      <c r="TLE6"/>
      <c r="TLF6"/>
      <c r="TLG6"/>
      <c r="TLH6"/>
      <c r="TLI6"/>
      <c r="TLJ6"/>
      <c r="TLK6"/>
      <c r="TLL6"/>
      <c r="TLM6"/>
      <c r="TLN6"/>
      <c r="TLO6"/>
      <c r="TLP6"/>
      <c r="TLQ6"/>
      <c r="TLR6"/>
      <c r="TLS6"/>
      <c r="TLT6"/>
      <c r="TLU6"/>
      <c r="TLV6"/>
      <c r="TLW6"/>
      <c r="TLX6"/>
      <c r="TLY6"/>
      <c r="TLZ6"/>
      <c r="TMA6"/>
      <c r="TMB6"/>
      <c r="TMC6"/>
      <c r="TMD6"/>
      <c r="TME6"/>
      <c r="TMF6"/>
      <c r="TMG6"/>
      <c r="TMH6"/>
      <c r="TMI6"/>
      <c r="TMJ6"/>
      <c r="TMK6"/>
      <c r="TML6"/>
      <c r="TMM6"/>
      <c r="TMN6"/>
      <c r="TMO6"/>
      <c r="TMP6"/>
      <c r="TMQ6"/>
      <c r="TMR6"/>
      <c r="TMS6"/>
      <c r="TMT6"/>
      <c r="TMU6"/>
      <c r="TMV6"/>
      <c r="TMW6"/>
      <c r="TMX6"/>
      <c r="TMY6"/>
      <c r="TMZ6"/>
      <c r="TNA6"/>
      <c r="TNB6"/>
      <c r="TNC6"/>
      <c r="TND6"/>
      <c r="TNE6"/>
      <c r="TNF6"/>
      <c r="TNG6"/>
      <c r="TNH6"/>
      <c r="TNI6"/>
      <c r="TNJ6"/>
      <c r="TNK6"/>
      <c r="TNL6"/>
      <c r="TNM6"/>
      <c r="TNN6"/>
      <c r="TNO6"/>
      <c r="TNP6"/>
      <c r="TNQ6"/>
      <c r="TNR6"/>
      <c r="TNS6"/>
      <c r="TNT6"/>
      <c r="TNU6"/>
      <c r="TNV6"/>
      <c r="TNW6"/>
      <c r="TNX6"/>
      <c r="TNY6"/>
      <c r="TNZ6"/>
      <c r="TOA6"/>
      <c r="TOB6"/>
      <c r="TOC6"/>
      <c r="TOD6"/>
      <c r="TOE6"/>
      <c r="TOF6"/>
      <c r="TOG6"/>
      <c r="TOH6"/>
      <c r="TOI6"/>
      <c r="TOJ6"/>
      <c r="TOK6"/>
      <c r="TOL6"/>
      <c r="TOM6"/>
      <c r="TON6"/>
      <c r="TOO6"/>
      <c r="TOP6"/>
      <c r="TOQ6"/>
      <c r="TOR6"/>
      <c r="TOS6"/>
      <c r="TOT6"/>
      <c r="TOU6"/>
      <c r="TOV6"/>
      <c r="TOW6"/>
      <c r="TOX6"/>
      <c r="TOY6"/>
      <c r="TOZ6"/>
      <c r="TPA6"/>
      <c r="TPB6"/>
      <c r="TPC6"/>
      <c r="TPD6"/>
      <c r="TPE6"/>
      <c r="TPF6"/>
      <c r="TPG6"/>
      <c r="TPH6"/>
      <c r="TPI6"/>
      <c r="TPJ6"/>
      <c r="TPK6"/>
      <c r="TPL6"/>
      <c r="TPM6"/>
      <c r="TPN6"/>
      <c r="TPO6"/>
      <c r="TPP6"/>
      <c r="TPQ6"/>
      <c r="TPR6"/>
      <c r="TPS6"/>
      <c r="TPT6"/>
      <c r="TPU6"/>
      <c r="TPV6"/>
      <c r="TPW6"/>
      <c r="TPX6"/>
      <c r="TPY6"/>
      <c r="TPZ6"/>
      <c r="TQA6"/>
      <c r="TQB6"/>
      <c r="TQC6"/>
      <c r="TQD6"/>
      <c r="TQE6"/>
      <c r="TQF6"/>
      <c r="TQG6"/>
      <c r="TQH6"/>
      <c r="TQI6"/>
      <c r="TQJ6"/>
      <c r="TQK6"/>
      <c r="TQL6"/>
      <c r="TQM6"/>
      <c r="TQN6"/>
      <c r="TQO6"/>
      <c r="TQP6"/>
      <c r="TQQ6"/>
      <c r="TQR6"/>
      <c r="TQS6"/>
      <c r="TQT6"/>
      <c r="TQU6"/>
      <c r="TQV6"/>
      <c r="TQW6"/>
      <c r="TQX6"/>
      <c r="TQY6"/>
      <c r="TQZ6"/>
      <c r="TRA6"/>
      <c r="TRB6"/>
      <c r="TRC6"/>
      <c r="TRD6"/>
      <c r="TRE6"/>
      <c r="TRF6"/>
      <c r="TRG6"/>
      <c r="TRH6"/>
      <c r="TRI6"/>
      <c r="TRJ6"/>
      <c r="TRK6"/>
      <c r="TRL6"/>
      <c r="TRM6"/>
      <c r="TRN6"/>
      <c r="TRO6"/>
      <c r="TRP6"/>
      <c r="TRQ6"/>
      <c r="TRR6"/>
      <c r="TRS6"/>
      <c r="TRT6"/>
      <c r="TRU6"/>
      <c r="TRV6"/>
      <c r="TRW6"/>
      <c r="TRX6"/>
      <c r="TRY6"/>
      <c r="TRZ6"/>
      <c r="TSA6"/>
      <c r="TSB6"/>
      <c r="TSC6"/>
      <c r="TSD6"/>
      <c r="TSE6"/>
      <c r="TSF6"/>
      <c r="TSG6"/>
      <c r="TSH6"/>
      <c r="TSI6"/>
      <c r="TSJ6"/>
      <c r="TSK6"/>
      <c r="TSL6"/>
      <c r="TSM6"/>
      <c r="TSN6"/>
      <c r="TSO6"/>
      <c r="TSP6"/>
      <c r="TSQ6"/>
      <c r="TSR6"/>
      <c r="TSS6"/>
      <c r="TST6"/>
      <c r="TSU6"/>
      <c r="TSV6"/>
      <c r="TSW6"/>
      <c r="TSX6"/>
      <c r="TSY6"/>
      <c r="TSZ6"/>
      <c r="TTA6"/>
      <c r="TTB6"/>
      <c r="TTC6"/>
      <c r="TTD6"/>
      <c r="TTE6"/>
      <c r="TTF6"/>
      <c r="TTG6"/>
      <c r="TTH6"/>
      <c r="TTI6"/>
      <c r="TTJ6"/>
      <c r="TTK6"/>
      <c r="TTL6"/>
      <c r="TTM6"/>
      <c r="TTN6"/>
      <c r="TTO6"/>
      <c r="TTP6"/>
      <c r="TTQ6"/>
      <c r="TTR6"/>
      <c r="TTS6"/>
      <c r="TTT6"/>
      <c r="TTU6"/>
      <c r="TTV6"/>
      <c r="TTW6"/>
      <c r="TTX6"/>
      <c r="TTY6"/>
      <c r="TTZ6"/>
      <c r="TUA6"/>
      <c r="TUB6"/>
      <c r="TUC6"/>
      <c r="TUD6"/>
      <c r="TUE6"/>
      <c r="TUF6"/>
      <c r="TUG6"/>
      <c r="TUH6"/>
      <c r="TUI6"/>
      <c r="TUJ6"/>
      <c r="TUK6"/>
      <c r="TUL6"/>
      <c r="TUM6"/>
      <c r="TUN6"/>
      <c r="TUO6"/>
      <c r="TUP6"/>
      <c r="TUQ6"/>
      <c r="TUR6"/>
      <c r="TUS6"/>
      <c r="TUT6"/>
      <c r="TUU6"/>
      <c r="TUV6"/>
      <c r="TUW6"/>
      <c r="TUX6"/>
      <c r="TUY6"/>
      <c r="TUZ6"/>
      <c r="TVA6"/>
      <c r="TVB6"/>
      <c r="TVC6"/>
      <c r="TVD6"/>
      <c r="TVE6"/>
      <c r="TVF6"/>
      <c r="TVG6"/>
      <c r="TVH6"/>
      <c r="TVI6"/>
      <c r="TVJ6"/>
      <c r="TVK6"/>
      <c r="TVL6"/>
      <c r="TVM6"/>
      <c r="TVN6"/>
      <c r="TVO6"/>
      <c r="TVP6"/>
      <c r="TVQ6"/>
      <c r="TVR6"/>
      <c r="TVS6"/>
      <c r="TVT6"/>
      <c r="TVU6"/>
      <c r="TVV6"/>
      <c r="TVW6"/>
      <c r="TVX6"/>
      <c r="TVY6"/>
      <c r="TVZ6"/>
      <c r="TWA6"/>
      <c r="TWB6"/>
      <c r="TWC6"/>
      <c r="TWD6"/>
      <c r="TWE6"/>
      <c r="TWF6"/>
      <c r="TWG6"/>
      <c r="TWH6"/>
      <c r="TWI6"/>
      <c r="TWJ6"/>
      <c r="TWK6"/>
      <c r="TWL6"/>
      <c r="TWM6"/>
      <c r="TWN6"/>
      <c r="TWO6"/>
      <c r="TWP6"/>
      <c r="TWQ6"/>
      <c r="TWR6"/>
      <c r="TWS6"/>
      <c r="TWT6"/>
      <c r="TWU6"/>
      <c r="TWV6"/>
      <c r="TWW6"/>
      <c r="TWX6"/>
      <c r="TWY6"/>
      <c r="TWZ6"/>
      <c r="TXA6"/>
      <c r="TXB6"/>
      <c r="TXC6"/>
      <c r="TXD6"/>
      <c r="TXE6"/>
      <c r="TXF6"/>
      <c r="TXG6"/>
      <c r="TXH6"/>
      <c r="TXI6"/>
      <c r="TXJ6"/>
      <c r="TXK6"/>
      <c r="TXL6"/>
      <c r="TXM6"/>
      <c r="TXN6"/>
      <c r="TXO6"/>
      <c r="TXP6"/>
      <c r="TXQ6"/>
      <c r="TXR6"/>
      <c r="TXS6"/>
      <c r="TXT6"/>
      <c r="TXU6"/>
      <c r="TXV6"/>
      <c r="TXW6"/>
      <c r="TXX6"/>
      <c r="TXY6"/>
      <c r="TXZ6"/>
      <c r="TYA6"/>
      <c r="TYB6"/>
      <c r="TYC6"/>
      <c r="TYD6"/>
      <c r="TYE6"/>
      <c r="TYF6"/>
      <c r="TYG6"/>
      <c r="TYH6"/>
      <c r="TYI6"/>
      <c r="TYJ6"/>
      <c r="TYK6"/>
      <c r="TYL6"/>
      <c r="TYM6"/>
      <c r="TYN6"/>
      <c r="TYO6"/>
      <c r="TYP6"/>
      <c r="TYQ6"/>
      <c r="TYR6"/>
      <c r="TYS6"/>
      <c r="TYT6"/>
      <c r="TYU6"/>
      <c r="TYV6"/>
      <c r="TYW6"/>
      <c r="TYX6"/>
      <c r="TYY6"/>
      <c r="TYZ6"/>
      <c r="TZA6"/>
      <c r="TZB6"/>
      <c r="TZC6"/>
      <c r="TZD6"/>
      <c r="TZE6"/>
      <c r="TZF6"/>
      <c r="TZG6"/>
      <c r="TZH6"/>
      <c r="TZI6"/>
      <c r="TZJ6"/>
      <c r="TZK6"/>
      <c r="TZL6"/>
      <c r="TZM6"/>
      <c r="TZN6"/>
      <c r="TZO6"/>
      <c r="TZP6"/>
      <c r="TZQ6"/>
      <c r="TZR6"/>
      <c r="TZS6"/>
      <c r="TZT6"/>
      <c r="TZU6"/>
      <c r="TZV6"/>
      <c r="TZW6"/>
      <c r="TZX6"/>
      <c r="TZY6"/>
      <c r="TZZ6"/>
      <c r="UAA6"/>
      <c r="UAB6"/>
      <c r="UAC6"/>
      <c r="UAD6"/>
      <c r="UAE6"/>
      <c r="UAF6"/>
      <c r="UAG6"/>
      <c r="UAH6"/>
      <c r="UAI6"/>
      <c r="UAJ6"/>
      <c r="UAK6"/>
      <c r="UAL6"/>
      <c r="UAM6"/>
      <c r="UAN6"/>
      <c r="UAO6"/>
      <c r="UAP6"/>
      <c r="UAQ6"/>
      <c r="UAR6"/>
      <c r="UAS6"/>
      <c r="UAT6"/>
      <c r="UAU6"/>
      <c r="UAV6"/>
      <c r="UAW6"/>
      <c r="UAX6"/>
      <c r="UAY6"/>
      <c r="UAZ6"/>
      <c r="UBA6"/>
      <c r="UBB6"/>
      <c r="UBC6"/>
      <c r="UBD6"/>
      <c r="UBE6"/>
      <c r="UBF6"/>
      <c r="UBG6"/>
      <c r="UBH6"/>
      <c r="UBI6"/>
      <c r="UBJ6"/>
      <c r="UBK6"/>
      <c r="UBL6"/>
      <c r="UBM6"/>
      <c r="UBN6"/>
      <c r="UBO6"/>
      <c r="UBP6"/>
      <c r="UBQ6"/>
      <c r="UBR6"/>
      <c r="UBS6"/>
      <c r="UBT6"/>
      <c r="UBU6"/>
      <c r="UBV6"/>
      <c r="UBW6"/>
      <c r="UBX6"/>
      <c r="UBY6"/>
      <c r="UBZ6"/>
      <c r="UCA6"/>
      <c r="UCB6"/>
      <c r="UCC6"/>
      <c r="UCD6"/>
      <c r="UCE6"/>
      <c r="UCF6"/>
      <c r="UCG6"/>
      <c r="UCH6"/>
      <c r="UCI6"/>
      <c r="UCJ6"/>
      <c r="UCK6"/>
      <c r="UCL6"/>
      <c r="UCM6"/>
      <c r="UCN6"/>
      <c r="UCO6"/>
      <c r="UCP6"/>
      <c r="UCQ6"/>
      <c r="UCR6"/>
      <c r="UCS6"/>
      <c r="UCT6"/>
      <c r="UCU6"/>
      <c r="UCV6"/>
      <c r="UCW6"/>
      <c r="UCX6"/>
      <c r="UCY6"/>
      <c r="UCZ6"/>
      <c r="UDA6"/>
      <c r="UDB6"/>
      <c r="UDC6"/>
      <c r="UDD6"/>
      <c r="UDE6"/>
      <c r="UDF6"/>
      <c r="UDG6"/>
      <c r="UDH6"/>
      <c r="UDI6"/>
      <c r="UDJ6"/>
      <c r="UDK6"/>
      <c r="UDL6"/>
      <c r="UDM6"/>
      <c r="UDN6"/>
      <c r="UDO6"/>
      <c r="UDP6"/>
      <c r="UDQ6"/>
      <c r="UDR6"/>
      <c r="UDS6"/>
      <c r="UDT6"/>
      <c r="UDU6"/>
      <c r="UDV6"/>
      <c r="UDW6"/>
      <c r="UDX6"/>
      <c r="UDY6"/>
      <c r="UDZ6"/>
      <c r="UEA6"/>
      <c r="UEB6"/>
      <c r="UEC6"/>
      <c r="UED6"/>
      <c r="UEE6"/>
      <c r="UEF6"/>
      <c r="UEG6"/>
      <c r="UEH6"/>
      <c r="UEI6"/>
      <c r="UEJ6"/>
      <c r="UEK6"/>
      <c r="UEL6"/>
      <c r="UEM6"/>
      <c r="UEN6"/>
      <c r="UEO6"/>
      <c r="UEP6"/>
      <c r="UEQ6"/>
      <c r="UER6"/>
      <c r="UES6"/>
      <c r="UET6"/>
      <c r="UEU6"/>
      <c r="UEV6"/>
      <c r="UEW6"/>
      <c r="UEX6"/>
      <c r="UEY6"/>
      <c r="UEZ6"/>
      <c r="UFA6"/>
      <c r="UFB6"/>
      <c r="UFC6"/>
      <c r="UFD6"/>
      <c r="UFE6"/>
      <c r="UFF6"/>
      <c r="UFG6"/>
      <c r="UFH6"/>
      <c r="UFI6"/>
      <c r="UFJ6"/>
      <c r="UFK6"/>
      <c r="UFL6"/>
      <c r="UFM6"/>
      <c r="UFN6"/>
      <c r="UFO6"/>
      <c r="UFP6"/>
      <c r="UFQ6"/>
      <c r="UFR6"/>
      <c r="UFS6"/>
      <c r="UFT6"/>
      <c r="UFU6"/>
      <c r="UFV6"/>
      <c r="UFW6"/>
      <c r="UFX6"/>
      <c r="UFY6"/>
      <c r="UFZ6"/>
      <c r="UGA6"/>
      <c r="UGB6"/>
      <c r="UGC6"/>
      <c r="UGD6"/>
      <c r="UGE6"/>
      <c r="UGF6"/>
      <c r="UGG6"/>
      <c r="UGH6"/>
      <c r="UGI6"/>
      <c r="UGJ6"/>
      <c r="UGK6"/>
      <c r="UGL6"/>
      <c r="UGM6"/>
      <c r="UGN6"/>
      <c r="UGO6"/>
      <c r="UGP6"/>
      <c r="UGQ6"/>
      <c r="UGR6"/>
      <c r="UGS6"/>
      <c r="UGT6"/>
      <c r="UGU6"/>
      <c r="UGV6"/>
      <c r="UGW6"/>
      <c r="UGX6"/>
      <c r="UGY6"/>
      <c r="UGZ6"/>
      <c r="UHA6"/>
      <c r="UHB6"/>
      <c r="UHC6"/>
      <c r="UHD6"/>
      <c r="UHE6"/>
      <c r="UHF6"/>
      <c r="UHG6"/>
      <c r="UHH6"/>
      <c r="UHI6"/>
      <c r="UHJ6"/>
      <c r="UHK6"/>
      <c r="UHL6"/>
      <c r="UHM6"/>
      <c r="UHN6"/>
      <c r="UHO6"/>
      <c r="UHP6"/>
      <c r="UHQ6"/>
      <c r="UHR6"/>
      <c r="UHS6"/>
      <c r="UHT6"/>
      <c r="UHU6"/>
      <c r="UHV6"/>
      <c r="UHW6"/>
      <c r="UHX6"/>
      <c r="UHY6"/>
      <c r="UHZ6"/>
      <c r="UIA6"/>
      <c r="UIB6"/>
      <c r="UIC6"/>
      <c r="UID6"/>
      <c r="UIE6"/>
      <c r="UIF6"/>
      <c r="UIG6"/>
      <c r="UIH6"/>
      <c r="UII6"/>
      <c r="UIJ6"/>
      <c r="UIK6"/>
      <c r="UIL6"/>
      <c r="UIM6"/>
      <c r="UIN6"/>
      <c r="UIO6"/>
      <c r="UIP6"/>
      <c r="UIQ6"/>
      <c r="UIR6"/>
      <c r="UIS6"/>
      <c r="UIT6"/>
      <c r="UIU6"/>
      <c r="UIV6"/>
      <c r="UIW6"/>
      <c r="UIX6"/>
      <c r="UIY6"/>
      <c r="UIZ6"/>
      <c r="UJA6"/>
      <c r="UJB6"/>
      <c r="UJC6"/>
      <c r="UJD6"/>
      <c r="UJE6"/>
      <c r="UJF6"/>
      <c r="UJG6"/>
      <c r="UJH6"/>
      <c r="UJI6"/>
      <c r="UJJ6"/>
      <c r="UJK6"/>
      <c r="UJL6"/>
      <c r="UJM6"/>
      <c r="UJN6"/>
      <c r="UJO6"/>
      <c r="UJP6"/>
      <c r="UJQ6"/>
      <c r="UJR6"/>
      <c r="UJS6"/>
      <c r="UJT6"/>
      <c r="UJU6"/>
      <c r="UJV6"/>
      <c r="UJW6"/>
      <c r="UJX6"/>
      <c r="UJY6"/>
      <c r="UJZ6"/>
      <c r="UKA6"/>
      <c r="UKB6"/>
      <c r="UKC6"/>
      <c r="UKD6"/>
      <c r="UKE6"/>
      <c r="UKF6"/>
      <c r="UKG6"/>
      <c r="UKH6"/>
      <c r="UKI6"/>
      <c r="UKJ6"/>
      <c r="UKK6"/>
      <c r="UKL6"/>
      <c r="UKM6"/>
      <c r="UKN6"/>
      <c r="UKO6"/>
      <c r="UKP6"/>
      <c r="UKQ6"/>
      <c r="UKR6"/>
      <c r="UKS6"/>
      <c r="UKT6"/>
      <c r="UKU6"/>
      <c r="UKV6"/>
      <c r="UKW6"/>
      <c r="UKX6"/>
      <c r="UKY6"/>
      <c r="UKZ6"/>
      <c r="ULA6"/>
      <c r="ULB6"/>
      <c r="ULC6"/>
      <c r="ULD6"/>
      <c r="ULE6"/>
      <c r="ULF6"/>
      <c r="ULG6"/>
      <c r="ULH6"/>
      <c r="ULI6"/>
      <c r="ULJ6"/>
      <c r="ULK6"/>
      <c r="ULL6"/>
      <c r="ULM6"/>
      <c r="ULN6"/>
      <c r="ULO6"/>
      <c r="ULP6"/>
      <c r="ULQ6"/>
      <c r="ULR6"/>
      <c r="ULS6"/>
      <c r="ULT6"/>
      <c r="ULU6"/>
      <c r="ULV6"/>
      <c r="ULW6"/>
      <c r="ULX6"/>
      <c r="ULY6"/>
      <c r="ULZ6"/>
      <c r="UMA6"/>
      <c r="UMB6"/>
      <c r="UMC6"/>
      <c r="UMD6"/>
      <c r="UME6"/>
      <c r="UMF6"/>
      <c r="UMG6"/>
      <c r="UMH6"/>
      <c r="UMI6"/>
      <c r="UMJ6"/>
      <c r="UMK6"/>
      <c r="UML6"/>
      <c r="UMM6"/>
      <c r="UMN6"/>
      <c r="UMO6"/>
      <c r="UMP6"/>
      <c r="UMQ6"/>
      <c r="UMR6"/>
      <c r="UMS6"/>
      <c r="UMT6"/>
      <c r="UMU6"/>
      <c r="UMV6"/>
      <c r="UMW6"/>
      <c r="UMX6"/>
      <c r="UMY6"/>
      <c r="UMZ6"/>
      <c r="UNA6"/>
      <c r="UNB6"/>
      <c r="UNC6"/>
      <c r="UND6"/>
      <c r="UNE6"/>
      <c r="UNF6"/>
      <c r="UNG6"/>
      <c r="UNH6"/>
      <c r="UNI6"/>
      <c r="UNJ6"/>
      <c r="UNK6"/>
      <c r="UNL6"/>
      <c r="UNM6"/>
      <c r="UNN6"/>
      <c r="UNO6"/>
      <c r="UNP6"/>
      <c r="UNQ6"/>
      <c r="UNR6"/>
      <c r="UNS6"/>
      <c r="UNT6"/>
      <c r="UNU6"/>
      <c r="UNV6"/>
      <c r="UNW6"/>
      <c r="UNX6"/>
      <c r="UNY6"/>
      <c r="UNZ6"/>
      <c r="UOA6"/>
      <c r="UOB6"/>
      <c r="UOC6"/>
      <c r="UOD6"/>
      <c r="UOE6"/>
      <c r="UOF6"/>
      <c r="UOG6"/>
      <c r="UOH6"/>
      <c r="UOI6"/>
      <c r="UOJ6"/>
      <c r="UOK6"/>
      <c r="UOL6"/>
      <c r="UOM6"/>
      <c r="UON6"/>
      <c r="UOO6"/>
      <c r="UOP6"/>
      <c r="UOQ6"/>
      <c r="UOR6"/>
      <c r="UOS6"/>
      <c r="UOT6"/>
      <c r="UOU6"/>
      <c r="UOV6"/>
      <c r="UOW6"/>
      <c r="UOX6"/>
      <c r="UOY6"/>
      <c r="UOZ6"/>
      <c r="UPA6"/>
      <c r="UPB6"/>
      <c r="UPC6"/>
      <c r="UPD6"/>
      <c r="UPE6"/>
      <c r="UPF6"/>
      <c r="UPG6"/>
      <c r="UPH6"/>
      <c r="UPI6"/>
      <c r="UPJ6"/>
      <c r="UPK6"/>
      <c r="UPL6"/>
      <c r="UPM6"/>
      <c r="UPN6"/>
      <c r="UPO6"/>
      <c r="UPP6"/>
      <c r="UPQ6"/>
      <c r="UPR6"/>
      <c r="UPS6"/>
      <c r="UPT6"/>
      <c r="UPU6"/>
      <c r="UPV6"/>
      <c r="UPW6"/>
      <c r="UPX6"/>
      <c r="UPY6"/>
      <c r="UPZ6"/>
      <c r="UQA6"/>
      <c r="UQB6"/>
      <c r="UQC6"/>
      <c r="UQD6"/>
      <c r="UQE6"/>
      <c r="UQF6"/>
      <c r="UQG6"/>
      <c r="UQH6"/>
      <c r="UQI6"/>
      <c r="UQJ6"/>
      <c r="UQK6"/>
      <c r="UQL6"/>
      <c r="UQM6"/>
      <c r="UQN6"/>
      <c r="UQO6"/>
      <c r="UQP6"/>
      <c r="UQQ6"/>
      <c r="UQR6"/>
      <c r="UQS6"/>
      <c r="UQT6"/>
      <c r="UQU6"/>
      <c r="UQV6"/>
      <c r="UQW6"/>
      <c r="UQX6"/>
      <c r="UQY6"/>
      <c r="UQZ6"/>
      <c r="URA6"/>
      <c r="URB6"/>
      <c r="URC6"/>
      <c r="URD6"/>
      <c r="URE6"/>
      <c r="URF6"/>
      <c r="URG6"/>
      <c r="URH6"/>
      <c r="URI6"/>
      <c r="URJ6"/>
      <c r="URK6"/>
      <c r="URL6"/>
      <c r="URM6"/>
      <c r="URN6"/>
      <c r="URO6"/>
      <c r="URP6"/>
      <c r="URQ6"/>
      <c r="URR6"/>
      <c r="URS6"/>
      <c r="URT6"/>
      <c r="URU6"/>
      <c r="URV6"/>
      <c r="URW6"/>
      <c r="URX6"/>
      <c r="URY6"/>
      <c r="URZ6"/>
      <c r="USA6"/>
      <c r="USB6"/>
      <c r="USC6"/>
      <c r="USD6"/>
      <c r="USE6"/>
      <c r="USF6"/>
      <c r="USG6"/>
      <c r="USH6"/>
      <c r="USI6"/>
      <c r="USJ6"/>
      <c r="USK6"/>
      <c r="USL6"/>
      <c r="USM6"/>
      <c r="USN6"/>
      <c r="USO6"/>
      <c r="USP6"/>
      <c r="USQ6"/>
      <c r="USR6"/>
      <c r="USS6"/>
      <c r="UST6"/>
      <c r="USU6"/>
      <c r="USV6"/>
      <c r="USW6"/>
      <c r="USX6"/>
      <c r="USY6"/>
      <c r="USZ6"/>
      <c r="UTA6"/>
      <c r="UTB6"/>
      <c r="UTC6"/>
      <c r="UTD6"/>
      <c r="UTE6"/>
      <c r="UTF6"/>
      <c r="UTG6"/>
      <c r="UTH6"/>
      <c r="UTI6"/>
      <c r="UTJ6"/>
      <c r="UTK6"/>
      <c r="UTL6"/>
      <c r="UTM6"/>
      <c r="UTN6"/>
      <c r="UTO6"/>
      <c r="UTP6"/>
      <c r="UTQ6"/>
      <c r="UTR6"/>
      <c r="UTS6"/>
      <c r="UTT6"/>
      <c r="UTU6"/>
      <c r="UTV6"/>
      <c r="UTW6"/>
      <c r="UTX6"/>
      <c r="UTY6"/>
      <c r="UTZ6"/>
      <c r="UUA6"/>
      <c r="UUB6"/>
      <c r="UUC6"/>
      <c r="UUD6"/>
      <c r="UUE6"/>
      <c r="UUF6"/>
      <c r="UUG6"/>
      <c r="UUH6"/>
      <c r="UUI6"/>
      <c r="UUJ6"/>
      <c r="UUK6"/>
      <c r="UUL6"/>
      <c r="UUM6"/>
      <c r="UUN6"/>
      <c r="UUO6"/>
      <c r="UUP6"/>
      <c r="UUQ6"/>
      <c r="UUR6"/>
      <c r="UUS6"/>
      <c r="UUT6"/>
      <c r="UUU6"/>
      <c r="UUV6"/>
      <c r="UUW6"/>
      <c r="UUX6"/>
      <c r="UUY6"/>
      <c r="UUZ6"/>
      <c r="UVA6"/>
      <c r="UVB6"/>
      <c r="UVC6"/>
      <c r="UVD6"/>
      <c r="UVE6"/>
      <c r="UVF6"/>
      <c r="UVG6"/>
      <c r="UVH6"/>
      <c r="UVI6"/>
      <c r="UVJ6"/>
      <c r="UVK6"/>
      <c r="UVL6"/>
      <c r="UVM6"/>
      <c r="UVN6"/>
      <c r="UVO6"/>
      <c r="UVP6"/>
      <c r="UVQ6"/>
      <c r="UVR6"/>
      <c r="UVS6"/>
      <c r="UVT6"/>
      <c r="UVU6"/>
      <c r="UVV6"/>
      <c r="UVW6"/>
      <c r="UVX6"/>
      <c r="UVY6"/>
      <c r="UVZ6"/>
      <c r="UWA6"/>
      <c r="UWB6"/>
      <c r="UWC6"/>
      <c r="UWD6"/>
      <c r="UWE6"/>
      <c r="UWF6"/>
      <c r="UWG6"/>
      <c r="UWH6"/>
      <c r="UWI6"/>
      <c r="UWJ6"/>
      <c r="UWK6"/>
      <c r="UWL6"/>
      <c r="UWM6"/>
      <c r="UWN6"/>
      <c r="UWO6"/>
      <c r="UWP6"/>
      <c r="UWQ6"/>
      <c r="UWR6"/>
      <c r="UWS6"/>
      <c r="UWT6"/>
      <c r="UWU6"/>
      <c r="UWV6"/>
      <c r="UWW6"/>
      <c r="UWX6"/>
      <c r="UWY6"/>
      <c r="UWZ6"/>
      <c r="UXA6"/>
      <c r="UXB6"/>
      <c r="UXC6"/>
      <c r="UXD6"/>
      <c r="UXE6"/>
      <c r="UXF6"/>
      <c r="UXG6"/>
      <c r="UXH6"/>
      <c r="UXI6"/>
      <c r="UXJ6"/>
      <c r="UXK6"/>
      <c r="UXL6"/>
      <c r="UXM6"/>
      <c r="UXN6"/>
      <c r="UXO6"/>
      <c r="UXP6"/>
      <c r="UXQ6"/>
      <c r="UXR6"/>
      <c r="UXS6"/>
      <c r="UXT6"/>
      <c r="UXU6"/>
      <c r="UXV6"/>
      <c r="UXW6"/>
      <c r="UXX6"/>
      <c r="UXY6"/>
      <c r="UXZ6"/>
      <c r="UYA6"/>
      <c r="UYB6"/>
      <c r="UYC6"/>
      <c r="UYD6"/>
      <c r="UYE6"/>
      <c r="UYF6"/>
      <c r="UYG6"/>
      <c r="UYH6"/>
      <c r="UYI6"/>
      <c r="UYJ6"/>
      <c r="UYK6"/>
      <c r="UYL6"/>
      <c r="UYM6"/>
      <c r="UYN6"/>
      <c r="UYO6"/>
      <c r="UYP6"/>
      <c r="UYQ6"/>
      <c r="UYR6"/>
      <c r="UYS6"/>
      <c r="UYT6"/>
      <c r="UYU6"/>
      <c r="UYV6"/>
      <c r="UYW6"/>
      <c r="UYX6"/>
      <c r="UYY6"/>
      <c r="UYZ6"/>
      <c r="UZA6"/>
      <c r="UZB6"/>
      <c r="UZC6"/>
      <c r="UZD6"/>
      <c r="UZE6"/>
      <c r="UZF6"/>
      <c r="UZG6"/>
      <c r="UZH6"/>
      <c r="UZI6"/>
      <c r="UZJ6"/>
      <c r="UZK6"/>
      <c r="UZL6"/>
      <c r="UZM6"/>
      <c r="UZN6"/>
      <c r="UZO6"/>
      <c r="UZP6"/>
      <c r="UZQ6"/>
      <c r="UZR6"/>
      <c r="UZS6"/>
      <c r="UZT6"/>
      <c r="UZU6"/>
      <c r="UZV6"/>
      <c r="UZW6"/>
      <c r="UZX6"/>
      <c r="UZY6"/>
      <c r="UZZ6"/>
      <c r="VAA6"/>
      <c r="VAB6"/>
      <c r="VAC6"/>
      <c r="VAD6"/>
      <c r="VAE6"/>
      <c r="VAF6"/>
      <c r="VAG6"/>
      <c r="VAH6"/>
      <c r="VAI6"/>
      <c r="VAJ6"/>
      <c r="VAK6"/>
      <c r="VAL6"/>
      <c r="VAM6"/>
      <c r="VAN6"/>
      <c r="VAO6"/>
      <c r="VAP6"/>
      <c r="VAQ6"/>
      <c r="VAR6"/>
      <c r="VAS6"/>
      <c r="VAT6"/>
      <c r="VAU6"/>
      <c r="VAV6"/>
      <c r="VAW6"/>
      <c r="VAX6"/>
      <c r="VAY6"/>
      <c r="VAZ6"/>
      <c r="VBA6"/>
      <c r="VBB6"/>
      <c r="VBC6"/>
      <c r="VBD6"/>
      <c r="VBE6"/>
      <c r="VBF6"/>
      <c r="VBG6"/>
      <c r="VBH6"/>
      <c r="VBI6"/>
      <c r="VBJ6"/>
      <c r="VBK6"/>
      <c r="VBL6"/>
      <c r="VBM6"/>
      <c r="VBN6"/>
      <c r="VBO6"/>
      <c r="VBP6"/>
      <c r="VBQ6"/>
      <c r="VBR6"/>
      <c r="VBS6"/>
      <c r="VBT6"/>
      <c r="VBU6"/>
      <c r="VBV6"/>
      <c r="VBW6"/>
      <c r="VBX6"/>
      <c r="VBY6"/>
      <c r="VBZ6"/>
      <c r="VCA6"/>
      <c r="VCB6"/>
      <c r="VCC6"/>
      <c r="VCD6"/>
      <c r="VCE6"/>
      <c r="VCF6"/>
      <c r="VCG6"/>
      <c r="VCH6"/>
      <c r="VCI6"/>
      <c r="VCJ6"/>
      <c r="VCK6"/>
      <c r="VCL6"/>
      <c r="VCM6"/>
      <c r="VCN6"/>
      <c r="VCO6"/>
      <c r="VCP6"/>
      <c r="VCQ6"/>
      <c r="VCR6"/>
      <c r="VCS6"/>
      <c r="VCT6"/>
      <c r="VCU6"/>
      <c r="VCV6"/>
      <c r="VCW6"/>
      <c r="VCX6"/>
      <c r="VCY6"/>
      <c r="VCZ6"/>
      <c r="VDA6"/>
      <c r="VDB6"/>
      <c r="VDC6"/>
      <c r="VDD6"/>
      <c r="VDE6"/>
      <c r="VDF6"/>
      <c r="VDG6"/>
      <c r="VDH6"/>
      <c r="VDI6"/>
      <c r="VDJ6"/>
      <c r="VDK6"/>
      <c r="VDL6"/>
      <c r="VDM6"/>
      <c r="VDN6"/>
      <c r="VDO6"/>
      <c r="VDP6"/>
      <c r="VDQ6"/>
      <c r="VDR6"/>
      <c r="VDS6"/>
      <c r="VDT6"/>
      <c r="VDU6"/>
      <c r="VDV6"/>
      <c r="VDW6"/>
      <c r="VDX6"/>
      <c r="VDY6"/>
      <c r="VDZ6"/>
      <c r="VEA6"/>
      <c r="VEB6"/>
      <c r="VEC6"/>
      <c r="VED6"/>
      <c r="VEE6"/>
      <c r="VEF6"/>
      <c r="VEG6"/>
      <c r="VEH6"/>
      <c r="VEI6"/>
      <c r="VEJ6"/>
      <c r="VEK6"/>
      <c r="VEL6"/>
      <c r="VEM6"/>
      <c r="VEN6"/>
      <c r="VEO6"/>
      <c r="VEP6"/>
      <c r="VEQ6"/>
      <c r="VER6"/>
      <c r="VES6"/>
      <c r="VET6"/>
      <c r="VEU6"/>
      <c r="VEV6"/>
      <c r="VEW6"/>
      <c r="VEX6"/>
      <c r="VEY6"/>
      <c r="VEZ6"/>
      <c r="VFA6"/>
      <c r="VFB6"/>
      <c r="VFC6"/>
      <c r="VFD6"/>
      <c r="VFE6"/>
      <c r="VFF6"/>
      <c r="VFG6"/>
      <c r="VFH6"/>
      <c r="VFI6"/>
      <c r="VFJ6"/>
      <c r="VFK6"/>
      <c r="VFL6"/>
      <c r="VFM6"/>
      <c r="VFN6"/>
      <c r="VFO6"/>
      <c r="VFP6"/>
      <c r="VFQ6"/>
      <c r="VFR6"/>
      <c r="VFS6"/>
      <c r="VFT6"/>
      <c r="VFU6"/>
      <c r="VFV6"/>
      <c r="VFW6"/>
      <c r="VFX6"/>
      <c r="VFY6"/>
      <c r="VFZ6"/>
      <c r="VGA6"/>
      <c r="VGB6"/>
      <c r="VGC6"/>
      <c r="VGD6"/>
      <c r="VGE6"/>
      <c r="VGF6"/>
      <c r="VGG6"/>
      <c r="VGH6"/>
      <c r="VGI6"/>
      <c r="VGJ6"/>
      <c r="VGK6"/>
      <c r="VGL6"/>
      <c r="VGM6"/>
      <c r="VGN6"/>
      <c r="VGO6"/>
      <c r="VGP6"/>
      <c r="VGQ6"/>
      <c r="VGR6"/>
      <c r="VGS6"/>
      <c r="VGT6"/>
      <c r="VGU6"/>
      <c r="VGV6"/>
      <c r="VGW6"/>
      <c r="VGX6"/>
      <c r="VGY6"/>
      <c r="VGZ6"/>
      <c r="VHA6"/>
      <c r="VHB6"/>
      <c r="VHC6"/>
      <c r="VHD6"/>
      <c r="VHE6"/>
      <c r="VHF6"/>
      <c r="VHG6"/>
      <c r="VHH6"/>
      <c r="VHI6"/>
      <c r="VHJ6"/>
      <c r="VHK6"/>
      <c r="VHL6"/>
      <c r="VHM6"/>
      <c r="VHN6"/>
      <c r="VHO6"/>
      <c r="VHP6"/>
      <c r="VHQ6"/>
      <c r="VHR6"/>
      <c r="VHS6"/>
      <c r="VHT6"/>
      <c r="VHU6"/>
      <c r="VHV6"/>
      <c r="VHW6"/>
      <c r="VHX6"/>
      <c r="VHY6"/>
      <c r="VHZ6"/>
      <c r="VIA6"/>
      <c r="VIB6"/>
      <c r="VIC6"/>
      <c r="VID6"/>
      <c r="VIE6"/>
      <c r="VIF6"/>
      <c r="VIG6"/>
      <c r="VIH6"/>
      <c r="VII6"/>
      <c r="VIJ6"/>
      <c r="VIK6"/>
      <c r="VIL6"/>
      <c r="VIM6"/>
      <c r="VIN6"/>
      <c r="VIO6"/>
      <c r="VIP6"/>
      <c r="VIQ6"/>
      <c r="VIR6"/>
      <c r="VIS6"/>
      <c r="VIT6"/>
      <c r="VIU6"/>
      <c r="VIV6"/>
      <c r="VIW6"/>
      <c r="VIX6"/>
      <c r="VIY6"/>
      <c r="VIZ6"/>
      <c r="VJA6"/>
      <c r="VJB6"/>
      <c r="VJC6"/>
      <c r="VJD6"/>
      <c r="VJE6"/>
      <c r="VJF6"/>
      <c r="VJG6"/>
      <c r="VJH6"/>
      <c r="VJI6"/>
      <c r="VJJ6"/>
      <c r="VJK6"/>
      <c r="VJL6"/>
      <c r="VJM6"/>
      <c r="VJN6"/>
      <c r="VJO6"/>
      <c r="VJP6"/>
      <c r="VJQ6"/>
      <c r="VJR6"/>
      <c r="VJS6"/>
      <c r="VJT6"/>
      <c r="VJU6"/>
      <c r="VJV6"/>
      <c r="VJW6"/>
      <c r="VJX6"/>
      <c r="VJY6"/>
      <c r="VJZ6"/>
      <c r="VKA6"/>
      <c r="VKB6"/>
      <c r="VKC6"/>
      <c r="VKD6"/>
      <c r="VKE6"/>
      <c r="VKF6"/>
      <c r="VKG6"/>
      <c r="VKH6"/>
      <c r="VKI6"/>
      <c r="VKJ6"/>
      <c r="VKK6"/>
      <c r="VKL6"/>
      <c r="VKM6"/>
      <c r="VKN6"/>
      <c r="VKO6"/>
      <c r="VKP6"/>
      <c r="VKQ6"/>
      <c r="VKR6"/>
      <c r="VKS6"/>
      <c r="VKT6"/>
      <c r="VKU6"/>
      <c r="VKV6"/>
      <c r="VKW6"/>
      <c r="VKX6"/>
      <c r="VKY6"/>
      <c r="VKZ6"/>
      <c r="VLA6"/>
      <c r="VLB6"/>
      <c r="VLC6"/>
      <c r="VLD6"/>
      <c r="VLE6"/>
      <c r="VLF6"/>
      <c r="VLG6"/>
      <c r="VLH6"/>
      <c r="VLI6"/>
      <c r="VLJ6"/>
      <c r="VLK6"/>
      <c r="VLL6"/>
      <c r="VLM6"/>
      <c r="VLN6"/>
      <c r="VLO6"/>
      <c r="VLP6"/>
      <c r="VLQ6"/>
      <c r="VLR6"/>
      <c r="VLS6"/>
      <c r="VLT6"/>
      <c r="VLU6"/>
      <c r="VLV6"/>
      <c r="VLW6"/>
      <c r="VLX6"/>
      <c r="VLY6"/>
      <c r="VLZ6"/>
      <c r="VMA6"/>
      <c r="VMB6"/>
      <c r="VMC6"/>
      <c r="VMD6"/>
      <c r="VME6"/>
      <c r="VMF6"/>
      <c r="VMG6"/>
      <c r="VMH6"/>
      <c r="VMI6"/>
      <c r="VMJ6"/>
      <c r="VMK6"/>
      <c r="VML6"/>
      <c r="VMM6"/>
      <c r="VMN6"/>
      <c r="VMO6"/>
      <c r="VMP6"/>
      <c r="VMQ6"/>
      <c r="VMR6"/>
      <c r="VMS6"/>
      <c r="VMT6"/>
      <c r="VMU6"/>
      <c r="VMV6"/>
      <c r="VMW6"/>
      <c r="VMX6"/>
      <c r="VMY6"/>
      <c r="VMZ6"/>
      <c r="VNA6"/>
      <c r="VNB6"/>
      <c r="VNC6"/>
      <c r="VND6"/>
      <c r="VNE6"/>
      <c r="VNF6"/>
      <c r="VNG6"/>
      <c r="VNH6"/>
      <c r="VNI6"/>
      <c r="VNJ6"/>
      <c r="VNK6"/>
      <c r="VNL6"/>
      <c r="VNM6"/>
      <c r="VNN6"/>
      <c r="VNO6"/>
      <c r="VNP6"/>
      <c r="VNQ6"/>
      <c r="VNR6"/>
      <c r="VNS6"/>
      <c r="VNT6"/>
      <c r="VNU6"/>
      <c r="VNV6"/>
      <c r="VNW6"/>
      <c r="VNX6"/>
      <c r="VNY6"/>
      <c r="VNZ6"/>
      <c r="VOA6"/>
      <c r="VOB6"/>
      <c r="VOC6"/>
      <c r="VOD6"/>
      <c r="VOE6"/>
      <c r="VOF6"/>
      <c r="VOG6"/>
      <c r="VOH6"/>
      <c r="VOI6"/>
      <c r="VOJ6"/>
      <c r="VOK6"/>
      <c r="VOL6"/>
      <c r="VOM6"/>
      <c r="VON6"/>
      <c r="VOO6"/>
      <c r="VOP6"/>
      <c r="VOQ6"/>
      <c r="VOR6"/>
      <c r="VOS6"/>
      <c r="VOT6"/>
      <c r="VOU6"/>
      <c r="VOV6"/>
      <c r="VOW6"/>
      <c r="VOX6"/>
      <c r="VOY6"/>
      <c r="VOZ6"/>
      <c r="VPA6"/>
      <c r="VPB6"/>
      <c r="VPC6"/>
      <c r="VPD6"/>
      <c r="VPE6"/>
      <c r="VPF6"/>
      <c r="VPG6"/>
      <c r="VPH6"/>
      <c r="VPI6"/>
      <c r="VPJ6"/>
      <c r="VPK6"/>
      <c r="VPL6"/>
      <c r="VPM6"/>
      <c r="VPN6"/>
      <c r="VPO6"/>
      <c r="VPP6"/>
      <c r="VPQ6"/>
      <c r="VPR6"/>
      <c r="VPS6"/>
      <c r="VPT6"/>
      <c r="VPU6"/>
      <c r="VPV6"/>
      <c r="VPW6"/>
      <c r="VPX6"/>
      <c r="VPY6"/>
      <c r="VPZ6"/>
      <c r="VQA6"/>
      <c r="VQB6"/>
      <c r="VQC6"/>
      <c r="VQD6"/>
      <c r="VQE6"/>
      <c r="VQF6"/>
      <c r="VQG6"/>
      <c r="VQH6"/>
      <c r="VQI6"/>
      <c r="VQJ6"/>
      <c r="VQK6"/>
      <c r="VQL6"/>
      <c r="VQM6"/>
      <c r="VQN6"/>
      <c r="VQO6"/>
      <c r="VQP6"/>
      <c r="VQQ6"/>
      <c r="VQR6"/>
      <c r="VQS6"/>
      <c r="VQT6"/>
      <c r="VQU6"/>
      <c r="VQV6"/>
      <c r="VQW6"/>
      <c r="VQX6"/>
      <c r="VQY6"/>
      <c r="VQZ6"/>
      <c r="VRA6"/>
      <c r="VRB6"/>
      <c r="VRC6"/>
      <c r="VRD6"/>
      <c r="VRE6"/>
      <c r="VRF6"/>
      <c r="VRG6"/>
      <c r="VRH6"/>
      <c r="VRI6"/>
      <c r="VRJ6"/>
      <c r="VRK6"/>
      <c r="VRL6"/>
      <c r="VRM6"/>
      <c r="VRN6"/>
      <c r="VRO6"/>
      <c r="VRP6"/>
      <c r="VRQ6"/>
      <c r="VRR6"/>
      <c r="VRS6"/>
      <c r="VRT6"/>
      <c r="VRU6"/>
      <c r="VRV6"/>
      <c r="VRW6"/>
      <c r="VRX6"/>
      <c r="VRY6"/>
      <c r="VRZ6"/>
      <c r="VSA6"/>
      <c r="VSB6"/>
      <c r="VSC6"/>
      <c r="VSD6"/>
      <c r="VSE6"/>
      <c r="VSF6"/>
      <c r="VSG6"/>
      <c r="VSH6"/>
      <c r="VSI6"/>
      <c r="VSJ6"/>
      <c r="VSK6"/>
      <c r="VSL6"/>
      <c r="VSM6"/>
      <c r="VSN6"/>
      <c r="VSO6"/>
      <c r="VSP6"/>
      <c r="VSQ6"/>
      <c r="VSR6"/>
      <c r="VSS6"/>
      <c r="VST6"/>
      <c r="VSU6"/>
      <c r="VSV6"/>
      <c r="VSW6"/>
      <c r="VSX6"/>
      <c r="VSY6"/>
      <c r="VSZ6"/>
      <c r="VTA6"/>
      <c r="VTB6"/>
      <c r="VTC6"/>
      <c r="VTD6"/>
      <c r="VTE6"/>
      <c r="VTF6"/>
      <c r="VTG6"/>
      <c r="VTH6"/>
      <c r="VTI6"/>
      <c r="VTJ6"/>
      <c r="VTK6"/>
      <c r="VTL6"/>
      <c r="VTM6"/>
      <c r="VTN6"/>
      <c r="VTO6"/>
      <c r="VTP6"/>
      <c r="VTQ6"/>
      <c r="VTR6"/>
      <c r="VTS6"/>
      <c r="VTT6"/>
      <c r="VTU6"/>
      <c r="VTV6"/>
      <c r="VTW6"/>
      <c r="VTX6"/>
      <c r="VTY6"/>
      <c r="VTZ6"/>
      <c r="VUA6"/>
      <c r="VUB6"/>
      <c r="VUC6"/>
      <c r="VUD6"/>
      <c r="VUE6"/>
      <c r="VUF6"/>
      <c r="VUG6"/>
      <c r="VUH6"/>
      <c r="VUI6"/>
      <c r="VUJ6"/>
      <c r="VUK6"/>
      <c r="VUL6"/>
      <c r="VUM6"/>
      <c r="VUN6"/>
      <c r="VUO6"/>
      <c r="VUP6"/>
      <c r="VUQ6"/>
      <c r="VUR6"/>
      <c r="VUS6"/>
      <c r="VUT6"/>
      <c r="VUU6"/>
      <c r="VUV6"/>
      <c r="VUW6"/>
      <c r="VUX6"/>
      <c r="VUY6"/>
      <c r="VUZ6"/>
      <c r="VVA6"/>
      <c r="VVB6"/>
      <c r="VVC6"/>
      <c r="VVD6"/>
      <c r="VVE6"/>
      <c r="VVF6"/>
      <c r="VVG6"/>
      <c r="VVH6"/>
      <c r="VVI6"/>
      <c r="VVJ6"/>
      <c r="VVK6"/>
      <c r="VVL6"/>
      <c r="VVM6"/>
      <c r="VVN6"/>
      <c r="VVO6"/>
      <c r="VVP6"/>
      <c r="VVQ6"/>
      <c r="VVR6"/>
      <c r="VVS6"/>
      <c r="VVT6"/>
      <c r="VVU6"/>
      <c r="VVV6"/>
      <c r="VVW6"/>
      <c r="VVX6"/>
      <c r="VVY6"/>
      <c r="VVZ6"/>
      <c r="VWA6"/>
      <c r="VWB6"/>
      <c r="VWC6"/>
      <c r="VWD6"/>
      <c r="VWE6"/>
      <c r="VWF6"/>
      <c r="VWG6"/>
      <c r="VWH6"/>
      <c r="VWI6"/>
      <c r="VWJ6"/>
      <c r="VWK6"/>
      <c r="VWL6"/>
      <c r="VWM6"/>
      <c r="VWN6"/>
      <c r="VWO6"/>
      <c r="VWP6"/>
      <c r="VWQ6"/>
      <c r="VWR6"/>
      <c r="VWS6"/>
      <c r="VWT6"/>
      <c r="VWU6"/>
      <c r="VWV6"/>
      <c r="VWW6"/>
      <c r="VWX6"/>
      <c r="VWY6"/>
      <c r="VWZ6"/>
      <c r="VXA6"/>
      <c r="VXB6"/>
      <c r="VXC6"/>
      <c r="VXD6"/>
      <c r="VXE6"/>
      <c r="VXF6"/>
      <c r="VXG6"/>
      <c r="VXH6"/>
      <c r="VXI6"/>
      <c r="VXJ6"/>
      <c r="VXK6"/>
      <c r="VXL6"/>
      <c r="VXM6"/>
      <c r="VXN6"/>
      <c r="VXO6"/>
      <c r="VXP6"/>
      <c r="VXQ6"/>
      <c r="VXR6"/>
      <c r="VXS6"/>
      <c r="VXT6"/>
      <c r="VXU6"/>
      <c r="VXV6"/>
      <c r="VXW6"/>
      <c r="VXX6"/>
      <c r="VXY6"/>
      <c r="VXZ6"/>
      <c r="VYA6"/>
      <c r="VYB6"/>
      <c r="VYC6"/>
      <c r="VYD6"/>
      <c r="VYE6"/>
      <c r="VYF6"/>
      <c r="VYG6"/>
      <c r="VYH6"/>
      <c r="VYI6"/>
      <c r="VYJ6"/>
      <c r="VYK6"/>
      <c r="VYL6"/>
      <c r="VYM6"/>
      <c r="VYN6"/>
      <c r="VYO6"/>
      <c r="VYP6"/>
      <c r="VYQ6"/>
      <c r="VYR6"/>
      <c r="VYS6"/>
      <c r="VYT6"/>
      <c r="VYU6"/>
      <c r="VYV6"/>
      <c r="VYW6"/>
      <c r="VYX6"/>
      <c r="VYY6"/>
      <c r="VYZ6"/>
      <c r="VZA6"/>
      <c r="VZB6"/>
      <c r="VZC6"/>
      <c r="VZD6"/>
      <c r="VZE6"/>
      <c r="VZF6"/>
      <c r="VZG6"/>
      <c r="VZH6"/>
      <c r="VZI6"/>
      <c r="VZJ6"/>
      <c r="VZK6"/>
      <c r="VZL6"/>
      <c r="VZM6"/>
      <c r="VZN6"/>
      <c r="VZO6"/>
      <c r="VZP6"/>
      <c r="VZQ6"/>
      <c r="VZR6"/>
      <c r="VZS6"/>
      <c r="VZT6"/>
      <c r="VZU6"/>
      <c r="VZV6"/>
      <c r="VZW6"/>
      <c r="VZX6"/>
      <c r="VZY6"/>
      <c r="VZZ6"/>
      <c r="WAA6"/>
      <c r="WAB6"/>
      <c r="WAC6"/>
      <c r="WAD6"/>
      <c r="WAE6"/>
      <c r="WAF6"/>
      <c r="WAG6"/>
      <c r="WAH6"/>
      <c r="WAI6"/>
      <c r="WAJ6"/>
      <c r="WAK6"/>
      <c r="WAL6"/>
      <c r="WAM6"/>
      <c r="WAN6"/>
      <c r="WAO6"/>
      <c r="WAP6"/>
      <c r="WAQ6"/>
      <c r="WAR6"/>
      <c r="WAS6"/>
      <c r="WAT6"/>
      <c r="WAU6"/>
      <c r="WAV6"/>
      <c r="WAW6"/>
      <c r="WAX6"/>
      <c r="WAY6"/>
      <c r="WAZ6"/>
      <c r="WBA6"/>
      <c r="WBB6"/>
      <c r="WBC6"/>
      <c r="WBD6"/>
      <c r="WBE6"/>
      <c r="WBF6"/>
      <c r="WBG6"/>
      <c r="WBH6"/>
      <c r="WBI6"/>
      <c r="WBJ6"/>
      <c r="WBK6"/>
      <c r="WBL6"/>
      <c r="WBM6"/>
      <c r="WBN6"/>
      <c r="WBO6"/>
      <c r="WBP6"/>
      <c r="WBQ6"/>
      <c r="WBR6"/>
      <c r="WBS6"/>
      <c r="WBT6"/>
      <c r="WBU6"/>
      <c r="WBV6"/>
      <c r="WBW6"/>
      <c r="WBX6"/>
      <c r="WBY6"/>
      <c r="WBZ6"/>
      <c r="WCA6"/>
      <c r="WCB6"/>
      <c r="WCC6"/>
      <c r="WCD6"/>
      <c r="WCE6"/>
      <c r="WCF6"/>
      <c r="WCG6"/>
      <c r="WCH6"/>
      <c r="WCI6"/>
      <c r="WCJ6"/>
      <c r="WCK6"/>
      <c r="WCL6"/>
      <c r="WCM6"/>
      <c r="WCN6"/>
      <c r="WCO6"/>
      <c r="WCP6"/>
      <c r="WCQ6"/>
      <c r="WCR6"/>
      <c r="WCS6"/>
      <c r="WCT6"/>
      <c r="WCU6"/>
      <c r="WCV6"/>
      <c r="WCW6"/>
      <c r="WCX6"/>
      <c r="WCY6"/>
      <c r="WCZ6"/>
      <c r="WDA6"/>
      <c r="WDB6"/>
      <c r="WDC6"/>
      <c r="WDD6"/>
      <c r="WDE6"/>
      <c r="WDF6"/>
      <c r="WDG6"/>
      <c r="WDH6"/>
      <c r="WDI6"/>
      <c r="WDJ6"/>
      <c r="WDK6"/>
      <c r="WDL6"/>
      <c r="WDM6"/>
      <c r="WDN6"/>
      <c r="WDO6"/>
      <c r="WDP6"/>
      <c r="WDQ6"/>
      <c r="WDR6"/>
      <c r="WDS6"/>
      <c r="WDT6"/>
      <c r="WDU6"/>
      <c r="WDV6"/>
      <c r="WDW6"/>
      <c r="WDX6"/>
      <c r="WDY6"/>
      <c r="WDZ6"/>
      <c r="WEA6"/>
      <c r="WEB6"/>
      <c r="WEC6"/>
      <c r="WED6"/>
      <c r="WEE6"/>
      <c r="WEF6"/>
      <c r="WEG6"/>
      <c r="WEH6"/>
      <c r="WEI6"/>
      <c r="WEJ6"/>
      <c r="WEK6"/>
      <c r="WEL6"/>
      <c r="WEM6"/>
      <c r="WEN6"/>
      <c r="WEO6"/>
      <c r="WEP6"/>
      <c r="WEQ6"/>
      <c r="WER6"/>
      <c r="WES6"/>
      <c r="WET6"/>
      <c r="WEU6"/>
      <c r="WEV6"/>
      <c r="WEW6"/>
      <c r="WEX6"/>
      <c r="WEY6"/>
      <c r="WEZ6"/>
      <c r="WFA6"/>
      <c r="WFB6"/>
      <c r="WFC6"/>
      <c r="WFD6"/>
      <c r="WFE6"/>
      <c r="WFF6"/>
      <c r="WFG6"/>
      <c r="WFH6"/>
      <c r="WFI6"/>
      <c r="WFJ6"/>
      <c r="WFK6"/>
      <c r="WFL6"/>
      <c r="WFM6"/>
      <c r="WFN6"/>
      <c r="WFO6"/>
      <c r="WFP6"/>
      <c r="WFQ6"/>
      <c r="WFR6"/>
      <c r="WFS6"/>
      <c r="WFT6"/>
      <c r="WFU6"/>
      <c r="WFV6"/>
      <c r="WFW6"/>
      <c r="WFX6"/>
      <c r="WFY6"/>
      <c r="WFZ6"/>
      <c r="WGA6"/>
      <c r="WGB6"/>
      <c r="WGC6"/>
      <c r="WGD6"/>
      <c r="WGE6"/>
      <c r="WGF6"/>
      <c r="WGG6"/>
      <c r="WGH6"/>
      <c r="WGI6"/>
      <c r="WGJ6"/>
      <c r="WGK6"/>
      <c r="WGL6"/>
      <c r="WGM6"/>
      <c r="WGN6"/>
      <c r="WGO6"/>
      <c r="WGP6"/>
      <c r="WGQ6"/>
      <c r="WGR6"/>
      <c r="WGS6"/>
      <c r="WGT6"/>
      <c r="WGU6"/>
      <c r="WGV6"/>
      <c r="WGW6"/>
      <c r="WGX6"/>
      <c r="WGY6"/>
      <c r="WGZ6"/>
      <c r="WHA6"/>
      <c r="WHB6"/>
      <c r="WHC6"/>
      <c r="WHD6"/>
      <c r="WHE6"/>
      <c r="WHF6"/>
      <c r="WHG6"/>
      <c r="WHH6"/>
      <c r="WHI6"/>
      <c r="WHJ6"/>
      <c r="WHK6"/>
      <c r="WHL6"/>
      <c r="WHM6"/>
      <c r="WHN6"/>
      <c r="WHO6"/>
      <c r="WHP6"/>
      <c r="WHQ6"/>
      <c r="WHR6"/>
      <c r="WHS6"/>
      <c r="WHT6"/>
      <c r="WHU6"/>
      <c r="WHV6"/>
      <c r="WHW6"/>
      <c r="WHX6"/>
      <c r="WHY6"/>
      <c r="WHZ6"/>
      <c r="WIA6"/>
      <c r="WIB6"/>
      <c r="WIC6"/>
      <c r="WID6"/>
      <c r="WIE6"/>
      <c r="WIF6"/>
      <c r="WIG6"/>
      <c r="WIH6"/>
      <c r="WII6"/>
      <c r="WIJ6"/>
      <c r="WIK6"/>
      <c r="WIL6"/>
      <c r="WIM6"/>
      <c r="WIN6"/>
      <c r="WIO6"/>
      <c r="WIP6"/>
      <c r="WIQ6"/>
      <c r="WIR6"/>
      <c r="WIS6"/>
      <c r="WIT6"/>
      <c r="WIU6"/>
      <c r="WIV6"/>
      <c r="WIW6"/>
      <c r="WIX6"/>
      <c r="WIY6"/>
      <c r="WIZ6"/>
      <c r="WJA6"/>
      <c r="WJB6"/>
      <c r="WJC6"/>
      <c r="WJD6"/>
      <c r="WJE6"/>
      <c r="WJF6"/>
      <c r="WJG6"/>
      <c r="WJH6"/>
      <c r="WJI6"/>
      <c r="WJJ6"/>
      <c r="WJK6"/>
      <c r="WJL6"/>
      <c r="WJM6"/>
      <c r="WJN6"/>
      <c r="WJO6"/>
      <c r="WJP6"/>
      <c r="WJQ6"/>
      <c r="WJR6"/>
      <c r="WJS6"/>
      <c r="WJT6"/>
      <c r="WJU6"/>
      <c r="WJV6"/>
      <c r="WJW6"/>
      <c r="WJX6"/>
      <c r="WJY6"/>
      <c r="WJZ6"/>
      <c r="WKA6"/>
      <c r="WKB6"/>
      <c r="WKC6"/>
      <c r="WKD6"/>
      <c r="WKE6"/>
      <c r="WKF6"/>
      <c r="WKG6"/>
      <c r="WKH6"/>
      <c r="WKI6"/>
      <c r="WKJ6"/>
      <c r="WKK6"/>
      <c r="WKL6"/>
      <c r="WKM6"/>
      <c r="WKN6"/>
      <c r="WKO6"/>
      <c r="WKP6"/>
      <c r="WKQ6"/>
      <c r="WKR6"/>
      <c r="WKS6"/>
      <c r="WKT6"/>
      <c r="WKU6"/>
      <c r="WKV6"/>
      <c r="WKW6"/>
      <c r="WKX6"/>
      <c r="WKY6"/>
      <c r="WKZ6"/>
      <c r="WLA6"/>
      <c r="WLB6"/>
      <c r="WLC6"/>
      <c r="WLD6"/>
      <c r="WLE6"/>
      <c r="WLF6"/>
      <c r="WLG6"/>
      <c r="WLH6"/>
      <c r="WLI6"/>
      <c r="WLJ6"/>
      <c r="WLK6"/>
      <c r="WLL6"/>
      <c r="WLM6"/>
      <c r="WLN6"/>
      <c r="WLO6"/>
      <c r="WLP6"/>
      <c r="WLQ6"/>
      <c r="WLR6"/>
      <c r="WLS6"/>
      <c r="WLT6"/>
      <c r="WLU6"/>
      <c r="WLV6"/>
      <c r="WLW6"/>
      <c r="WLX6"/>
      <c r="WLY6"/>
      <c r="WLZ6"/>
      <c r="WMA6"/>
      <c r="WMB6"/>
      <c r="WMC6"/>
      <c r="WMD6"/>
      <c r="WME6"/>
      <c r="WMF6"/>
      <c r="WMG6"/>
      <c r="WMH6"/>
      <c r="WMI6"/>
      <c r="WMJ6"/>
      <c r="WMK6"/>
      <c r="WML6"/>
      <c r="WMM6"/>
      <c r="WMN6"/>
      <c r="WMO6"/>
      <c r="WMP6"/>
      <c r="WMQ6"/>
      <c r="WMR6"/>
      <c r="WMS6"/>
      <c r="WMT6"/>
      <c r="WMU6"/>
      <c r="WMV6"/>
      <c r="WMW6"/>
      <c r="WMX6"/>
      <c r="WMY6"/>
      <c r="WMZ6"/>
      <c r="WNA6"/>
      <c r="WNB6"/>
      <c r="WNC6"/>
      <c r="WND6"/>
      <c r="WNE6"/>
      <c r="WNF6"/>
      <c r="WNG6"/>
      <c r="WNH6"/>
      <c r="WNI6"/>
      <c r="WNJ6"/>
      <c r="WNK6"/>
      <c r="WNL6"/>
      <c r="WNM6"/>
      <c r="WNN6"/>
      <c r="WNO6"/>
      <c r="WNP6"/>
      <c r="WNQ6"/>
      <c r="WNR6"/>
      <c r="WNS6"/>
      <c r="WNT6"/>
      <c r="WNU6"/>
      <c r="WNV6"/>
      <c r="WNW6"/>
      <c r="WNX6"/>
      <c r="WNY6"/>
      <c r="WNZ6"/>
      <c r="WOA6"/>
      <c r="WOB6"/>
      <c r="WOC6"/>
      <c r="WOD6"/>
      <c r="WOE6"/>
      <c r="WOF6"/>
      <c r="WOG6"/>
      <c r="WOH6"/>
      <c r="WOI6"/>
      <c r="WOJ6"/>
      <c r="WOK6"/>
      <c r="WOL6"/>
      <c r="WOM6"/>
      <c r="WON6"/>
      <c r="WOO6"/>
      <c r="WOP6"/>
      <c r="WOQ6"/>
      <c r="WOR6"/>
      <c r="WOS6"/>
      <c r="WOT6"/>
      <c r="WOU6"/>
      <c r="WOV6"/>
      <c r="WOW6"/>
      <c r="WOX6"/>
      <c r="WOY6"/>
      <c r="WOZ6"/>
      <c r="WPA6"/>
      <c r="WPB6"/>
      <c r="WPC6"/>
      <c r="WPD6"/>
      <c r="WPE6"/>
      <c r="WPF6"/>
      <c r="WPG6"/>
      <c r="WPH6"/>
      <c r="WPI6"/>
      <c r="WPJ6"/>
      <c r="WPK6"/>
      <c r="WPL6"/>
      <c r="WPM6"/>
      <c r="WPN6"/>
      <c r="WPO6"/>
      <c r="WPP6"/>
      <c r="WPQ6"/>
      <c r="WPR6"/>
      <c r="WPS6"/>
      <c r="WPT6"/>
      <c r="WPU6"/>
      <c r="WPV6"/>
      <c r="WPW6"/>
      <c r="WPX6"/>
      <c r="WPY6"/>
      <c r="WPZ6"/>
      <c r="WQA6"/>
      <c r="WQB6"/>
      <c r="WQC6"/>
      <c r="WQD6"/>
      <c r="WQE6"/>
      <c r="WQF6"/>
      <c r="WQG6"/>
      <c r="WQH6"/>
      <c r="WQI6"/>
      <c r="WQJ6"/>
      <c r="WQK6"/>
      <c r="WQL6"/>
      <c r="WQM6"/>
      <c r="WQN6"/>
      <c r="WQO6"/>
      <c r="WQP6"/>
      <c r="WQQ6"/>
      <c r="WQR6"/>
      <c r="WQS6"/>
      <c r="WQT6"/>
      <c r="WQU6"/>
      <c r="WQV6"/>
      <c r="WQW6"/>
      <c r="WQX6"/>
      <c r="WQY6"/>
      <c r="WQZ6"/>
      <c r="WRA6"/>
      <c r="WRB6"/>
      <c r="WRC6"/>
      <c r="WRD6"/>
      <c r="WRE6"/>
      <c r="WRF6"/>
      <c r="WRG6"/>
      <c r="WRH6"/>
      <c r="WRI6"/>
      <c r="WRJ6"/>
      <c r="WRK6"/>
      <c r="WRL6"/>
      <c r="WRM6"/>
      <c r="WRN6"/>
      <c r="WRO6"/>
      <c r="WRP6"/>
      <c r="WRQ6"/>
      <c r="WRR6"/>
      <c r="WRS6"/>
      <c r="WRT6"/>
      <c r="WRU6"/>
      <c r="WRV6"/>
      <c r="WRW6"/>
      <c r="WRX6"/>
      <c r="WRY6"/>
      <c r="WRZ6"/>
      <c r="WSA6"/>
      <c r="WSB6"/>
      <c r="WSC6"/>
      <c r="WSD6"/>
      <c r="WSE6"/>
      <c r="WSF6"/>
      <c r="WSG6"/>
      <c r="WSH6"/>
      <c r="WSI6"/>
      <c r="WSJ6"/>
      <c r="WSK6"/>
      <c r="WSL6"/>
      <c r="WSM6"/>
      <c r="WSN6"/>
      <c r="WSO6"/>
      <c r="WSP6"/>
      <c r="WSQ6"/>
      <c r="WSR6"/>
      <c r="WSS6"/>
      <c r="WST6"/>
      <c r="WSU6"/>
      <c r="WSV6"/>
      <c r="WSW6"/>
      <c r="WSX6"/>
      <c r="WSY6"/>
      <c r="WSZ6"/>
      <c r="WTA6"/>
      <c r="WTB6"/>
      <c r="WTC6"/>
      <c r="WTD6"/>
      <c r="WTE6"/>
      <c r="WTF6"/>
      <c r="WTG6"/>
      <c r="WTH6"/>
      <c r="WTI6"/>
      <c r="WTJ6"/>
      <c r="WTK6"/>
      <c r="WTL6"/>
      <c r="WTM6"/>
      <c r="WTN6"/>
      <c r="WTO6"/>
      <c r="WTP6"/>
      <c r="WTQ6"/>
      <c r="WTR6"/>
      <c r="WTS6"/>
      <c r="WTT6"/>
      <c r="WTU6"/>
      <c r="WTV6"/>
      <c r="WTW6"/>
      <c r="WTX6"/>
      <c r="WTY6"/>
      <c r="WTZ6"/>
      <c r="WUA6"/>
      <c r="WUB6"/>
      <c r="WUC6"/>
      <c r="WUD6"/>
      <c r="WUE6"/>
      <c r="WUF6"/>
      <c r="WUG6"/>
      <c r="WUH6"/>
      <c r="WUI6"/>
      <c r="WUJ6"/>
      <c r="WUK6"/>
      <c r="WUL6"/>
      <c r="WUM6"/>
      <c r="WUN6"/>
      <c r="WUO6"/>
      <c r="WUP6"/>
      <c r="WUQ6"/>
      <c r="WUR6"/>
      <c r="WUS6"/>
      <c r="WUT6"/>
      <c r="WUU6"/>
      <c r="WUV6"/>
      <c r="WUW6"/>
      <c r="WUX6"/>
      <c r="WUY6"/>
      <c r="WUZ6"/>
      <c r="WVA6"/>
      <c r="WVB6"/>
      <c r="WVC6"/>
      <c r="WVD6"/>
      <c r="WVE6"/>
      <c r="WVF6"/>
      <c r="WVG6"/>
      <c r="WVH6"/>
      <c r="WVI6"/>
      <c r="WVJ6"/>
      <c r="WVK6"/>
      <c r="WVL6"/>
      <c r="WVM6"/>
      <c r="WVN6"/>
      <c r="WVO6"/>
      <c r="WVP6"/>
      <c r="WVQ6"/>
      <c r="WVR6"/>
      <c r="WVS6"/>
      <c r="WVT6"/>
      <c r="WVU6"/>
      <c r="WVV6"/>
      <c r="WVW6"/>
      <c r="WVX6"/>
      <c r="WVY6"/>
      <c r="WVZ6"/>
      <c r="WWA6"/>
      <c r="WWB6"/>
      <c r="WWC6"/>
      <c r="WWD6"/>
      <c r="WWE6"/>
      <c r="WWF6"/>
      <c r="WWG6"/>
      <c r="WWH6"/>
      <c r="WWI6"/>
      <c r="WWJ6"/>
      <c r="WWK6"/>
      <c r="WWL6"/>
      <c r="WWM6"/>
      <c r="WWN6"/>
      <c r="WWO6"/>
      <c r="WWP6"/>
      <c r="WWQ6"/>
      <c r="WWR6"/>
      <c r="WWS6"/>
      <c r="WWT6"/>
      <c r="WWU6"/>
      <c r="WWV6"/>
      <c r="WWW6"/>
      <c r="WWX6"/>
      <c r="WWY6"/>
      <c r="WWZ6"/>
      <c r="WXA6"/>
      <c r="WXB6"/>
      <c r="WXC6"/>
      <c r="WXD6"/>
      <c r="WXE6"/>
      <c r="WXF6"/>
      <c r="WXG6"/>
      <c r="WXH6"/>
      <c r="WXI6"/>
      <c r="WXJ6"/>
      <c r="WXK6"/>
      <c r="WXL6"/>
      <c r="WXM6"/>
      <c r="WXN6"/>
      <c r="WXO6"/>
      <c r="WXP6"/>
      <c r="WXQ6"/>
      <c r="WXR6"/>
      <c r="WXS6"/>
      <c r="WXT6"/>
      <c r="WXU6"/>
      <c r="WXV6"/>
      <c r="WXW6"/>
      <c r="WXX6"/>
      <c r="WXY6"/>
      <c r="WXZ6"/>
      <c r="WYA6"/>
      <c r="WYB6"/>
      <c r="WYC6"/>
      <c r="WYD6"/>
      <c r="WYE6"/>
      <c r="WYF6"/>
      <c r="WYG6"/>
      <c r="WYH6"/>
      <c r="WYI6"/>
      <c r="WYJ6"/>
      <c r="WYK6"/>
      <c r="WYL6"/>
      <c r="WYM6"/>
      <c r="WYN6"/>
      <c r="WYO6"/>
      <c r="WYP6"/>
      <c r="WYQ6"/>
      <c r="WYR6"/>
      <c r="WYS6"/>
      <c r="WYT6"/>
      <c r="WYU6"/>
      <c r="WYV6"/>
      <c r="WYW6"/>
      <c r="WYX6"/>
      <c r="WYY6"/>
      <c r="WYZ6"/>
      <c r="WZA6"/>
      <c r="WZB6"/>
      <c r="WZC6"/>
      <c r="WZD6"/>
      <c r="WZE6"/>
      <c r="WZF6"/>
      <c r="WZG6"/>
      <c r="WZH6"/>
      <c r="WZI6"/>
      <c r="WZJ6"/>
      <c r="WZK6"/>
      <c r="WZL6"/>
      <c r="WZM6"/>
      <c r="WZN6"/>
      <c r="WZO6"/>
      <c r="WZP6"/>
      <c r="WZQ6"/>
      <c r="WZR6"/>
      <c r="WZS6"/>
      <c r="WZT6"/>
      <c r="WZU6"/>
      <c r="WZV6"/>
      <c r="WZW6"/>
      <c r="WZX6"/>
      <c r="WZY6"/>
      <c r="WZZ6"/>
      <c r="XAA6"/>
      <c r="XAB6"/>
      <c r="XAC6"/>
      <c r="XAD6"/>
      <c r="XAE6"/>
      <c r="XAF6"/>
      <c r="XAG6"/>
      <c r="XAH6"/>
      <c r="XAI6"/>
      <c r="XAJ6"/>
      <c r="XAK6"/>
      <c r="XAL6"/>
      <c r="XAM6"/>
      <c r="XAN6"/>
      <c r="XAO6"/>
      <c r="XAP6"/>
      <c r="XAQ6"/>
      <c r="XAR6"/>
      <c r="XAS6"/>
      <c r="XAT6"/>
      <c r="XAU6"/>
      <c r="XAV6"/>
      <c r="XAW6"/>
      <c r="XAX6"/>
      <c r="XAY6"/>
      <c r="XAZ6"/>
      <c r="XBA6"/>
      <c r="XBB6"/>
      <c r="XBC6"/>
      <c r="XBD6"/>
      <c r="XBE6"/>
      <c r="XBF6"/>
      <c r="XBG6"/>
      <c r="XBH6"/>
      <c r="XBI6"/>
      <c r="XBJ6"/>
      <c r="XBK6"/>
      <c r="XBL6"/>
      <c r="XBM6"/>
      <c r="XBN6"/>
      <c r="XBO6"/>
      <c r="XBP6"/>
      <c r="XBQ6"/>
      <c r="XBR6"/>
      <c r="XBS6"/>
      <c r="XBT6"/>
      <c r="XBU6"/>
      <c r="XBV6"/>
      <c r="XBW6"/>
      <c r="XBX6"/>
      <c r="XBY6"/>
      <c r="XBZ6"/>
      <c r="XCA6"/>
      <c r="XCB6"/>
      <c r="XCC6"/>
      <c r="XCD6"/>
      <c r="XCE6"/>
      <c r="XCF6"/>
      <c r="XCG6"/>
      <c r="XCH6"/>
      <c r="XCI6"/>
      <c r="XCJ6"/>
      <c r="XCK6"/>
      <c r="XCL6"/>
      <c r="XCM6"/>
      <c r="XCN6"/>
      <c r="XCO6"/>
      <c r="XCP6"/>
      <c r="XCQ6"/>
      <c r="XCR6"/>
      <c r="XCS6"/>
      <c r="XCT6"/>
      <c r="XCU6"/>
      <c r="XCV6"/>
      <c r="XCW6"/>
      <c r="XCX6"/>
      <c r="XCY6"/>
      <c r="XCZ6"/>
      <c r="XDA6"/>
      <c r="XDB6"/>
      <c r="XDC6"/>
      <c r="XDD6"/>
      <c r="XDE6"/>
      <c r="XDF6"/>
      <c r="XDG6"/>
      <c r="XDH6"/>
      <c r="XDI6"/>
      <c r="XDJ6"/>
      <c r="XDK6"/>
      <c r="XDL6"/>
      <c r="XDM6"/>
      <c r="XDN6"/>
      <c r="XDO6"/>
      <c r="XDP6"/>
      <c r="XDQ6"/>
      <c r="XDR6"/>
      <c r="XDS6"/>
      <c r="XDT6"/>
      <c r="XDU6"/>
      <c r="XDV6"/>
      <c r="XDW6"/>
      <c r="XDX6"/>
      <c r="XDY6"/>
      <c r="XDZ6"/>
      <c r="XEA6"/>
      <c r="XEB6"/>
      <c r="XEC6"/>
      <c r="XED6"/>
      <c r="XEE6"/>
      <c r="XEF6"/>
      <c r="XEG6"/>
      <c r="XEH6"/>
      <c r="XEI6"/>
      <c r="XEJ6"/>
      <c r="XEK6"/>
      <c r="XEL6"/>
      <c r="XEM6"/>
      <c r="XEN6"/>
      <c r="XEO6"/>
      <c r="XEP6"/>
      <c r="XEQ6"/>
      <c r="XER6"/>
      <c r="XES6"/>
      <c r="XET6"/>
      <c r="XEU6"/>
      <c r="XEV6"/>
      <c r="XEW6"/>
      <c r="XEX6"/>
      <c r="XEY6"/>
      <c r="XEZ6"/>
    </row>
    <row r="7" spans="1:16380" ht="17" customHeight="1" x14ac:dyDescent="0.35">
      <c r="C7" s="166" t="s">
        <v>959</v>
      </c>
      <c r="D7" s="298">
        <v>1.6054113776324399</v>
      </c>
      <c r="E7" s="298">
        <v>5.3145000226961496</v>
      </c>
      <c r="F7" s="298">
        <v>11.321446652457</v>
      </c>
      <c r="G7" s="298">
        <v>2.7221130065455901</v>
      </c>
      <c r="H7" s="298">
        <v>0.71142603749658995</v>
      </c>
      <c r="I7" s="298">
        <v>0.71669883785905197</v>
      </c>
      <c r="J7" s="187">
        <v>3.4609164860983199E-2</v>
      </c>
      <c r="K7" s="298">
        <v>15.878294975305799</v>
      </c>
      <c r="L7" s="298">
        <v>4.0371380568006501</v>
      </c>
      <c r="M7" s="297">
        <v>9.4299999999999995E-2</v>
      </c>
      <c r="N7" s="298">
        <v>0.67845</v>
      </c>
      <c r="O7" s="298">
        <v>0.31311837609648702</v>
      </c>
      <c r="P7" s="298">
        <v>1.10531</v>
      </c>
      <c r="Q7" s="187">
        <v>0.31469809999999998</v>
      </c>
      <c r="R7" s="187">
        <v>7.1289999999999992E-2</v>
      </c>
      <c r="S7" s="296">
        <v>36617543357.380699</v>
      </c>
    </row>
    <row r="8" spans="1:16380" x14ac:dyDescent="0.35">
      <c r="C8" s="166" t="s">
        <v>960</v>
      </c>
      <c r="D8" s="298">
        <v>2.21730779359009</v>
      </c>
      <c r="E8" s="298">
        <v>5.3203787314403401</v>
      </c>
      <c r="F8" s="298">
        <v>9.8976225984630499</v>
      </c>
      <c r="G8" s="298">
        <v>3.0425025332098001</v>
      </c>
      <c r="H8" s="298">
        <v>1.8871343820575299</v>
      </c>
      <c r="I8" s="298">
        <v>0.95215507976875302</v>
      </c>
      <c r="J8" s="187">
        <v>5.0041882293160193E-2</v>
      </c>
      <c r="K8" s="298">
        <v>7.9830250131576301</v>
      </c>
      <c r="L8" s="298">
        <v>6.7501664606097096</v>
      </c>
      <c r="M8" s="297">
        <v>5.3399999999999996E-2</v>
      </c>
      <c r="N8" s="298">
        <v>1.44198</v>
      </c>
      <c r="O8" s="298">
        <v>0.400472168460559</v>
      </c>
      <c r="P8" s="298">
        <v>1.0397000000000001</v>
      </c>
      <c r="Q8" s="187">
        <v>0.41213959999999999</v>
      </c>
      <c r="R8" s="187">
        <v>8.1890000000000004E-2</v>
      </c>
      <c r="S8" s="296">
        <v>137719137162.48499</v>
      </c>
    </row>
    <row r="9" spans="1:16380" x14ac:dyDescent="0.35">
      <c r="C9" s="166" t="s">
        <v>961</v>
      </c>
      <c r="D9" s="298">
        <v>3.7062688690347998</v>
      </c>
      <c r="E9" s="298">
        <v>7.7989013199897501</v>
      </c>
      <c r="F9" s="298">
        <v>15.8770665531265</v>
      </c>
      <c r="G9" s="298">
        <v>6.4689475836470196</v>
      </c>
      <c r="H9" s="298">
        <v>4.1556963098673796</v>
      </c>
      <c r="I9" s="298">
        <v>2.5792854589475702</v>
      </c>
      <c r="J9" s="187">
        <v>5.9492002488807198E-2</v>
      </c>
      <c r="K9" s="298">
        <v>15.4650578863939</v>
      </c>
      <c r="L9" s="298">
        <v>12.218013634261901</v>
      </c>
      <c r="M9" s="297">
        <v>2.9999999999999997E-4</v>
      </c>
      <c r="N9" s="298">
        <v>1.7964100000000001</v>
      </c>
      <c r="O9" s="298">
        <v>0.45937487620330397</v>
      </c>
      <c r="P9" s="298">
        <v>0.61716000000000004</v>
      </c>
      <c r="Q9" s="187">
        <v>0.56329770000000001</v>
      </c>
      <c r="R9" s="187">
        <v>0.14669000000000001</v>
      </c>
      <c r="S9" s="296">
        <v>17391730439.7211</v>
      </c>
    </row>
    <row r="10" spans="1:16380" x14ac:dyDescent="0.35">
      <c r="C10" s="166" t="s">
        <v>962</v>
      </c>
      <c r="D10" s="298">
        <v>3.4156367812269801</v>
      </c>
      <c r="E10" s="298">
        <v>7.5994205687367096</v>
      </c>
      <c r="F10" s="298">
        <v>23.850830737152702</v>
      </c>
      <c r="G10" s="298">
        <v>6.4559360280403197</v>
      </c>
      <c r="H10" s="298">
        <v>2.96185120503316</v>
      </c>
      <c r="I10" s="298">
        <v>2.4351628478923302</v>
      </c>
      <c r="J10" s="187">
        <v>3.9585929676714697E-2</v>
      </c>
      <c r="K10" s="298">
        <v>25.129322914422598</v>
      </c>
      <c r="L10" s="298">
        <v>9.9830600534591607</v>
      </c>
      <c r="M10" s="297">
        <v>-3.56E-2</v>
      </c>
      <c r="N10" s="298">
        <v>1.2351700000000001</v>
      </c>
      <c r="O10" s="298">
        <v>0.40742946878215203</v>
      </c>
      <c r="P10" s="298">
        <v>0.73192000000000002</v>
      </c>
      <c r="Q10" s="187">
        <v>0.47235509999999997</v>
      </c>
      <c r="R10" s="187">
        <v>8.4390000000000007E-2</v>
      </c>
      <c r="S10" s="296">
        <v>42985125449.751503</v>
      </c>
    </row>
    <row r="11" spans="1:16380" x14ac:dyDescent="0.35">
      <c r="C11" s="166" t="s">
        <v>963</v>
      </c>
      <c r="D11" s="298">
        <v>1.7168172106302799</v>
      </c>
      <c r="E11" s="298">
        <v>4.8618477165940703</v>
      </c>
      <c r="F11" s="298">
        <v>8.6634731492769195</v>
      </c>
      <c r="G11" s="298">
        <v>2.3107303322848902</v>
      </c>
      <c r="H11" s="298">
        <v>1.3059153702455599</v>
      </c>
      <c r="I11" s="298">
        <v>0.56821590997193305</v>
      </c>
      <c r="J11" s="187">
        <v>4.5608535914543197E-2</v>
      </c>
      <c r="K11" s="298">
        <v>12.6004073697433</v>
      </c>
      <c r="L11" s="298">
        <v>4.0459247196438</v>
      </c>
      <c r="M11" s="297">
        <v>6.08E-2</v>
      </c>
      <c r="N11" s="298">
        <v>1.83738</v>
      </c>
      <c r="O11" s="298">
        <v>0.36484710599992698</v>
      </c>
      <c r="P11" s="298">
        <v>0.85126999999999997</v>
      </c>
      <c r="Q11" s="187">
        <v>0.28892370000000001</v>
      </c>
      <c r="R11" s="187">
        <v>6.0400000000000002E-2</v>
      </c>
      <c r="S11" s="296">
        <v>21703754934.488602</v>
      </c>
    </row>
    <row r="12" spans="1:16380" x14ac:dyDescent="0.35">
      <c r="C12" s="166" t="s">
        <v>964</v>
      </c>
      <c r="D12" s="298">
        <v>3.13519732554726</v>
      </c>
      <c r="E12" s="298">
        <v>7.9493401085781903</v>
      </c>
      <c r="F12" s="298">
        <v>18.2711079345275</v>
      </c>
      <c r="G12" s="298">
        <v>6.6569726716295996</v>
      </c>
      <c r="H12" s="298">
        <v>3.6698290165053602</v>
      </c>
      <c r="I12" s="298">
        <v>2.2091919986950201</v>
      </c>
      <c r="J12" s="187">
        <v>4.6492328426290801E-2</v>
      </c>
      <c r="K12" s="298">
        <v>6.54159466798321</v>
      </c>
      <c r="L12" s="298">
        <v>14.195216226313301</v>
      </c>
      <c r="M12" s="297">
        <v>0</v>
      </c>
      <c r="N12" s="298">
        <v>1.3021199999999999</v>
      </c>
      <c r="O12" s="298">
        <v>0.41157441877603101</v>
      </c>
      <c r="P12" s="298">
        <v>0.87112999999999996</v>
      </c>
      <c r="Q12" s="187">
        <v>0.35333779999999998</v>
      </c>
      <c r="R12" s="187">
        <v>9.5090000000000008E-2</v>
      </c>
      <c r="S12" s="296">
        <v>19111145572.922298</v>
      </c>
    </row>
    <row r="13" spans="1:16380" x14ac:dyDescent="0.35">
      <c r="C13" s="166" t="s">
        <v>965</v>
      </c>
      <c r="D13" s="298">
        <v>1.7940851602152399</v>
      </c>
      <c r="E13" s="298">
        <v>5.4176048999853998</v>
      </c>
      <c r="F13" s="298">
        <v>12.283169718583499</v>
      </c>
      <c r="G13" s="298">
        <v>2.8195077352473499</v>
      </c>
      <c r="H13" s="298">
        <v>1.16367252192134</v>
      </c>
      <c r="I13" s="298">
        <v>0.78726541276941597</v>
      </c>
      <c r="J13" s="187">
        <v>5.7849837149173702E-2</v>
      </c>
      <c r="K13" s="298">
        <v>10.049203637942499</v>
      </c>
      <c r="L13" s="298">
        <v>5.0521087494764396</v>
      </c>
      <c r="M13" s="297">
        <v>3.5000000000000003E-2</v>
      </c>
      <c r="N13" s="298">
        <v>0.91256000000000004</v>
      </c>
      <c r="O13" s="298">
        <v>0.382376744648325</v>
      </c>
      <c r="P13" s="298">
        <v>1.0854699999999999</v>
      </c>
      <c r="Q13" s="187">
        <v>0.59065250000000002</v>
      </c>
      <c r="R13" s="187">
        <v>6.08E-2</v>
      </c>
      <c r="S13" s="296">
        <v>42327886175.417297</v>
      </c>
    </row>
    <row r="14" spans="1:16380" x14ac:dyDescent="0.35">
      <c r="C14" s="166" t="s">
        <v>958</v>
      </c>
      <c r="D14" s="298">
        <v>2.40861909789158</v>
      </c>
      <c r="E14" s="298">
        <v>5.2143384086412903</v>
      </c>
      <c r="F14" s="298">
        <v>11.216753883077301</v>
      </c>
      <c r="G14" s="298">
        <v>3.1268146252645099</v>
      </c>
      <c r="H14" s="298">
        <v>1.57991427187236</v>
      </c>
      <c r="I14" s="298">
        <v>1.2086568617501201</v>
      </c>
      <c r="J14" s="187">
        <v>4.0961823963959698E-2</v>
      </c>
      <c r="K14" s="298">
        <v>15.047326612952</v>
      </c>
      <c r="L14" s="298">
        <v>4.6607583883681896</v>
      </c>
      <c r="M14" s="299">
        <f>DDM!F14</f>
        <v>8.5721107927411652E-2</v>
      </c>
      <c r="N14" s="298">
        <v>1.6716</v>
      </c>
      <c r="O14" s="298">
        <v>0.38919154499891001</v>
      </c>
      <c r="P14" s="298">
        <v>0.80259000000000003</v>
      </c>
      <c r="Q14" s="187">
        <v>0.42344499999999996</v>
      </c>
      <c r="R14" s="187">
        <v>9.1300000000000006E-2</v>
      </c>
      <c r="S14" s="296">
        <v>28230294634.058498</v>
      </c>
    </row>
    <row r="15" spans="1:16380" x14ac:dyDescent="0.35">
      <c r="D15" s="128"/>
      <c r="E15" s="128"/>
      <c r="F15" s="128"/>
      <c r="G15" s="128"/>
      <c r="H15" s="128"/>
      <c r="I15" s="128"/>
      <c r="J15" s="128"/>
      <c r="K15" s="188"/>
      <c r="L15" s="188"/>
      <c r="M15" s="128"/>
      <c r="N15" s="128"/>
      <c r="O15" s="128"/>
      <c r="P15" s="128"/>
      <c r="Q15" s="128"/>
      <c r="R15" s="128"/>
      <c r="S15" s="128"/>
    </row>
    <row r="16" spans="1:16380" x14ac:dyDescent="0.35">
      <c r="C16" s="284" t="s">
        <v>1086</v>
      </c>
      <c r="D16" s="315">
        <f t="shared" ref="D16:J16" si="0">MAX(D7:D13)</f>
        <v>3.7062688690347998</v>
      </c>
      <c r="E16" s="315">
        <f t="shared" si="0"/>
        <v>7.9493401085781903</v>
      </c>
      <c r="F16" s="315">
        <f t="shared" si="0"/>
        <v>23.850830737152702</v>
      </c>
      <c r="G16" s="315">
        <f t="shared" si="0"/>
        <v>6.6569726716295996</v>
      </c>
      <c r="H16" s="315">
        <f t="shared" si="0"/>
        <v>4.1556963098673796</v>
      </c>
      <c r="I16" s="315">
        <f t="shared" si="0"/>
        <v>2.5792854589475702</v>
      </c>
      <c r="J16" s="285">
        <f t="shared" si="0"/>
        <v>5.9492002488807198E-2</v>
      </c>
      <c r="K16" s="315">
        <v>23.268548485139899</v>
      </c>
      <c r="L16" s="315">
        <v>13.161359724128801</v>
      </c>
      <c r="M16" s="285">
        <f t="shared" ref="M16:R16" si="1">MAX(M7:M13)</f>
        <v>9.4299999999999995E-2</v>
      </c>
      <c r="N16" s="315">
        <f t="shared" si="1"/>
        <v>1.83738</v>
      </c>
      <c r="O16" s="315">
        <f t="shared" si="1"/>
        <v>0.45937487620330397</v>
      </c>
      <c r="P16" s="315">
        <f t="shared" si="1"/>
        <v>1.10531</v>
      </c>
      <c r="Q16" s="285">
        <f t="shared" si="1"/>
        <v>0.59065250000000002</v>
      </c>
      <c r="R16" s="286">
        <f t="shared" si="1"/>
        <v>0.14669000000000001</v>
      </c>
      <c r="S16" s="321">
        <f t="shared" ref="S16" si="2">MAX(S7:S13)</f>
        <v>137719137162.48499</v>
      </c>
    </row>
    <row r="17" spans="3:21" x14ac:dyDescent="0.35">
      <c r="C17" s="287" t="s">
        <v>1087</v>
      </c>
      <c r="D17" s="316">
        <f t="shared" ref="D17:J17" si="3">AVERAGE(D7:D13)</f>
        <v>2.5129606454110132</v>
      </c>
      <c r="E17" s="316">
        <f t="shared" si="3"/>
        <v>6.3231419097172301</v>
      </c>
      <c r="F17" s="316">
        <f t="shared" si="3"/>
        <v>14.309245334798169</v>
      </c>
      <c r="G17" s="316">
        <f t="shared" si="3"/>
        <v>4.3538156986577956</v>
      </c>
      <c r="H17" s="316">
        <f t="shared" si="3"/>
        <v>2.2650749775895598</v>
      </c>
      <c r="I17" s="316">
        <f t="shared" si="3"/>
        <v>1.4639965065577252</v>
      </c>
      <c r="J17" s="319">
        <f t="shared" si="3"/>
        <v>4.7668525829953283E-2</v>
      </c>
      <c r="K17" s="316">
        <v>13.25845168449151</v>
      </c>
      <c r="L17" s="316">
        <v>7.6634986716479574</v>
      </c>
      <c r="M17" s="288">
        <f t="shared" ref="M17:R17" si="4">AVERAGE(M7:M13)</f>
        <v>2.9742857142857144E-2</v>
      </c>
      <c r="N17" s="316">
        <f t="shared" si="4"/>
        <v>1.314867142857143</v>
      </c>
      <c r="O17" s="316">
        <f t="shared" si="4"/>
        <v>0.39131330842382644</v>
      </c>
      <c r="P17" s="316">
        <f t="shared" si="4"/>
        <v>0.90028000000000008</v>
      </c>
      <c r="Q17" s="288">
        <f t="shared" si="4"/>
        <v>0.42791492857142854</v>
      </c>
      <c r="R17" s="289">
        <f t="shared" si="4"/>
        <v>8.5792857142857129E-2</v>
      </c>
      <c r="S17" s="322">
        <f t="shared" ref="S17" si="5">AVERAGE(S7:S13)</f>
        <v>45408046156.023788</v>
      </c>
    </row>
    <row r="18" spans="3:21" x14ac:dyDescent="0.35">
      <c r="C18" s="290" t="s">
        <v>1088</v>
      </c>
      <c r="D18" s="317">
        <f t="shared" ref="D18:J18" si="6">MEDIAN(D7:D13)</f>
        <v>2.21730779359009</v>
      </c>
      <c r="E18" s="317">
        <f t="shared" si="6"/>
        <v>5.4176048999853998</v>
      </c>
      <c r="F18" s="317">
        <f t="shared" si="6"/>
        <v>12.283169718583499</v>
      </c>
      <c r="G18" s="317">
        <f t="shared" si="6"/>
        <v>3.0425025332098001</v>
      </c>
      <c r="H18" s="317">
        <f t="shared" si="6"/>
        <v>1.8871343820575299</v>
      </c>
      <c r="I18" s="317">
        <f t="shared" si="6"/>
        <v>0.95215507976875302</v>
      </c>
      <c r="J18" s="320">
        <f t="shared" si="6"/>
        <v>4.6492328426290801E-2</v>
      </c>
      <c r="K18" s="317">
        <v>11.884447315294</v>
      </c>
      <c r="L18" s="317">
        <v>6.7325941700901399</v>
      </c>
      <c r="M18" s="291">
        <f t="shared" ref="M18:R18" si="7">MEDIAN(M7:M13)</f>
        <v>3.5000000000000003E-2</v>
      </c>
      <c r="N18" s="317">
        <f t="shared" si="7"/>
        <v>1.3021199999999999</v>
      </c>
      <c r="O18" s="317">
        <f t="shared" si="7"/>
        <v>0.400472168460559</v>
      </c>
      <c r="P18" s="317">
        <f t="shared" si="7"/>
        <v>0.87112999999999996</v>
      </c>
      <c r="Q18" s="291">
        <f t="shared" si="7"/>
        <v>0.41213959999999999</v>
      </c>
      <c r="R18" s="292">
        <f t="shared" si="7"/>
        <v>8.1890000000000004E-2</v>
      </c>
      <c r="S18" s="323">
        <f t="shared" ref="S18" si="8">MEDIAN(S7:S13)</f>
        <v>36617543357.380699</v>
      </c>
    </row>
    <row r="19" spans="3:21" x14ac:dyDescent="0.35">
      <c r="C19" s="293" t="s">
        <v>1089</v>
      </c>
      <c r="D19" s="318">
        <f t="shared" ref="D19:J19" si="9">MIN(D7:D13)</f>
        <v>1.6054113776324399</v>
      </c>
      <c r="E19" s="318">
        <f t="shared" si="9"/>
        <v>4.8618477165940703</v>
      </c>
      <c r="F19" s="318">
        <f t="shared" si="9"/>
        <v>8.6634731492769195</v>
      </c>
      <c r="G19" s="318">
        <f t="shared" si="9"/>
        <v>2.3107303322848902</v>
      </c>
      <c r="H19" s="318">
        <f t="shared" si="9"/>
        <v>0.71142603749658995</v>
      </c>
      <c r="I19" s="318">
        <f t="shared" si="9"/>
        <v>0.56821590997193305</v>
      </c>
      <c r="J19" s="294">
        <f t="shared" si="9"/>
        <v>3.4609164860983199E-2</v>
      </c>
      <c r="K19" s="318">
        <v>7.95812846179044</v>
      </c>
      <c r="L19" s="318">
        <v>3.8119299795461798</v>
      </c>
      <c r="M19" s="294">
        <f t="shared" ref="M19:R19" si="10">MIN(M7:M13)</f>
        <v>-3.56E-2</v>
      </c>
      <c r="N19" s="318">
        <f t="shared" si="10"/>
        <v>0.67845</v>
      </c>
      <c r="O19" s="318">
        <f t="shared" si="10"/>
        <v>0.31311837609648702</v>
      </c>
      <c r="P19" s="318">
        <f t="shared" si="10"/>
        <v>0.61716000000000004</v>
      </c>
      <c r="Q19" s="294">
        <f t="shared" si="10"/>
        <v>0.28892370000000001</v>
      </c>
      <c r="R19" s="295">
        <f t="shared" si="10"/>
        <v>6.0400000000000002E-2</v>
      </c>
      <c r="S19" s="324">
        <f t="shared" ref="S19" si="11">MIN(S7:S13)</f>
        <v>17391730439.7211</v>
      </c>
    </row>
    <row r="20" spans="3:21" x14ac:dyDescent="0.35">
      <c r="D20" s="128"/>
      <c r="E20" s="128"/>
      <c r="F20" s="128"/>
      <c r="G20" s="128"/>
      <c r="H20" s="128"/>
      <c r="I20" s="128"/>
      <c r="J20" s="128"/>
      <c r="K20" s="128"/>
      <c r="L20" s="128"/>
      <c r="M20" s="128"/>
      <c r="N20" s="128"/>
      <c r="O20" s="128"/>
      <c r="P20" s="128"/>
      <c r="Q20" s="128"/>
      <c r="R20" s="128"/>
      <c r="S20" s="128"/>
    </row>
    <row r="21" spans="3:21" x14ac:dyDescent="0.35">
      <c r="D21" s="128"/>
      <c r="E21" s="128"/>
      <c r="F21" s="128"/>
      <c r="G21" s="128"/>
      <c r="H21" s="128"/>
      <c r="I21" s="128"/>
      <c r="J21" s="128"/>
      <c r="K21" s="128"/>
      <c r="L21" s="128"/>
      <c r="M21" s="128"/>
      <c r="N21" s="128"/>
      <c r="O21" s="128"/>
      <c r="P21" s="128"/>
      <c r="Q21" s="128"/>
      <c r="R21" s="128"/>
      <c r="S21" s="128"/>
    </row>
    <row r="22" spans="3:21" x14ac:dyDescent="0.35">
      <c r="D22" s="128"/>
      <c r="E22" s="128"/>
      <c r="F22" s="128"/>
      <c r="G22" s="128"/>
      <c r="H22" s="128"/>
      <c r="I22" s="128"/>
      <c r="J22" s="128"/>
      <c r="K22" s="128"/>
      <c r="L22" s="128"/>
      <c r="M22" s="128"/>
      <c r="N22" s="128"/>
      <c r="O22" s="128"/>
      <c r="P22" s="128"/>
      <c r="Q22" s="128"/>
      <c r="R22" s="128"/>
      <c r="S22" s="128"/>
    </row>
    <row r="23" spans="3:21" x14ac:dyDescent="0.35">
      <c r="C23" s="193" t="s">
        <v>958</v>
      </c>
      <c r="D23" s="325">
        <f>D14</f>
        <v>2.40861909789158</v>
      </c>
      <c r="E23" s="325">
        <f t="shared" ref="E23:S23" si="12">E14</f>
        <v>5.2143384086412903</v>
      </c>
      <c r="F23" s="325">
        <f t="shared" si="12"/>
        <v>11.216753883077301</v>
      </c>
      <c r="G23" s="325">
        <f t="shared" si="12"/>
        <v>3.1268146252645099</v>
      </c>
      <c r="H23" s="325">
        <f t="shared" si="12"/>
        <v>1.57991427187236</v>
      </c>
      <c r="I23" s="325">
        <f t="shared" si="12"/>
        <v>1.2086568617501201</v>
      </c>
      <c r="J23" s="326">
        <f t="shared" si="12"/>
        <v>4.0961823963959698E-2</v>
      </c>
      <c r="K23" s="325">
        <f t="shared" si="12"/>
        <v>15.047326612952</v>
      </c>
      <c r="L23" s="325">
        <f t="shared" si="12"/>
        <v>4.6607583883681896</v>
      </c>
      <c r="M23" s="326">
        <f t="shared" si="12"/>
        <v>8.5721107927411652E-2</v>
      </c>
      <c r="N23" s="325">
        <f t="shared" si="12"/>
        <v>1.6716</v>
      </c>
      <c r="O23" s="325">
        <f t="shared" si="12"/>
        <v>0.38919154499891001</v>
      </c>
      <c r="P23" s="325">
        <f t="shared" si="12"/>
        <v>0.80259000000000003</v>
      </c>
      <c r="Q23" s="326">
        <f t="shared" si="12"/>
        <v>0.42344499999999996</v>
      </c>
      <c r="R23" s="326">
        <f t="shared" si="12"/>
        <v>9.1300000000000006E-2</v>
      </c>
      <c r="S23" s="194">
        <f t="shared" si="12"/>
        <v>28230294634.058498</v>
      </c>
    </row>
    <row r="24" spans="3:21" x14ac:dyDescent="0.35">
      <c r="C24" s="166"/>
      <c r="D24" s="186"/>
      <c r="E24" s="186"/>
      <c r="F24" s="186"/>
      <c r="G24" s="186"/>
      <c r="H24" s="186"/>
      <c r="I24" s="186"/>
      <c r="J24" s="186"/>
      <c r="K24" s="186"/>
      <c r="L24" s="186"/>
      <c r="M24" s="186"/>
      <c r="N24" s="186"/>
      <c r="O24" s="186"/>
      <c r="P24" s="186"/>
      <c r="Q24" s="186"/>
      <c r="R24" s="186"/>
      <c r="S24" s="186"/>
    </row>
    <row r="25" spans="3:21" x14ac:dyDescent="0.35">
      <c r="C25" s="195" t="s">
        <v>1093</v>
      </c>
      <c r="D25" s="196"/>
      <c r="E25" s="196"/>
      <c r="F25" s="196"/>
      <c r="G25" s="196"/>
      <c r="H25" s="196"/>
      <c r="I25" s="196"/>
      <c r="J25" s="197"/>
      <c r="K25" s="200"/>
      <c r="L25" s="200"/>
      <c r="M25" s="156" t="s">
        <v>1094</v>
      </c>
      <c r="N25" s="157"/>
      <c r="O25" s="157"/>
      <c r="P25" s="157"/>
      <c r="Q25" s="157"/>
      <c r="R25" s="157"/>
      <c r="S25" s="198"/>
    </row>
    <row r="26" spans="3:21" x14ac:dyDescent="0.35">
      <c r="C26" s="191" t="s">
        <v>1092</v>
      </c>
      <c r="D26" s="192" t="str">
        <f>IF(D$23&gt;D17,"Overvalued", "Undervalued")</f>
        <v>Undervalued</v>
      </c>
      <c r="E26" s="192" t="str">
        <f t="shared" ref="E26:J27" si="13">IF(E$23&gt;E17,"Overvalued", "Undervalued")</f>
        <v>Undervalued</v>
      </c>
      <c r="F26" s="192" t="str">
        <f t="shared" si="13"/>
        <v>Undervalued</v>
      </c>
      <c r="G26" s="192" t="str">
        <f t="shared" si="13"/>
        <v>Undervalued</v>
      </c>
      <c r="H26" s="192" t="str">
        <f t="shared" si="13"/>
        <v>Undervalued</v>
      </c>
      <c r="I26" s="192" t="str">
        <f t="shared" si="13"/>
        <v>Undervalued</v>
      </c>
      <c r="J26" s="192" t="str">
        <f t="shared" si="13"/>
        <v>Undervalued</v>
      </c>
      <c r="K26" s="192" t="str">
        <f t="shared" ref="K26:L26" si="14">IF(K$23&gt;K17,"Overvalued", "Undervalued")</f>
        <v>Overvalued</v>
      </c>
      <c r="L26" s="192" t="str">
        <f t="shared" si="14"/>
        <v>Undervalued</v>
      </c>
      <c r="M26" s="271">
        <f>_xlfn.RANK.AVG(M14,M7:M14)</f>
        <v>2</v>
      </c>
      <c r="N26" s="271">
        <f t="shared" ref="N26:S26" si="15">_xlfn.RANK.AVG(N14,N7:N14)</f>
        <v>3</v>
      </c>
      <c r="O26" s="271">
        <f t="shared" si="15"/>
        <v>5</v>
      </c>
      <c r="P26" s="271">
        <f t="shared" si="15"/>
        <v>6</v>
      </c>
      <c r="Q26" s="271">
        <f t="shared" si="15"/>
        <v>4</v>
      </c>
      <c r="R26" s="271">
        <f t="shared" si="15"/>
        <v>3</v>
      </c>
      <c r="S26" s="271">
        <f t="shared" si="15"/>
        <v>5</v>
      </c>
      <c r="U26" s="265"/>
    </row>
    <row r="27" spans="3:21" x14ac:dyDescent="0.35">
      <c r="C27" s="191" t="s">
        <v>1090</v>
      </c>
      <c r="D27" s="192" t="str">
        <f>IF(D$23&gt;D18,"Overvalued", "Undervalued")</f>
        <v>Overvalued</v>
      </c>
      <c r="E27" s="192" t="str">
        <f t="shared" si="13"/>
        <v>Undervalued</v>
      </c>
      <c r="F27" s="192" t="str">
        <f t="shared" si="13"/>
        <v>Undervalued</v>
      </c>
      <c r="G27" s="192" t="str">
        <f t="shared" si="13"/>
        <v>Overvalued</v>
      </c>
      <c r="H27" s="192" t="str">
        <f t="shared" si="13"/>
        <v>Undervalued</v>
      </c>
      <c r="I27" s="192" t="str">
        <f t="shared" si="13"/>
        <v>Overvalued</v>
      </c>
      <c r="J27" s="192" t="str">
        <f t="shared" si="13"/>
        <v>Undervalued</v>
      </c>
      <c r="K27" s="192" t="str">
        <f t="shared" ref="K27:L27" si="16">IF(K$23&gt;K18,"Overvalued", "Undervalued")</f>
        <v>Overvalued</v>
      </c>
      <c r="L27" s="192" t="str">
        <f t="shared" si="16"/>
        <v>Undervalued</v>
      </c>
      <c r="M27" s="199"/>
      <c r="N27" s="199"/>
      <c r="O27" s="199"/>
      <c r="P27" s="199"/>
      <c r="Q27" s="199"/>
      <c r="R27" s="199"/>
      <c r="S27" s="199"/>
    </row>
    <row r="30" spans="3:21" ht="18.5" x14ac:dyDescent="0.45">
      <c r="C30" s="250" t="s">
        <v>1264</v>
      </c>
      <c r="D30" s="250" t="s">
        <v>1265</v>
      </c>
      <c r="G30" s="244" t="s">
        <v>1281</v>
      </c>
      <c r="H30" s="245"/>
      <c r="I30" s="247"/>
    </row>
    <row r="31" spans="3:21" x14ac:dyDescent="0.35">
      <c r="C31" t="s">
        <v>1056</v>
      </c>
      <c r="D31" s="249" cm="1">
        <f t="array" ref="D31:D37">TRANSPOSE(M26:S26)</f>
        <v>2</v>
      </c>
      <c r="G31" s="115" t="s">
        <v>1278</v>
      </c>
      <c r="H31" s="84" t="str">
        <f>money</f>
        <v>[£'M]</v>
      </c>
      <c r="I31" s="85">
        <f ca="1">'3-Statement'!N36</f>
        <v>1573.987336609154</v>
      </c>
    </row>
    <row r="32" spans="3:21" x14ac:dyDescent="0.35">
      <c r="C32" t="s">
        <v>1274</v>
      </c>
      <c r="D32" s="249">
        <v>3</v>
      </c>
      <c r="G32" s="86" t="s">
        <v>703</v>
      </c>
      <c r="H32" s="88" t="s">
        <v>705</v>
      </c>
      <c r="I32" s="89">
        <f>Inputs!F59/1000000</f>
        <v>9967.6398659999995</v>
      </c>
    </row>
    <row r="33" spans="3:9" x14ac:dyDescent="0.35">
      <c r="C33" t="s">
        <v>680</v>
      </c>
      <c r="D33" s="249">
        <v>5</v>
      </c>
      <c r="G33" s="86" t="s">
        <v>1277</v>
      </c>
      <c r="H33" s="88" t="s">
        <v>1280</v>
      </c>
      <c r="I33" s="89">
        <f>F17</f>
        <v>14.309245334798169</v>
      </c>
    </row>
    <row r="34" spans="3:9" x14ac:dyDescent="0.35">
      <c r="C34" s="66" t="s">
        <v>692</v>
      </c>
      <c r="D34" s="249">
        <v>6</v>
      </c>
      <c r="G34" s="86" t="s">
        <v>1279</v>
      </c>
      <c r="H34" s="88" t="str">
        <f>money</f>
        <v>[£'M]</v>
      </c>
      <c r="I34" s="89">
        <f ca="1">I31/I32</f>
        <v>0.15790973166858535</v>
      </c>
    </row>
    <row r="35" spans="3:9" x14ac:dyDescent="0.35">
      <c r="C35" t="s">
        <v>1275</v>
      </c>
      <c r="D35" s="249">
        <v>4</v>
      </c>
      <c r="G35" s="86" t="s">
        <v>1282</v>
      </c>
      <c r="H35" s="88" t="s">
        <v>721</v>
      </c>
      <c r="I35" s="89">
        <f ca="1">I33*I34*100</f>
        <v>225.95690911979352</v>
      </c>
    </row>
    <row r="36" spans="3:9" x14ac:dyDescent="0.35">
      <c r="C36" t="s">
        <v>1015</v>
      </c>
      <c r="D36" s="249">
        <v>3</v>
      </c>
      <c r="G36" s="86" t="s">
        <v>704</v>
      </c>
      <c r="H36" s="88" t="s">
        <v>721</v>
      </c>
      <c r="I36" s="89">
        <f>'RES.INC'!F63</f>
        <v>209.7</v>
      </c>
    </row>
    <row r="37" spans="3:9" x14ac:dyDescent="0.35">
      <c r="C37" t="s">
        <v>1276</v>
      </c>
      <c r="D37" s="249">
        <v>5</v>
      </c>
      <c r="G37" s="239" t="s">
        <v>1267</v>
      </c>
      <c r="H37" s="91" t="s">
        <v>1268</v>
      </c>
      <c r="I37" s="92" t="str">
        <f ca="1">IF(I36&lt;I35, "Undervalued", "Overvalued")</f>
        <v>Undervalued</v>
      </c>
    </row>
  </sheetData>
  <conditionalFormatting sqref="C5">
    <cfRule type="expression" dxfId="4" priority="1">
      <formula>bs_check&lt;&gt;0</formula>
    </cfRule>
  </conditionalFormatting>
  <pageMargins left="0.70866141732283472" right="0.70866141732283472" top="0.74803149606299213" bottom="0.74803149606299213" header="0.31496062992125984" footer="0.31496062992125984"/>
  <pageSetup scale="69" fitToHeight="0" orientation="landscape" r:id="rId1"/>
  <headerFooter>
    <oddFooter xml:space="preserve">&amp;LOpeoluwa Kuku
 H00529768
&amp;F&amp;C&amp;P of &amp;N&amp;RPrinted on &amp;D 
at &amp;D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840E2-4C6C-4247-82BD-7C7007887FB5}">
  <sheetPr>
    <tabColor theme="5" tint="0.39997558519241921"/>
    <pageSetUpPr fitToPage="1"/>
  </sheetPr>
  <dimension ref="A1:U86"/>
  <sheetViews>
    <sheetView showGridLines="0" zoomScale="70" zoomScaleNormal="70" workbookViewId="0"/>
  </sheetViews>
  <sheetFormatPr defaultColWidth="0" defaultRowHeight="14.5" x14ac:dyDescent="0.35"/>
  <cols>
    <col min="1" max="3" width="2.26953125" customWidth="1"/>
    <col min="4" max="4" width="15.54296875" customWidth="1"/>
    <col min="5" max="6" width="8.7265625" customWidth="1"/>
    <col min="7" max="7" width="10.08984375" bestFit="1" customWidth="1"/>
    <col min="8" max="8" width="9.453125" customWidth="1"/>
    <col min="9" max="9" width="8.7265625" customWidth="1"/>
    <col min="10" max="10" width="9.26953125" bestFit="1" customWidth="1"/>
    <col min="11" max="12" width="8.7265625" customWidth="1"/>
    <col min="13" max="13" width="18.08984375" customWidth="1"/>
    <col min="14" max="21" width="8.7265625" customWidth="1"/>
    <col min="22" max="16384" width="8.7265625" hidden="1"/>
  </cols>
  <sheetData>
    <row r="1" spans="1:21" ht="7" customHeight="1" x14ac:dyDescent="0.35">
      <c r="A1" s="22"/>
      <c r="B1" s="22"/>
      <c r="C1" s="22"/>
      <c r="D1" s="22"/>
      <c r="E1" s="22"/>
      <c r="F1" s="22"/>
      <c r="G1" s="22"/>
      <c r="H1" s="22"/>
      <c r="I1" s="22"/>
      <c r="J1" s="22"/>
      <c r="K1" s="22"/>
      <c r="L1" s="22"/>
      <c r="M1" s="22"/>
      <c r="N1" s="22"/>
      <c r="O1" s="22"/>
      <c r="P1" s="22"/>
      <c r="Q1" s="22"/>
      <c r="R1" s="22"/>
      <c r="S1" s="22"/>
      <c r="T1" s="22"/>
      <c r="U1" s="22"/>
    </row>
    <row r="2" spans="1:21" ht="47.5" x14ac:dyDescent="1.1000000000000001">
      <c r="A2" s="22"/>
      <c r="B2" s="23" t="str">
        <f>company_name</f>
        <v>BT GROUP PLC</v>
      </c>
      <c r="C2" s="24"/>
      <c r="D2" s="22"/>
      <c r="E2" s="22"/>
      <c r="F2" s="22"/>
      <c r="G2" s="22"/>
      <c r="H2" s="22"/>
      <c r="I2" s="22"/>
      <c r="J2" s="22"/>
      <c r="K2" s="22"/>
      <c r="L2" s="22"/>
      <c r="M2" s="22"/>
      <c r="N2" s="22"/>
      <c r="O2" s="22"/>
      <c r="P2" s="22"/>
      <c r="Q2" s="22"/>
      <c r="R2" s="22"/>
      <c r="S2" s="22"/>
      <c r="T2" s="22"/>
      <c r="U2" s="22"/>
    </row>
    <row r="3" spans="1:21" ht="26" x14ac:dyDescent="0.6">
      <c r="A3" s="22"/>
      <c r="B3" s="22"/>
      <c r="C3" s="25" t="s">
        <v>18</v>
      </c>
      <c r="D3" s="22"/>
      <c r="E3" s="22"/>
      <c r="F3" s="22"/>
      <c r="G3" s="22"/>
      <c r="H3" s="22"/>
      <c r="I3" s="22"/>
      <c r="J3" s="22"/>
      <c r="K3" s="22"/>
      <c r="L3" s="22"/>
      <c r="M3" s="22"/>
      <c r="N3" s="22"/>
      <c r="O3" s="22"/>
      <c r="P3" s="22"/>
      <c r="Q3" s="22"/>
      <c r="R3" s="22"/>
      <c r="S3" s="22"/>
      <c r="T3" s="22"/>
      <c r="U3" s="22"/>
    </row>
    <row r="4" spans="1:21" x14ac:dyDescent="0.35">
      <c r="A4" s="22"/>
      <c r="B4" s="22"/>
      <c r="C4" s="22"/>
      <c r="D4" s="22"/>
      <c r="E4" s="22"/>
      <c r="F4" s="22"/>
      <c r="G4" s="22"/>
      <c r="H4" s="22"/>
      <c r="I4" s="22"/>
      <c r="J4" s="22"/>
      <c r="K4" s="22"/>
      <c r="L4" s="22"/>
      <c r="M4" s="22"/>
      <c r="N4" s="22"/>
      <c r="O4" s="22"/>
      <c r="P4" s="22"/>
      <c r="Q4" s="22"/>
      <c r="R4" s="22"/>
      <c r="S4" s="22"/>
      <c r="T4" s="22"/>
      <c r="U4" s="22"/>
    </row>
    <row r="5" spans="1:21" x14ac:dyDescent="0.35">
      <c r="C5" t="str">
        <f ca="1">"Balance Sheet Check: "&amp;IF(bs_check=0,"Balanced as all things should be","Error!!!")</f>
        <v>Balance Sheet Check: Balanced as all things should be</v>
      </c>
    </row>
    <row r="7" spans="1:21" s="83" customFormat="1" x14ac:dyDescent="0.35"/>
    <row r="8" spans="1:21" ht="21.5" thickBot="1" x14ac:dyDescent="0.55000000000000004">
      <c r="C8" s="21" t="s">
        <v>18</v>
      </c>
      <c r="D8" s="21"/>
      <c r="E8" s="21"/>
      <c r="F8" s="21"/>
      <c r="G8" s="21"/>
      <c r="H8" s="21"/>
      <c r="I8" s="21"/>
      <c r="J8" s="21"/>
      <c r="K8" s="21"/>
      <c r="L8" s="21"/>
      <c r="M8" s="21"/>
      <c r="N8" s="21"/>
      <c r="O8" s="21"/>
      <c r="P8" s="21"/>
      <c r="Q8" s="21"/>
      <c r="R8" s="21"/>
      <c r="S8" s="21"/>
      <c r="T8" s="21"/>
      <c r="U8" s="21"/>
    </row>
    <row r="9" spans="1:21" ht="15" thickTop="1" x14ac:dyDescent="0.35">
      <c r="D9" s="20" t="s">
        <v>14</v>
      </c>
      <c r="E9" s="20"/>
      <c r="F9" s="20"/>
      <c r="G9" s="20"/>
      <c r="H9" s="20"/>
    </row>
    <row r="10" spans="1:21" x14ac:dyDescent="0.35">
      <c r="D10" s="17" t="s">
        <v>46</v>
      </c>
      <c r="E10" s="17" t="s">
        <v>45</v>
      </c>
      <c r="F10" s="17"/>
    </row>
    <row r="11" spans="1:21" x14ac:dyDescent="0.35">
      <c r="D11" s="172" t="s">
        <v>15</v>
      </c>
      <c r="E11" s="173">
        <f>Inputs!F61</f>
        <v>5.3699999999999998E-2</v>
      </c>
    </row>
    <row r="12" spans="1:21" x14ac:dyDescent="0.35">
      <c r="D12" t="s">
        <v>16</v>
      </c>
      <c r="E12" s="15">
        <f>_xlfn.COVARIANCE.S(G20:G86,H20:H86)/_xlfn.VAR.S(H20:H86)</f>
        <v>1.0371912016974159</v>
      </c>
    </row>
    <row r="13" spans="1:21" x14ac:dyDescent="0.35">
      <c r="D13" t="s">
        <v>47</v>
      </c>
      <c r="E13" s="14">
        <f>(1+MEDIAN(H20:H86))^4-1</f>
        <v>9.1209484763348669E-2</v>
      </c>
      <c r="K13" s="174"/>
    </row>
    <row r="14" spans="1:21" x14ac:dyDescent="0.35">
      <c r="D14" t="s">
        <v>17</v>
      </c>
      <c r="E14" s="16">
        <f>E13-E11</f>
        <v>3.7509484763348672E-2</v>
      </c>
    </row>
    <row r="15" spans="1:21" x14ac:dyDescent="0.35">
      <c r="D15" s="18" t="s">
        <v>18</v>
      </c>
      <c r="E15" s="19">
        <f>E11+E12*E14</f>
        <v>9.2604507576748513E-2</v>
      </c>
    </row>
    <row r="17" spans="3:21" ht="17.5" thickBot="1" x14ac:dyDescent="0.45">
      <c r="C17" s="58" t="s">
        <v>1261</v>
      </c>
      <c r="D17" s="58"/>
      <c r="E17" s="58"/>
      <c r="F17" s="58"/>
      <c r="G17" s="58"/>
      <c r="H17" s="58"/>
      <c r="I17" s="58"/>
      <c r="J17" s="58"/>
      <c r="K17" s="58"/>
      <c r="L17" s="58"/>
      <c r="M17" s="58"/>
      <c r="N17" s="58"/>
      <c r="O17" s="58"/>
      <c r="P17" s="58"/>
      <c r="Q17" s="58"/>
      <c r="R17" s="58"/>
      <c r="S17" s="58"/>
      <c r="T17" s="58"/>
      <c r="U17" s="58"/>
    </row>
    <row r="18" spans="3:21" ht="15" thickTop="1" x14ac:dyDescent="0.35">
      <c r="N18" s="176"/>
    </row>
    <row r="19" spans="3:21" x14ac:dyDescent="0.35">
      <c r="D19" s="1" t="s">
        <v>10</v>
      </c>
      <c r="E19" s="1" t="s">
        <v>11</v>
      </c>
      <c r="F19" s="1" t="s">
        <v>12</v>
      </c>
      <c r="G19" s="1" t="s">
        <v>1</v>
      </c>
      <c r="H19" s="7" t="s">
        <v>13</v>
      </c>
      <c r="I19" s="7" t="s">
        <v>22</v>
      </c>
      <c r="J19" s="7" t="s">
        <v>17</v>
      </c>
      <c r="M19" s="166"/>
      <c r="N19" s="177"/>
    </row>
    <row r="20" spans="3:21" x14ac:dyDescent="0.35">
      <c r="D20" s="2">
        <v>46295</v>
      </c>
      <c r="E20" s="3">
        <v>192</v>
      </c>
      <c r="F20" s="4">
        <v>1.9000000000000099</v>
      </c>
      <c r="G20" s="5">
        <v>9.9947396107312302E-3</v>
      </c>
      <c r="H20" s="175">
        <v>1.03723688021095E-2</v>
      </c>
      <c r="I20" s="11">
        <f>_xlfn.XLOOKUP(C21,'FRED YTM'!$B$2:$B$802,'FRED YTM'!$C$2:$C$802)/(4*100)</f>
        <v>1.2484249999999999E-2</v>
      </c>
      <c r="J20" s="6">
        <f t="shared" ref="J20:J39" si="0">H20-I20</f>
        <v>-2.1118811978904986E-3</v>
      </c>
      <c r="M20" s="166"/>
      <c r="N20" s="177"/>
    </row>
    <row r="21" spans="3:21" x14ac:dyDescent="0.35">
      <c r="C21" s="12" t="s">
        <v>23</v>
      </c>
      <c r="D21" s="2">
        <v>46203</v>
      </c>
      <c r="E21" s="3">
        <v>190.1</v>
      </c>
      <c r="F21" s="4">
        <v>-20.399999999999999</v>
      </c>
      <c r="G21" s="5">
        <v>-9.6912114014251802E-2</v>
      </c>
      <c r="H21" s="175">
        <v>3.15109886060463E-2</v>
      </c>
      <c r="I21" s="11">
        <f>_xlfn.XLOOKUP(C22,'FRED YTM'!$B$2:$B$802,'FRED YTM'!$C$2:$C$802)/(4*100)</f>
        <v>1.1990000000000001E-2</v>
      </c>
      <c r="J21" s="6">
        <f t="shared" si="0"/>
        <v>1.9520988606046299E-2</v>
      </c>
      <c r="M21" s="166"/>
      <c r="N21" s="177"/>
    </row>
    <row r="22" spans="3:21" x14ac:dyDescent="0.35">
      <c r="C22" s="12" t="s">
        <v>24</v>
      </c>
      <c r="D22" s="2">
        <v>46112</v>
      </c>
      <c r="E22" s="3">
        <v>210.5</v>
      </c>
      <c r="F22" s="4">
        <v>26.45</v>
      </c>
      <c r="G22" s="5">
        <v>0.143710948111926</v>
      </c>
      <c r="H22" s="175">
        <v>2.4676328969388098E-2</v>
      </c>
      <c r="I22" s="11">
        <f>_xlfn.XLOOKUP(C23,'FRED YTM'!$B$2:$B$802,'FRED YTM'!$C$2:$C$802)/(4*100)</f>
        <v>1.175175E-2</v>
      </c>
      <c r="J22" s="6">
        <f t="shared" si="0"/>
        <v>1.2924578969388098E-2</v>
      </c>
      <c r="M22" s="166"/>
      <c r="N22" s="177"/>
    </row>
    <row r="23" spans="3:21" x14ac:dyDescent="0.35">
      <c r="C23" s="12" t="s">
        <v>25</v>
      </c>
      <c r="D23" s="2">
        <v>46022</v>
      </c>
      <c r="E23" s="3">
        <v>184.05</v>
      </c>
      <c r="F23" s="4">
        <v>-7.0999999999999899</v>
      </c>
      <c r="G23" s="5">
        <v>-3.71436044990845E-2</v>
      </c>
      <c r="H23" s="175">
        <v>6.2130832485778602E-2</v>
      </c>
      <c r="I23" s="11">
        <f>_xlfn.XLOOKUP(C24,'FRED YTM'!$B$2:$B$802,'FRED YTM'!$C$2:$C$802)/(4*100)</f>
        <v>1.1206499999999999E-2</v>
      </c>
      <c r="J23" s="6">
        <f t="shared" si="0"/>
        <v>5.0924332485778601E-2</v>
      </c>
      <c r="M23" s="166"/>
      <c r="N23" s="177"/>
    </row>
    <row r="24" spans="3:21" x14ac:dyDescent="0.35">
      <c r="C24" s="12" t="s">
        <v>26</v>
      </c>
      <c r="D24" s="2">
        <v>45930</v>
      </c>
      <c r="E24" s="3">
        <v>191.15</v>
      </c>
      <c r="F24" s="4">
        <v>-2.5999999999999899</v>
      </c>
      <c r="G24" s="5">
        <v>-1.34193548387096E-2</v>
      </c>
      <c r="H24" s="175">
        <v>6.7283722331799398E-2</v>
      </c>
      <c r="I24" s="11">
        <f>_xlfn.XLOOKUP(C25,'FRED YTM'!$B$2:$B$802,'FRED YTM'!$C$2:$C$802)/(4*100)</f>
        <v>1.1721250000000001E-2</v>
      </c>
      <c r="J24" s="6">
        <f t="shared" si="0"/>
        <v>5.5562472331799395E-2</v>
      </c>
      <c r="M24" s="166"/>
      <c r="N24" s="177"/>
    </row>
    <row r="25" spans="3:21" x14ac:dyDescent="0.35">
      <c r="C25" s="12" t="s">
        <v>27</v>
      </c>
      <c r="D25" s="2">
        <v>45838</v>
      </c>
      <c r="E25" s="3">
        <v>193.75</v>
      </c>
      <c r="F25" s="4">
        <v>27.9</v>
      </c>
      <c r="G25" s="5">
        <v>0.168224299065421</v>
      </c>
      <c r="H25" s="175">
        <v>2.0756605354190501E-2</v>
      </c>
      <c r="I25" s="11">
        <f>_xlfn.XLOOKUP(C26,'FRED YTM'!$B$2:$B$802,'FRED YTM'!$C$2:$C$802)/(4*100)</f>
        <v>1.1311999999999999E-2</v>
      </c>
      <c r="J25" s="6">
        <f t="shared" si="0"/>
        <v>9.4446053541905016E-3</v>
      </c>
      <c r="M25" s="166"/>
      <c r="N25" s="177"/>
    </row>
    <row r="26" spans="3:21" x14ac:dyDescent="0.35">
      <c r="C26" s="12" t="s">
        <v>28</v>
      </c>
      <c r="D26" s="2">
        <v>45747</v>
      </c>
      <c r="E26" s="3">
        <v>165.85</v>
      </c>
      <c r="F26" s="4">
        <v>21.8</v>
      </c>
      <c r="G26" s="5">
        <v>0.15133634154807299</v>
      </c>
      <c r="H26" s="175">
        <v>5.0139360970608102E-2</v>
      </c>
      <c r="I26" s="11">
        <f>_xlfn.XLOOKUP(C27,'FRED YTM'!$B$2:$B$802,'FRED YTM'!$C$2:$C$802)/(4*100)</f>
        <v>1.1612000000000001E-2</v>
      </c>
      <c r="J26" s="6">
        <f t="shared" si="0"/>
        <v>3.8527360970608104E-2</v>
      </c>
    </row>
    <row r="27" spans="3:21" x14ac:dyDescent="0.35">
      <c r="C27" s="12" t="s">
        <v>29</v>
      </c>
      <c r="D27" s="2">
        <v>45657</v>
      </c>
      <c r="E27" s="3">
        <v>144.05000000000001</v>
      </c>
      <c r="F27" s="4">
        <v>-3.8499999999999899</v>
      </c>
      <c r="G27" s="5">
        <v>-2.60311020960108E-2</v>
      </c>
      <c r="H27" s="175">
        <v>-7.7613679820807803E-3</v>
      </c>
      <c r="I27" s="11">
        <f>_xlfn.XLOOKUP(C28,'FRED YTM'!$B$2:$B$802,'FRED YTM'!$C$2:$C$802)/(4*100)</f>
        <v>1.1086249999999999E-2</v>
      </c>
      <c r="J27" s="6">
        <f t="shared" si="0"/>
        <v>-1.8847617982080778E-2</v>
      </c>
    </row>
    <row r="28" spans="3:21" x14ac:dyDescent="0.35">
      <c r="C28" s="12" t="s">
        <v>30</v>
      </c>
      <c r="D28" s="2">
        <v>45565</v>
      </c>
      <c r="E28" s="3">
        <v>147.9</v>
      </c>
      <c r="F28" s="4">
        <v>7.5500000000000096</v>
      </c>
      <c r="G28" s="5">
        <v>5.3794086213038897E-2</v>
      </c>
      <c r="H28" s="175">
        <v>8.9207409984175708E-3</v>
      </c>
      <c r="I28" s="11">
        <f>_xlfn.XLOOKUP(C29,'FRED YTM'!$B$2:$B$802,'FRED YTM'!$C$2:$C$802)/(4*100)</f>
        <v>9.7632499999999994E-3</v>
      </c>
      <c r="J28" s="6">
        <f t="shared" si="0"/>
        <v>-8.425090015824286E-4</v>
      </c>
    </row>
    <row r="29" spans="3:21" x14ac:dyDescent="0.35">
      <c r="C29" s="12" t="s">
        <v>31</v>
      </c>
      <c r="D29" s="2">
        <v>45473</v>
      </c>
      <c r="E29" s="3">
        <v>140.35</v>
      </c>
      <c r="F29" s="4">
        <v>30.7</v>
      </c>
      <c r="G29" s="5">
        <v>0.27998176014591902</v>
      </c>
      <c r="H29" s="175">
        <v>2.6595008940449801E-2</v>
      </c>
      <c r="I29" s="11">
        <f>_xlfn.XLOOKUP(C30,'FRED YTM'!$B$2:$B$802,'FRED YTM'!$C$2:$C$802)/(4*100)</f>
        <v>1.0410999999999998E-2</v>
      </c>
      <c r="J29" s="6">
        <f t="shared" si="0"/>
        <v>1.6184008940449801E-2</v>
      </c>
    </row>
    <row r="30" spans="3:21" x14ac:dyDescent="0.35">
      <c r="C30" s="12" t="s">
        <v>32</v>
      </c>
      <c r="D30" s="2">
        <v>45382</v>
      </c>
      <c r="E30" s="3">
        <v>109.65</v>
      </c>
      <c r="F30" s="4">
        <v>-13.95</v>
      </c>
      <c r="G30" s="5">
        <v>-0.112864077669903</v>
      </c>
      <c r="H30" s="175">
        <v>2.8368445826070302E-2</v>
      </c>
      <c r="I30" s="11">
        <f>_xlfn.XLOOKUP(C31,'FRED YTM'!$B$2:$B$802,'FRED YTM'!$C$2:$C$802)/(4*100)</f>
        <v>1.0082500000000001E-2</v>
      </c>
      <c r="J30" s="6">
        <f t="shared" si="0"/>
        <v>1.82859458260703E-2</v>
      </c>
    </row>
    <row r="31" spans="3:21" x14ac:dyDescent="0.35">
      <c r="C31" s="12" t="s">
        <v>33</v>
      </c>
      <c r="D31" s="2">
        <v>45291</v>
      </c>
      <c r="E31" s="3">
        <v>123.6</v>
      </c>
      <c r="F31" s="4">
        <v>6.8999999999999897</v>
      </c>
      <c r="G31" s="5">
        <v>5.9125964010282701E-2</v>
      </c>
      <c r="H31" s="175">
        <v>1.64509311153405E-2</v>
      </c>
      <c r="I31" s="11">
        <f>_xlfn.XLOOKUP(C32,'FRED YTM'!$B$2:$B$802,'FRED YTM'!$C$2:$C$802)/(4*100)</f>
        <v>9.6555000000000009E-3</v>
      </c>
      <c r="J31" s="6">
        <f t="shared" si="0"/>
        <v>6.7954311153404987E-3</v>
      </c>
    </row>
    <row r="32" spans="3:21" x14ac:dyDescent="0.35">
      <c r="C32" s="12" t="s">
        <v>34</v>
      </c>
      <c r="D32" s="2">
        <v>45199</v>
      </c>
      <c r="E32" s="3">
        <v>116.7</v>
      </c>
      <c r="F32" s="4">
        <v>-5.6499999999999897</v>
      </c>
      <c r="G32" s="5">
        <v>-4.6178994687372202E-2</v>
      </c>
      <c r="H32" s="175">
        <v>1.0163937473527999E-2</v>
      </c>
      <c r="I32" s="11">
        <f>_xlfn.XLOOKUP(C33,'FRED YTM'!$B$2:$B$802,'FRED YTM'!$C$2:$C$802)/(4*100)</f>
        <v>1.1049750000000001E-2</v>
      </c>
      <c r="J32" s="6">
        <f t="shared" si="0"/>
        <v>-8.8581252647200112E-4</v>
      </c>
    </row>
    <row r="33" spans="3:10" x14ac:dyDescent="0.35">
      <c r="C33" s="12" t="s">
        <v>35</v>
      </c>
      <c r="D33" s="2">
        <v>45107</v>
      </c>
      <c r="E33" s="3">
        <v>122.35</v>
      </c>
      <c r="F33" s="4">
        <v>-23.45</v>
      </c>
      <c r="G33" s="5">
        <v>-0.16083676268861499</v>
      </c>
      <c r="H33" s="175">
        <v>-1.31306884144376E-2</v>
      </c>
      <c r="I33" s="11">
        <f>_xlfn.XLOOKUP(C34,'FRED YTM'!$B$2:$B$802,'FRED YTM'!$C$2:$C$802)/(4*100)</f>
        <v>1.0914749999999999E-2</v>
      </c>
      <c r="J33" s="6">
        <f t="shared" si="0"/>
        <v>-2.4045438414437598E-2</v>
      </c>
    </row>
    <row r="34" spans="3:10" x14ac:dyDescent="0.35">
      <c r="C34" s="12" t="s">
        <v>36</v>
      </c>
      <c r="D34" s="2">
        <v>45016</v>
      </c>
      <c r="E34" s="3">
        <v>145.80000000000001</v>
      </c>
      <c r="F34" s="4">
        <v>33.75</v>
      </c>
      <c r="G34" s="5">
        <v>0.30120481927710901</v>
      </c>
      <c r="H34" s="175">
        <v>2.41554321541009E-2</v>
      </c>
      <c r="I34" s="11">
        <f>_xlfn.XLOOKUP(C35,'FRED YTM'!$B$2:$B$802,'FRED YTM'!$C$2:$C$802)/(4*100)</f>
        <v>8.9095000000000008E-3</v>
      </c>
      <c r="J34" s="6">
        <f t="shared" si="0"/>
        <v>1.5245932154100899E-2</v>
      </c>
    </row>
    <row r="35" spans="3:10" x14ac:dyDescent="0.35">
      <c r="C35" s="12" t="s">
        <v>37</v>
      </c>
      <c r="D35" s="2">
        <v>44926</v>
      </c>
      <c r="E35" s="3">
        <v>112.05</v>
      </c>
      <c r="F35" s="4">
        <v>-9.3000000000000007</v>
      </c>
      <c r="G35" s="5">
        <v>-7.6637824474660096E-2</v>
      </c>
      <c r="H35" s="175">
        <v>8.0932024526350399E-2</v>
      </c>
      <c r="I35" s="11">
        <f>_xlfn.XLOOKUP(C36,'FRED YTM'!$B$2:$B$802,'FRED YTM'!$C$2:$C$802)/(4*100)</f>
        <v>8.7537499999999994E-3</v>
      </c>
      <c r="J35" s="6">
        <f t="shared" si="0"/>
        <v>7.2178274526350394E-2</v>
      </c>
    </row>
    <row r="36" spans="3:10" x14ac:dyDescent="0.35">
      <c r="C36" s="12" t="s">
        <v>38</v>
      </c>
      <c r="D36" s="2">
        <v>44834</v>
      </c>
      <c r="E36" s="3">
        <v>121.35</v>
      </c>
      <c r="F36" s="4">
        <v>-64.95</v>
      </c>
      <c r="G36" s="5">
        <v>-0.34863123993558798</v>
      </c>
      <c r="H36" s="175">
        <v>-3.8423663185145403E-2</v>
      </c>
      <c r="I36" s="11">
        <f>_xlfn.XLOOKUP(C37,'FRED YTM'!$B$2:$B$802,'FRED YTM'!$C$2:$C$802)/(4*100)</f>
        <v>8.7517500000000008E-3</v>
      </c>
      <c r="J36" s="6">
        <f t="shared" si="0"/>
        <v>-4.7175413185145405E-2</v>
      </c>
    </row>
    <row r="37" spans="3:10" x14ac:dyDescent="0.35">
      <c r="C37" s="12" t="s">
        <v>39</v>
      </c>
      <c r="D37" s="2">
        <v>44742</v>
      </c>
      <c r="E37" s="3">
        <v>186.3</v>
      </c>
      <c r="F37" s="4">
        <v>4.1000000000000201</v>
      </c>
      <c r="G37" s="5">
        <v>2.2502744237102201E-2</v>
      </c>
      <c r="H37" s="175">
        <v>-4.6090307197751999E-2</v>
      </c>
      <c r="I37" s="11">
        <f>_xlfn.XLOOKUP(C38,'FRED YTM'!$B$2:$B$802,'FRED YTM'!$C$2:$C$802)/(4*100)</f>
        <v>5.9560000000000004E-3</v>
      </c>
      <c r="J37" s="6">
        <f t="shared" si="0"/>
        <v>-5.2046307197752002E-2</v>
      </c>
    </row>
    <row r="38" spans="3:10" x14ac:dyDescent="0.35">
      <c r="C38" s="12" t="s">
        <v>40</v>
      </c>
      <c r="D38" s="2">
        <v>44651</v>
      </c>
      <c r="E38" s="3">
        <v>182.2</v>
      </c>
      <c r="F38" s="4">
        <v>12.65</v>
      </c>
      <c r="G38" s="5">
        <v>7.4609259805367006E-2</v>
      </c>
      <c r="H38" s="175">
        <v>1.77587229536302E-2</v>
      </c>
      <c r="I38" s="11">
        <f>_xlfn.XLOOKUP(C39,'FRED YTM'!$B$2:$B$802,'FRED YTM'!$C$2:$C$802)/(4*100)</f>
        <v>3.8642500000000001E-3</v>
      </c>
      <c r="J38" s="6">
        <f t="shared" si="0"/>
        <v>1.3894472953630201E-2</v>
      </c>
    </row>
    <row r="39" spans="3:10" x14ac:dyDescent="0.35">
      <c r="C39" s="12" t="s">
        <v>41</v>
      </c>
      <c r="D39" s="2">
        <v>44561</v>
      </c>
      <c r="E39" s="3">
        <v>169.55</v>
      </c>
      <c r="F39" s="4">
        <v>9.75</v>
      </c>
      <c r="G39" s="5">
        <v>6.1013767209011298E-2</v>
      </c>
      <c r="H39" s="175">
        <v>4.2069197140446102E-2</v>
      </c>
      <c r="I39" s="11">
        <f>_xlfn.XLOOKUP(C40,'FRED YTM'!$B$2:$B$802,'FRED YTM'!$C$2:$C$802)/(4*100)</f>
        <v>2.0937500000000001E-3</v>
      </c>
      <c r="J39" s="6">
        <f t="shared" si="0"/>
        <v>3.9975447140446103E-2</v>
      </c>
    </row>
    <row r="40" spans="3:10" x14ac:dyDescent="0.35">
      <c r="C40" s="12" t="s">
        <v>42</v>
      </c>
      <c r="D40" s="2">
        <v>44469</v>
      </c>
      <c r="E40" s="3">
        <v>159.80000000000001</v>
      </c>
      <c r="F40" s="4">
        <v>-34.200000000000003</v>
      </c>
      <c r="G40" s="5">
        <v>-0.176288659793814</v>
      </c>
      <c r="H40" s="175">
        <v>6.9556246776184896E-3</v>
      </c>
    </row>
    <row r="41" spans="3:10" x14ac:dyDescent="0.35">
      <c r="C41" s="12" t="s">
        <v>43</v>
      </c>
      <c r="D41" s="2">
        <v>44377</v>
      </c>
      <c r="E41" s="3">
        <v>194</v>
      </c>
      <c r="F41" s="4">
        <v>39.200000000000003</v>
      </c>
      <c r="G41" s="5">
        <v>0.25322997416020698</v>
      </c>
      <c r="H41" s="175">
        <v>4.8236200088476698E-2</v>
      </c>
    </row>
    <row r="42" spans="3:10" x14ac:dyDescent="0.35">
      <c r="D42" s="2">
        <v>44286</v>
      </c>
      <c r="E42" s="3">
        <v>154.80000000000001</v>
      </c>
      <c r="F42" s="4">
        <v>22.55</v>
      </c>
      <c r="G42" s="5">
        <v>0.170510396975425</v>
      </c>
      <c r="H42" s="175">
        <v>3.9177960907171502E-2</v>
      </c>
    </row>
    <row r="43" spans="3:10" x14ac:dyDescent="0.35">
      <c r="D43" s="2">
        <v>44196</v>
      </c>
      <c r="E43" s="3">
        <v>132.25</v>
      </c>
      <c r="F43" s="4">
        <v>33.869999999999997</v>
      </c>
      <c r="G43" s="5">
        <v>0.34427729213254699</v>
      </c>
      <c r="H43" s="175">
        <v>0.101331378599069</v>
      </c>
    </row>
    <row r="44" spans="3:10" x14ac:dyDescent="0.35">
      <c r="D44" s="2">
        <v>44104</v>
      </c>
      <c r="E44" s="3">
        <v>98.38</v>
      </c>
      <c r="F44" s="4">
        <v>-15.67</v>
      </c>
      <c r="G44" s="5">
        <v>-0.13739587900043801</v>
      </c>
      <c r="H44" s="175">
        <v>-4.9214391530275098E-2</v>
      </c>
    </row>
    <row r="45" spans="3:10" x14ac:dyDescent="0.35">
      <c r="D45" s="2">
        <v>44012</v>
      </c>
      <c r="E45" s="3">
        <v>114.05</v>
      </c>
      <c r="F45" s="4">
        <v>-3.8500000000000099</v>
      </c>
      <c r="G45" s="5">
        <v>-3.2654792196776999E-2</v>
      </c>
      <c r="H45" s="175">
        <v>8.7761549799363806E-2</v>
      </c>
    </row>
    <row r="46" spans="3:10" x14ac:dyDescent="0.35">
      <c r="D46" s="2">
        <v>43921</v>
      </c>
      <c r="E46" s="3">
        <v>117.9</v>
      </c>
      <c r="F46" s="4">
        <v>-74.540000000000006</v>
      </c>
      <c r="G46" s="5">
        <v>-0.387341509041779</v>
      </c>
      <c r="H46" s="175">
        <v>-0.24799401785098699</v>
      </c>
    </row>
    <row r="47" spans="3:10" x14ac:dyDescent="0.35">
      <c r="D47" s="2">
        <v>43830</v>
      </c>
      <c r="E47" s="3">
        <v>192.44</v>
      </c>
      <c r="F47" s="4">
        <v>13.86</v>
      </c>
      <c r="G47" s="5">
        <v>7.7612274610818599E-2</v>
      </c>
      <c r="H47" s="175">
        <v>1.8119086796945499E-2</v>
      </c>
    </row>
    <row r="48" spans="3:10" x14ac:dyDescent="0.35">
      <c r="D48" s="2">
        <v>43738</v>
      </c>
      <c r="E48" s="3">
        <v>178.58</v>
      </c>
      <c r="F48" s="4">
        <v>-17.88</v>
      </c>
      <c r="G48" s="5">
        <v>-9.1010892802606103E-2</v>
      </c>
      <c r="H48" s="175">
        <v>-2.3459288976154301E-3</v>
      </c>
    </row>
    <row r="49" spans="4:10" x14ac:dyDescent="0.35">
      <c r="D49" s="2">
        <v>43646</v>
      </c>
      <c r="E49" s="3">
        <v>196.46</v>
      </c>
      <c r="F49" s="4">
        <v>-26.49</v>
      </c>
      <c r="G49" s="5">
        <v>-0.118815877999551</v>
      </c>
      <c r="H49" s="175">
        <v>2.0117622977281899E-2</v>
      </c>
      <c r="I49" s="13"/>
    </row>
    <row r="50" spans="4:10" x14ac:dyDescent="0.35">
      <c r="D50" s="2">
        <v>43555</v>
      </c>
      <c r="E50" s="3">
        <v>222.95</v>
      </c>
      <c r="F50" s="4">
        <v>-15.15</v>
      </c>
      <c r="G50" s="5">
        <v>-6.3628727425451503E-2</v>
      </c>
      <c r="H50" s="175">
        <v>8.1903887112763807E-2</v>
      </c>
    </row>
    <row r="51" spans="4:10" x14ac:dyDescent="0.35">
      <c r="D51" s="2">
        <v>43465</v>
      </c>
      <c r="E51" s="3">
        <v>238.1</v>
      </c>
      <c r="F51" s="4">
        <v>12.8</v>
      </c>
      <c r="G51" s="5">
        <v>5.6813138038171299E-2</v>
      </c>
      <c r="H51" s="175">
        <v>-0.10413437724694399</v>
      </c>
    </row>
    <row r="52" spans="4:10" x14ac:dyDescent="0.35">
      <c r="D52" s="2">
        <v>43373</v>
      </c>
      <c r="E52" s="3">
        <v>225.3</v>
      </c>
      <c r="F52" s="4">
        <v>7.5</v>
      </c>
      <c r="G52" s="5">
        <v>3.4435261707989002E-2</v>
      </c>
      <c r="H52" s="175">
        <v>-1.6594364489395701E-2</v>
      </c>
    </row>
    <row r="53" spans="4:10" x14ac:dyDescent="0.35">
      <c r="D53" s="2">
        <v>43281</v>
      </c>
      <c r="E53" s="3">
        <v>217.8</v>
      </c>
      <c r="F53" s="4">
        <v>-9.6999999999999904</v>
      </c>
      <c r="G53" s="5">
        <v>-4.2637362637362598E-2</v>
      </c>
      <c r="H53" s="175">
        <v>8.2237788399812495E-2</v>
      </c>
    </row>
    <row r="54" spans="4:10" x14ac:dyDescent="0.35">
      <c r="D54" s="2">
        <v>43190</v>
      </c>
      <c r="E54" s="3">
        <v>227.5</v>
      </c>
      <c r="F54" s="4">
        <v>-44.2</v>
      </c>
      <c r="G54" s="5">
        <v>-0.16267942583732101</v>
      </c>
      <c r="H54" s="175">
        <v>-8.2099230335975298E-2</v>
      </c>
    </row>
    <row r="55" spans="4:10" x14ac:dyDescent="0.35">
      <c r="D55" s="2">
        <v>43100</v>
      </c>
      <c r="E55" s="3">
        <v>271.7</v>
      </c>
      <c r="F55" s="4">
        <v>-12.2</v>
      </c>
      <c r="G55" s="5">
        <v>-4.2972877773864E-2</v>
      </c>
      <c r="H55" s="175">
        <v>4.2726197516262603E-2</v>
      </c>
    </row>
    <row r="56" spans="4:10" x14ac:dyDescent="0.35">
      <c r="D56" s="2">
        <v>43008</v>
      </c>
      <c r="E56" s="3">
        <v>283.89999999999998</v>
      </c>
      <c r="F56" s="4">
        <v>-10.85</v>
      </c>
      <c r="G56" s="5">
        <v>-3.6810856658185002E-2</v>
      </c>
      <c r="H56" s="175">
        <v>8.2103512783205101E-3</v>
      </c>
    </row>
    <row r="57" spans="4:10" x14ac:dyDescent="0.35">
      <c r="D57" s="2">
        <v>42916</v>
      </c>
      <c r="E57" s="3">
        <v>294.75</v>
      </c>
      <c r="F57" s="4">
        <v>-23.45</v>
      </c>
      <c r="G57" s="5">
        <v>-7.3695788812067897E-2</v>
      </c>
      <c r="H57" s="175">
        <v>-1.39288699043548E-3</v>
      </c>
    </row>
    <row r="58" spans="4:10" x14ac:dyDescent="0.35">
      <c r="D58" s="2">
        <v>42825</v>
      </c>
      <c r="E58" s="3">
        <v>318.2</v>
      </c>
      <c r="F58" s="4">
        <v>-48.7</v>
      </c>
      <c r="G58" s="5">
        <v>-0.13273371490869401</v>
      </c>
      <c r="H58" s="175">
        <v>2.52126958082441E-2</v>
      </c>
    </row>
    <row r="59" spans="4:10" x14ac:dyDescent="0.35">
      <c r="D59" s="2">
        <v>42735</v>
      </c>
      <c r="E59" s="3">
        <v>366.9</v>
      </c>
      <c r="F59" s="4">
        <v>-22.15</v>
      </c>
      <c r="G59" s="5">
        <v>-5.6933556098188003E-2</v>
      </c>
      <c r="H59" s="175">
        <v>3.5293282101305501E-2</v>
      </c>
    </row>
    <row r="60" spans="4:10" x14ac:dyDescent="0.35">
      <c r="D60" s="2">
        <v>42643</v>
      </c>
      <c r="E60" s="3">
        <v>389.05</v>
      </c>
      <c r="F60" s="4">
        <v>-20.95</v>
      </c>
      <c r="G60" s="5">
        <v>-5.1097560975609697E-2</v>
      </c>
      <c r="H60" s="175">
        <v>6.0728776061485197E-2</v>
      </c>
    </row>
    <row r="61" spans="4:10" x14ac:dyDescent="0.35">
      <c r="D61" s="2">
        <v>42551</v>
      </c>
      <c r="E61" s="3">
        <v>410</v>
      </c>
      <c r="F61" s="4">
        <v>-30.5</v>
      </c>
      <c r="G61" s="5">
        <v>-6.9239500567536902E-2</v>
      </c>
      <c r="H61" s="175">
        <v>5.3349851819462703E-2</v>
      </c>
    </row>
    <row r="62" spans="4:10" x14ac:dyDescent="0.35">
      <c r="D62" s="2">
        <v>42460</v>
      </c>
      <c r="E62" s="3">
        <v>440.5</v>
      </c>
      <c r="F62" s="4">
        <v>-31.2</v>
      </c>
      <c r="G62" s="5">
        <v>-6.6143735425058303E-2</v>
      </c>
      <c r="H62" s="175">
        <v>-1.08004716195261E-2</v>
      </c>
      <c r="J62" s="174"/>
    </row>
    <row r="63" spans="4:10" x14ac:dyDescent="0.35">
      <c r="D63" s="2">
        <v>42369</v>
      </c>
      <c r="E63" s="3">
        <v>471.7</v>
      </c>
      <c r="F63" s="4">
        <v>52.1</v>
      </c>
      <c r="G63" s="5">
        <v>0.124165872259294</v>
      </c>
      <c r="H63" s="175">
        <v>2.9812211607147299E-2</v>
      </c>
    </row>
    <row r="64" spans="4:10" x14ac:dyDescent="0.35">
      <c r="D64" s="2">
        <v>42277</v>
      </c>
      <c r="E64" s="3">
        <v>419.6</v>
      </c>
      <c r="F64" s="4">
        <v>-30.6</v>
      </c>
      <c r="G64" s="5">
        <v>-6.7969791203909294E-2</v>
      </c>
      <c r="H64" s="175">
        <v>-7.0444933123548895E-2</v>
      </c>
    </row>
    <row r="65" spans="4:8" x14ac:dyDescent="0.35">
      <c r="D65" s="2">
        <v>42185</v>
      </c>
      <c r="E65" s="3">
        <v>450.2</v>
      </c>
      <c r="F65" s="4">
        <v>12.2</v>
      </c>
      <c r="G65" s="5">
        <v>2.78538812785388E-2</v>
      </c>
      <c r="H65" s="175">
        <v>-3.7215194358810898E-2</v>
      </c>
    </row>
    <row r="66" spans="4:8" x14ac:dyDescent="0.35">
      <c r="D66" s="2">
        <v>42094</v>
      </c>
      <c r="E66" s="3">
        <v>438</v>
      </c>
      <c r="F66" s="4">
        <v>36.5</v>
      </c>
      <c r="G66" s="5">
        <v>9.0909090909090898E-2</v>
      </c>
      <c r="H66" s="175">
        <v>3.1517996250432098E-2</v>
      </c>
    </row>
    <row r="67" spans="4:8" x14ac:dyDescent="0.35">
      <c r="D67" s="2">
        <v>42004</v>
      </c>
      <c r="E67" s="3">
        <v>401.5</v>
      </c>
      <c r="F67" s="4">
        <v>21.9</v>
      </c>
      <c r="G67" s="5">
        <v>5.7692307692307598E-2</v>
      </c>
      <c r="H67" s="175">
        <v>-8.5508673173560305E-3</v>
      </c>
    </row>
    <row r="68" spans="4:8" x14ac:dyDescent="0.35">
      <c r="D68" s="2">
        <v>41912</v>
      </c>
      <c r="E68" s="3">
        <v>379.6</v>
      </c>
      <c r="F68" s="4">
        <v>-5.2999999999999501</v>
      </c>
      <c r="G68" s="5">
        <v>-1.3769810340348E-2</v>
      </c>
      <c r="H68" s="175">
        <v>-1.7974655765027499E-2</v>
      </c>
    </row>
    <row r="69" spans="4:8" x14ac:dyDescent="0.35">
      <c r="D69" s="2">
        <v>41820</v>
      </c>
      <c r="E69" s="3">
        <v>384.9</v>
      </c>
      <c r="F69" s="4">
        <v>5.3999999999999799</v>
      </c>
      <c r="G69" s="5">
        <v>1.4229249011857599E-2</v>
      </c>
      <c r="H69" s="175">
        <v>2.2061509130285199E-2</v>
      </c>
    </row>
    <row r="70" spans="4:8" x14ac:dyDescent="0.35">
      <c r="D70" s="2">
        <v>41729</v>
      </c>
      <c r="E70" s="3">
        <v>379.5</v>
      </c>
      <c r="F70" s="4">
        <v>0.100000000000023</v>
      </c>
      <c r="G70" s="5">
        <v>2.6357406431213199E-4</v>
      </c>
      <c r="H70" s="175">
        <v>-2.2331899559792499E-2</v>
      </c>
    </row>
    <row r="71" spans="4:8" x14ac:dyDescent="0.35">
      <c r="D71" s="2">
        <v>41639</v>
      </c>
      <c r="E71" s="3">
        <v>379.4</v>
      </c>
      <c r="F71" s="4">
        <v>37</v>
      </c>
      <c r="G71" s="5">
        <v>0.108060747663551</v>
      </c>
      <c r="H71" s="175">
        <v>4.4391865334204E-2</v>
      </c>
    </row>
    <row r="72" spans="4:8" x14ac:dyDescent="0.35">
      <c r="D72" s="2">
        <v>41547</v>
      </c>
      <c r="E72" s="3">
        <v>342.4</v>
      </c>
      <c r="F72" s="4">
        <v>33.200000000000003</v>
      </c>
      <c r="G72" s="5">
        <v>0.10737386804657199</v>
      </c>
      <c r="H72" s="175">
        <v>3.96993308631527E-2</v>
      </c>
    </row>
    <row r="73" spans="4:8" x14ac:dyDescent="0.35">
      <c r="D73" s="2">
        <v>41455</v>
      </c>
      <c r="E73" s="3">
        <v>309.2</v>
      </c>
      <c r="F73" s="4">
        <v>31.2</v>
      </c>
      <c r="G73" s="5">
        <v>0.112230215827338</v>
      </c>
      <c r="H73" s="175">
        <v>-3.0611035381971099E-2</v>
      </c>
    </row>
    <row r="74" spans="4:8" x14ac:dyDescent="0.35">
      <c r="D74" s="2">
        <v>41364</v>
      </c>
      <c r="E74" s="3">
        <v>278</v>
      </c>
      <c r="F74" s="4">
        <v>46.9</v>
      </c>
      <c r="G74" s="5">
        <v>0.20294244915620899</v>
      </c>
      <c r="H74" s="175">
        <v>8.7139124522492103E-2</v>
      </c>
    </row>
    <row r="75" spans="4:8" x14ac:dyDescent="0.35">
      <c r="D75" s="2">
        <v>41274</v>
      </c>
      <c r="E75" s="3">
        <v>231.1</v>
      </c>
      <c r="F75" s="4">
        <v>0.40000000000000602</v>
      </c>
      <c r="G75" s="5">
        <v>1.7338534893801699E-3</v>
      </c>
      <c r="H75" s="175">
        <v>2.7122623026190999E-2</v>
      </c>
    </row>
    <row r="76" spans="4:8" x14ac:dyDescent="0.35">
      <c r="D76" s="2">
        <v>41182</v>
      </c>
      <c r="E76" s="3">
        <v>230.7</v>
      </c>
      <c r="F76" s="4">
        <v>19.3</v>
      </c>
      <c r="G76" s="5">
        <v>9.1296121097445504E-2</v>
      </c>
      <c r="H76" s="175">
        <v>3.0679482692083301E-2</v>
      </c>
    </row>
    <row r="77" spans="4:8" x14ac:dyDescent="0.35">
      <c r="D77" s="2">
        <v>41090</v>
      </c>
      <c r="E77" s="3">
        <v>211.4</v>
      </c>
      <c r="F77" s="4">
        <v>-15</v>
      </c>
      <c r="G77" s="5">
        <v>-6.6254416961130699E-2</v>
      </c>
      <c r="H77" s="175">
        <v>-3.4203295512659403E-2</v>
      </c>
    </row>
    <row r="78" spans="4:8" x14ac:dyDescent="0.35">
      <c r="D78" s="2">
        <v>40999</v>
      </c>
      <c r="E78" s="3">
        <v>226.4</v>
      </c>
      <c r="F78" s="4">
        <v>35.5</v>
      </c>
      <c r="G78" s="5">
        <v>0.18596123624934499</v>
      </c>
      <c r="H78" s="175">
        <v>3.5204620011916099E-2</v>
      </c>
    </row>
    <row r="79" spans="4:8" x14ac:dyDescent="0.35">
      <c r="D79" s="2">
        <v>40908</v>
      </c>
      <c r="E79" s="3">
        <v>190.9</v>
      </c>
      <c r="F79" s="4">
        <v>17.2</v>
      </c>
      <c r="G79" s="5">
        <v>9.9021301093840094E-2</v>
      </c>
      <c r="H79" s="175">
        <v>8.6536361651015595E-2</v>
      </c>
    </row>
    <row r="80" spans="4:8" x14ac:dyDescent="0.35">
      <c r="D80" s="2">
        <v>40816</v>
      </c>
      <c r="E80" s="3">
        <v>173.7</v>
      </c>
      <c r="F80" s="4">
        <v>-27.8</v>
      </c>
      <c r="G80" s="5">
        <v>-0.13796526054590599</v>
      </c>
      <c r="H80" s="175">
        <v>-0.13744868148631501</v>
      </c>
    </row>
    <row r="81" spans="4:8" x14ac:dyDescent="0.35">
      <c r="D81" s="2">
        <v>40724</v>
      </c>
      <c r="E81" s="3">
        <v>201.5</v>
      </c>
      <c r="F81" s="4">
        <v>15.9</v>
      </c>
      <c r="G81" s="5">
        <v>8.5668103448275898E-2</v>
      </c>
      <c r="H81" s="175">
        <v>6.2534271149953299E-3</v>
      </c>
    </row>
    <row r="82" spans="4:8" x14ac:dyDescent="0.35">
      <c r="D82" s="2">
        <v>40633</v>
      </c>
      <c r="E82" s="3">
        <v>185.6</v>
      </c>
      <c r="F82" s="4">
        <v>4.7999999999999803</v>
      </c>
      <c r="G82" s="5">
        <v>2.6548672566371601E-2</v>
      </c>
      <c r="H82" s="175">
        <v>1.4949304569200101E-3</v>
      </c>
    </row>
    <row r="83" spans="4:8" x14ac:dyDescent="0.35">
      <c r="D83" s="2">
        <v>40543</v>
      </c>
      <c r="E83" s="3">
        <v>180.8</v>
      </c>
      <c r="F83" s="4">
        <v>40.799999999999997</v>
      </c>
      <c r="G83" s="5">
        <v>0.29142857142857198</v>
      </c>
      <c r="H83" s="175">
        <v>6.3316644498992505E-2</v>
      </c>
    </row>
    <row r="84" spans="4:8" x14ac:dyDescent="0.35">
      <c r="D84" s="2">
        <v>40451</v>
      </c>
      <c r="E84" s="3">
        <v>140</v>
      </c>
      <c r="F84" s="4">
        <v>9.9000000000000092</v>
      </c>
      <c r="G84" s="5">
        <v>7.6095311299000795E-2</v>
      </c>
      <c r="H84" s="175">
        <v>0.128486211756666</v>
      </c>
    </row>
    <row r="85" spans="4:8" x14ac:dyDescent="0.35">
      <c r="D85" s="2">
        <v>40359</v>
      </c>
      <c r="E85" s="3">
        <v>130.1</v>
      </c>
      <c r="F85" s="4">
        <v>6.1999999999999904</v>
      </c>
      <c r="G85" s="5">
        <v>5.0040355125100799E-2</v>
      </c>
      <c r="H85" s="175">
        <v>-0.13429900486650601</v>
      </c>
    </row>
    <row r="86" spans="4:8" x14ac:dyDescent="0.35">
      <c r="D86" s="2">
        <v>40268</v>
      </c>
      <c r="E86" s="3">
        <v>123.9</v>
      </c>
      <c r="F86" s="4">
        <v>-11.1</v>
      </c>
      <c r="G86" s="5">
        <v>-8.2222222222222197E-2</v>
      </c>
      <c r="H86" s="175">
        <v>4.9282452225063202E-2</v>
      </c>
    </row>
  </sheetData>
  <conditionalFormatting sqref="C5:E5">
    <cfRule type="expression" dxfId="3" priority="1">
      <formula>bs_check&lt;&gt;0</formula>
    </cfRule>
  </conditionalFormatting>
  <pageMargins left="0.70866141732283472" right="0.70866141732283472" top="0.74803149606299213" bottom="0.74803149606299213" header="0.31496062992125984" footer="0.31496062992125984"/>
  <pageSetup scale="52" fitToHeight="0" orientation="landscape" r:id="rId1"/>
  <headerFooter>
    <oddFooter xml:space="preserve">&amp;LOpeoluwa Kuku
 H00529768
&amp;F&amp;C&amp;P of &amp;N&amp;RPrinted on &amp;D 
at &amp;D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C4969-BC68-4149-BB1D-B0B55755F90B}">
  <sheetPr>
    <tabColor theme="5" tint="0.39997558519241921"/>
    <pageSetUpPr fitToPage="1"/>
  </sheetPr>
  <dimension ref="A1:U17"/>
  <sheetViews>
    <sheetView showGridLines="0" zoomScale="85" zoomScaleNormal="85" workbookViewId="0"/>
  </sheetViews>
  <sheetFormatPr defaultColWidth="0" defaultRowHeight="14.5" x14ac:dyDescent="0.35"/>
  <cols>
    <col min="1" max="3" width="2.26953125" customWidth="1"/>
    <col min="4" max="4" width="34.26953125" customWidth="1"/>
    <col min="5" max="5" width="8.7265625" customWidth="1"/>
    <col min="6" max="6" width="18.453125" bestFit="1" customWidth="1"/>
    <col min="7" max="7" width="8.90625" customWidth="1"/>
    <col min="8" max="8" width="12.26953125" bestFit="1" customWidth="1"/>
    <col min="9" max="9" width="10.453125" bestFit="1" customWidth="1"/>
    <col min="10" max="10" width="10.36328125" bestFit="1" customWidth="1"/>
    <col min="11" max="11" width="8.7265625" customWidth="1"/>
    <col min="12" max="17" width="8.7265625" hidden="1" customWidth="1"/>
    <col min="18" max="21" width="0" hidden="1" customWidth="1"/>
    <col min="22" max="16384" width="8.7265625" hidden="1"/>
  </cols>
  <sheetData>
    <row r="1" spans="1:17" ht="7" customHeight="1" x14ac:dyDescent="0.35">
      <c r="A1" s="22"/>
      <c r="B1" s="22"/>
      <c r="C1" s="22"/>
      <c r="D1" s="22"/>
      <c r="E1" s="22"/>
      <c r="F1" s="22"/>
      <c r="G1" s="22"/>
      <c r="H1" s="22"/>
      <c r="I1" s="22"/>
      <c r="J1" s="22"/>
      <c r="K1" s="22"/>
    </row>
    <row r="2" spans="1:17" ht="47.5" x14ac:dyDescent="1.1000000000000001">
      <c r="A2" s="22"/>
      <c r="B2" s="23" t="str">
        <f>company_name</f>
        <v>BT GROUP PLC</v>
      </c>
      <c r="C2" s="24"/>
      <c r="D2" s="22"/>
      <c r="E2" s="22"/>
      <c r="F2" s="22"/>
      <c r="G2" s="22"/>
      <c r="H2" s="22"/>
      <c r="I2" s="22"/>
      <c r="J2" s="22"/>
      <c r="K2" s="22"/>
    </row>
    <row r="3" spans="1:17" ht="26" x14ac:dyDescent="0.6">
      <c r="A3" s="22"/>
      <c r="B3" s="22"/>
      <c r="C3" s="25" t="s">
        <v>995</v>
      </c>
      <c r="D3" s="22"/>
      <c r="E3" s="22"/>
      <c r="F3" s="22"/>
      <c r="G3" s="22"/>
      <c r="H3" s="22"/>
      <c r="I3" s="22"/>
      <c r="J3" s="22"/>
      <c r="K3" s="22"/>
    </row>
    <row r="4" spans="1:17" x14ac:dyDescent="0.35">
      <c r="A4" s="22"/>
      <c r="B4" s="22"/>
      <c r="C4" s="22"/>
      <c r="D4" s="22"/>
      <c r="E4" s="22"/>
      <c r="F4" s="22"/>
      <c r="G4" s="22"/>
      <c r="H4" s="22"/>
      <c r="I4" s="22"/>
      <c r="J4" s="22"/>
      <c r="K4" s="22"/>
    </row>
    <row r="5" spans="1:17" x14ac:dyDescent="0.35">
      <c r="C5" t="str">
        <f ca="1">"Balance Sheet Check: "&amp;IF(bs_check=0,"Balanced as all things should be","Error!!!")</f>
        <v>Balance Sheet Check: Balanced as all things should be</v>
      </c>
    </row>
    <row r="7" spans="1:17" s="83" customFormat="1" x14ac:dyDescent="0.35">
      <c r="D7" s="83" t="str">
        <f>Inputs!D67</f>
        <v>Uk Corporate  Tax Rate</v>
      </c>
      <c r="E7" s="84" t="str">
        <f>Inputs!E67</f>
        <v>%</v>
      </c>
      <c r="F7" s="74">
        <f>Inputs!F67</f>
        <v>0.25</v>
      </c>
    </row>
    <row r="8" spans="1:17" x14ac:dyDescent="0.35">
      <c r="D8" t="str">
        <f>Inputs!D59</f>
        <v>Shares Outstanding</v>
      </c>
      <c r="E8" s="77" t="str">
        <f>Inputs!E59</f>
        <v>Unit</v>
      </c>
      <c r="F8" s="67">
        <f>Inputs!F59</f>
        <v>9967639866</v>
      </c>
    </row>
    <row r="9" spans="1:17" x14ac:dyDescent="0.35">
      <c r="D9" t="str">
        <f>Inputs!D60</f>
        <v>Current Share Price</v>
      </c>
      <c r="E9" s="77" t="str">
        <f>Inputs!E60</f>
        <v>Pence/Sh</v>
      </c>
      <c r="F9" s="67">
        <f>Inputs!F60</f>
        <v>209.7</v>
      </c>
    </row>
    <row r="10" spans="1:17" x14ac:dyDescent="0.35">
      <c r="D10" t="s">
        <v>1270</v>
      </c>
      <c r="F10" s="152">
        <f>'Debt Structure'!B53</f>
        <v>5.252791764705881E-2</v>
      </c>
    </row>
    <row r="13" spans="1:17" ht="17.5" thickBot="1" x14ac:dyDescent="0.45">
      <c r="C13" s="58" t="s">
        <v>989</v>
      </c>
      <c r="D13" s="58"/>
      <c r="E13" s="58"/>
      <c r="F13" s="58"/>
      <c r="G13" s="58"/>
      <c r="H13" s="58"/>
      <c r="I13" s="58"/>
      <c r="J13" s="58"/>
      <c r="K13" s="58"/>
      <c r="L13" s="58"/>
      <c r="M13" s="58"/>
      <c r="N13" s="58"/>
      <c r="O13" s="58"/>
      <c r="P13" s="58"/>
      <c r="Q13" s="58"/>
    </row>
    <row r="14" spans="1:17" ht="15" thickTop="1" x14ac:dyDescent="0.35">
      <c r="D14" s="133" t="s">
        <v>994</v>
      </c>
      <c r="E14" s="133"/>
      <c r="F14" s="133" t="s">
        <v>45</v>
      </c>
      <c r="G14" s="136" t="s">
        <v>990</v>
      </c>
      <c r="H14" s="136" t="s">
        <v>991</v>
      </c>
      <c r="I14" s="136" t="s">
        <v>992</v>
      </c>
    </row>
    <row r="15" spans="1:17" x14ac:dyDescent="0.35">
      <c r="D15" t="s">
        <v>609</v>
      </c>
      <c r="F15">
        <f>F8*(F9/100)</f>
        <v>20902140799.001999</v>
      </c>
      <c r="G15" s="137">
        <f>F15/$F$17</f>
        <v>0.54556994566739392</v>
      </c>
      <c r="H15" s="137">
        <f>'Cost of Equity'!E15</f>
        <v>9.2604507576748513E-2</v>
      </c>
      <c r="I15" s="137">
        <f>G15*H15</f>
        <v>5.0522236167202451E-2</v>
      </c>
    </row>
    <row r="16" spans="1:17" x14ac:dyDescent="0.35">
      <c r="D16" t="s">
        <v>993</v>
      </c>
      <c r="F16">
        <f>'Debt Structure'!B52</f>
        <v>17410345005.971149</v>
      </c>
      <c r="G16" s="137">
        <f>F16/$F$17</f>
        <v>0.45443005433260619</v>
      </c>
      <c r="H16" s="137">
        <f>F10*(1-F7)</f>
        <v>3.9395938235294109E-2</v>
      </c>
      <c r="I16" s="137">
        <f>G16*H16</f>
        <v>1.79026983527487E-2</v>
      </c>
    </row>
    <row r="17" spans="4:9" x14ac:dyDescent="0.35">
      <c r="D17" s="17" t="s">
        <v>585</v>
      </c>
      <c r="F17" s="18">
        <f>SUM(F14:F16)</f>
        <v>38312485804.973145</v>
      </c>
      <c r="G17" s="139">
        <f>SUM(G15:G16)</f>
        <v>1</v>
      </c>
      <c r="H17" s="134"/>
      <c r="I17" s="138">
        <f>SUM(I15:I16)</f>
        <v>6.8424934519951158E-2</v>
      </c>
    </row>
  </sheetData>
  <conditionalFormatting sqref="C5:D5">
    <cfRule type="expression" dxfId="2" priority="1">
      <formula>bs_check&lt;&gt;0</formula>
    </cfRule>
  </conditionalFormatting>
  <pageMargins left="0.70866141732283472" right="0.70866141732283472" top="0.74803149606299213" bottom="0.74803149606299213" header="0.31496062992125984" footer="0.31496062992125984"/>
  <pageSetup scale="69" fitToHeight="0" orientation="landscape" r:id="rId1"/>
  <headerFooter>
    <oddFooter xml:space="preserve">&amp;LOpeoluwa Kuku
 H00529768
&amp;F&amp;C&amp;P of &amp;N&amp;RPrinted on &amp;D 
at &amp;D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1337B-2BC2-4458-81C2-85E799711F20}">
  <sheetPr>
    <tabColor theme="0"/>
    <pageSetUpPr fitToPage="1"/>
  </sheetPr>
  <dimension ref="A1:U488"/>
  <sheetViews>
    <sheetView showGridLines="0" zoomScale="70" zoomScaleNormal="70" workbookViewId="0">
      <pane ySplit="7" topLeftCell="A166" activePane="bottomLeft" state="frozen"/>
      <selection pane="bottomLeft" activeCell="S194" sqref="S194"/>
    </sheetView>
  </sheetViews>
  <sheetFormatPr defaultColWidth="0" defaultRowHeight="14.5" x14ac:dyDescent="0.35"/>
  <cols>
    <col min="1" max="3" width="2.26953125" customWidth="1"/>
    <col min="4" max="4" width="32.6328125" customWidth="1"/>
    <col min="5" max="6" width="8.7265625" customWidth="1"/>
    <col min="7" max="8" width="2.453125" customWidth="1"/>
    <col min="9" max="9" width="13.90625" bestFit="1" customWidth="1"/>
    <col min="10" max="10" width="15.453125" customWidth="1"/>
    <col min="11" max="11" width="13.6328125" bestFit="1" customWidth="1"/>
    <col min="12" max="14" width="14.26953125" bestFit="1" customWidth="1"/>
    <col min="15" max="16" width="14.7265625" bestFit="1" customWidth="1"/>
    <col min="17" max="18" width="14.26953125" bestFit="1" customWidth="1"/>
    <col min="19" max="21" width="8.7265625" customWidth="1"/>
    <col min="22" max="16384" width="8.7265625" hidden="1"/>
  </cols>
  <sheetData>
    <row r="1" spans="1:21" ht="7" customHeight="1" x14ac:dyDescent="0.35">
      <c r="A1" s="22"/>
      <c r="B1" s="22"/>
      <c r="C1" s="22"/>
      <c r="D1" s="22"/>
      <c r="E1" s="22"/>
      <c r="F1" s="22"/>
      <c r="G1" s="22"/>
      <c r="H1" s="22"/>
      <c r="I1" s="22"/>
      <c r="J1" s="22"/>
      <c r="K1" s="22"/>
      <c r="L1" s="22"/>
      <c r="M1" s="22"/>
      <c r="N1" s="22"/>
      <c r="O1" s="22"/>
      <c r="P1" s="22"/>
      <c r="Q1" s="22"/>
      <c r="R1" s="22"/>
      <c r="S1" s="22"/>
      <c r="T1" s="22"/>
      <c r="U1" s="22"/>
    </row>
    <row r="2" spans="1:21" ht="47.5" x14ac:dyDescent="1.1000000000000001">
      <c r="A2" s="22"/>
      <c r="B2" s="23" t="str">
        <f>company_name</f>
        <v>BT GROUP PLC</v>
      </c>
      <c r="C2" s="24"/>
      <c r="D2" s="22"/>
      <c r="E2" s="22"/>
      <c r="F2" s="22"/>
      <c r="G2" s="22"/>
      <c r="H2" s="22"/>
      <c r="I2" s="22"/>
      <c r="J2" s="22"/>
      <c r="K2" s="22"/>
      <c r="L2" s="22"/>
      <c r="M2" s="22"/>
      <c r="N2" s="22"/>
      <c r="O2" s="22"/>
      <c r="P2" s="22"/>
      <c r="Q2" s="22"/>
      <c r="R2" s="22"/>
      <c r="S2" s="22"/>
      <c r="T2" s="22"/>
      <c r="U2" s="22"/>
    </row>
    <row r="3" spans="1:21" ht="26" x14ac:dyDescent="0.6">
      <c r="A3" s="22"/>
      <c r="B3" s="22"/>
      <c r="C3" s="25" t="s">
        <v>1198</v>
      </c>
      <c r="D3" s="22"/>
      <c r="E3" s="22"/>
      <c r="F3" s="22"/>
      <c r="G3" s="22"/>
      <c r="H3" s="22"/>
      <c r="I3" s="22"/>
      <c r="J3" s="22"/>
      <c r="K3" s="22"/>
      <c r="L3" s="22"/>
      <c r="M3" s="22"/>
      <c r="N3" s="22"/>
      <c r="O3" s="22"/>
      <c r="P3" s="22"/>
      <c r="Q3" s="22"/>
      <c r="R3" s="22"/>
      <c r="S3" s="22"/>
      <c r="T3" s="22"/>
      <c r="U3" s="22"/>
    </row>
    <row r="4" spans="1:21" x14ac:dyDescent="0.35">
      <c r="A4" s="22"/>
      <c r="B4" s="22"/>
      <c r="C4" s="22"/>
      <c r="D4" s="22"/>
      <c r="E4" s="22"/>
      <c r="F4" s="22"/>
      <c r="G4" s="22"/>
      <c r="H4" s="22"/>
      <c r="I4" s="22"/>
      <c r="J4" s="22"/>
      <c r="K4" s="22"/>
      <c r="L4" s="22"/>
      <c r="M4" s="22"/>
      <c r="N4" s="22"/>
      <c r="O4" s="22"/>
      <c r="P4" s="22"/>
      <c r="Q4" s="22"/>
      <c r="R4" s="22"/>
      <c r="S4" s="22"/>
      <c r="T4" s="22"/>
      <c r="U4" s="22"/>
    </row>
    <row r="5" spans="1:21" x14ac:dyDescent="0.35">
      <c r="C5" t="str">
        <f ca="1">"Balance Sheet Check: "&amp;IF(bs_check=0,"Balanced as all things should be","Error!!!")</f>
        <v>Balance Sheet Check: Balanced as all things should be</v>
      </c>
    </row>
    <row r="6" spans="1:21" x14ac:dyDescent="0.35">
      <c r="D6" t="s">
        <v>48</v>
      </c>
      <c r="E6" t="s">
        <v>49</v>
      </c>
      <c r="F6" t="s">
        <v>50</v>
      </c>
      <c r="I6" s="128" t="s">
        <v>51</v>
      </c>
      <c r="J6" s="128" t="s">
        <v>51</v>
      </c>
      <c r="K6" s="128" t="s">
        <v>51</v>
      </c>
      <c r="L6" s="128" t="s">
        <v>51</v>
      </c>
      <c r="M6" s="128" t="s">
        <v>51</v>
      </c>
      <c r="N6" t="s">
        <v>52</v>
      </c>
      <c r="O6" t="s">
        <v>52</v>
      </c>
      <c r="P6" t="s">
        <v>52</v>
      </c>
      <c r="Q6" t="s">
        <v>52</v>
      </c>
      <c r="R6" t="s">
        <v>52</v>
      </c>
      <c r="S6" t="s">
        <v>53</v>
      </c>
    </row>
    <row r="7" spans="1:21" x14ac:dyDescent="0.35">
      <c r="A7" s="82"/>
      <c r="B7" s="82"/>
      <c r="C7" s="82"/>
      <c r="D7" s="82"/>
      <c r="E7" s="82"/>
      <c r="F7" s="82"/>
      <c r="G7" s="82"/>
      <c r="H7" s="82"/>
      <c r="I7" s="129">
        <v>2022</v>
      </c>
      <c r="J7" s="129">
        <v>2023</v>
      </c>
      <c r="K7" s="129">
        <v>2024</v>
      </c>
      <c r="L7" s="129">
        <v>2025</v>
      </c>
      <c r="M7" s="129">
        <f>base_year</f>
        <v>2026</v>
      </c>
      <c r="N7" s="130">
        <f>M7+1</f>
        <v>2027</v>
      </c>
      <c r="O7" s="130">
        <f t="shared" ref="O7:R7" si="0">N7+1</f>
        <v>2028</v>
      </c>
      <c r="P7" s="130">
        <f t="shared" si="0"/>
        <v>2029</v>
      </c>
      <c r="Q7" s="130">
        <f t="shared" si="0"/>
        <v>2030</v>
      </c>
      <c r="R7" s="130">
        <f t="shared" si="0"/>
        <v>2031</v>
      </c>
      <c r="S7" s="82"/>
      <c r="T7" s="82"/>
      <c r="U7" s="82"/>
    </row>
    <row r="8" spans="1:21" ht="21.5" thickBot="1" x14ac:dyDescent="0.55000000000000004">
      <c r="B8" s="21" t="s">
        <v>966</v>
      </c>
      <c r="C8" s="21"/>
      <c r="D8" s="21"/>
      <c r="E8" s="21"/>
      <c r="F8" s="21"/>
      <c r="G8" s="21"/>
      <c r="H8" s="21"/>
      <c r="I8" s="21"/>
      <c r="J8" s="21"/>
      <c r="K8" s="21"/>
      <c r="L8" s="21"/>
      <c r="M8" s="21"/>
      <c r="N8" s="21"/>
      <c r="O8" s="21"/>
      <c r="P8" s="21"/>
      <c r="Q8" s="21"/>
      <c r="R8" s="21"/>
      <c r="S8" s="21"/>
      <c r="T8" s="21"/>
      <c r="U8" s="21"/>
    </row>
    <row r="9" spans="1:21" ht="18" thickTop="1" thickBot="1" x14ac:dyDescent="0.45">
      <c r="C9" s="58" t="s">
        <v>576</v>
      </c>
      <c r="D9" s="58"/>
      <c r="E9" s="58"/>
      <c r="F9" s="58"/>
      <c r="G9" s="58"/>
      <c r="H9" s="58"/>
      <c r="I9" s="58"/>
      <c r="J9" s="58"/>
      <c r="K9" s="58"/>
      <c r="L9" s="58"/>
      <c r="M9" s="58"/>
      <c r="N9" s="58"/>
      <c r="O9" s="58"/>
      <c r="P9" s="58"/>
      <c r="Q9" s="58"/>
      <c r="R9" s="58"/>
      <c r="S9" s="58"/>
      <c r="T9" s="58"/>
      <c r="U9" s="58"/>
    </row>
    <row r="10" spans="1:21" ht="15" thickTop="1" x14ac:dyDescent="0.35"/>
    <row r="11" spans="1:21" x14ac:dyDescent="0.35">
      <c r="D11" t="str">
        <f>'Hist - IS'!C204</f>
        <v>Revenue</v>
      </c>
      <c r="I11" s="67">
        <f>'Hist - IS'!H204</f>
        <v>20845</v>
      </c>
      <c r="J11" s="67">
        <f>'Hist - IS'!G204</f>
        <v>20669</v>
      </c>
      <c r="K11" s="67">
        <f>'Hist - IS'!F204</f>
        <v>20835</v>
      </c>
      <c r="L11" s="67">
        <f>'Hist - IS'!E204</f>
        <v>20370</v>
      </c>
      <c r="M11" s="67">
        <f>'Hist - IS'!D204</f>
        <v>19646</v>
      </c>
      <c r="N11">
        <f>M11*(1+Inputs!N27)</f>
        <v>19319.684342981407</v>
      </c>
      <c r="O11">
        <f>N11*(1+Inputs!O27)</f>
        <v>19416.282764696312</v>
      </c>
      <c r="P11">
        <f>O11*(1+Inputs!P27)</f>
        <v>19688.11072340206</v>
      </c>
      <c r="Q11">
        <f>P11*(1+Inputs!Q27)</f>
        <v>19963.74427352969</v>
      </c>
      <c r="R11">
        <f>Q11*(1+Inputs!R27)</f>
        <v>20243.236693359107</v>
      </c>
    </row>
    <row r="12" spans="1:21" x14ac:dyDescent="0.35">
      <c r="D12" t="str">
        <f>'Hist - IS'!C207</f>
        <v>Cost of Sales</v>
      </c>
      <c r="I12" s="67">
        <f>-'Hist - IS'!H207</f>
        <v>-7951</v>
      </c>
      <c r="J12" s="67">
        <f>-'Hist - IS'!G207</f>
        <v>-7820</v>
      </c>
      <c r="K12" s="67">
        <f>-'Hist - IS'!F207</f>
        <v>-7658</v>
      </c>
      <c r="L12" s="67">
        <f>-'Hist - IS'!E207</f>
        <v>-6777</v>
      </c>
      <c r="M12" s="67">
        <f>-'Hist - IS'!D207</f>
        <v>-6474</v>
      </c>
      <c r="N12">
        <f>-Inputs!N38</f>
        <v>-6305.0819938605327</v>
      </c>
      <c r="O12">
        <f>-Inputs!O38</f>
        <v>-6274.6217859852113</v>
      </c>
      <c r="P12">
        <f>-Inputs!P38</f>
        <v>-6299.3152071738796</v>
      </c>
      <c r="Q12">
        <f>-Inputs!Q38</f>
        <v>-6323.1667494431458</v>
      </c>
      <c r="R12">
        <f>-Inputs!R38</f>
        <v>-6346.1422934117436</v>
      </c>
    </row>
    <row r="13" spans="1:21" x14ac:dyDescent="0.35">
      <c r="D13" s="17" t="s">
        <v>574</v>
      </c>
      <c r="I13" s="67">
        <f>SUM(I11:I12)</f>
        <v>12894</v>
      </c>
      <c r="J13" s="67">
        <f t="shared" ref="J13:R13" si="1">SUM(J11:J12)</f>
        <v>12849</v>
      </c>
      <c r="K13" s="67">
        <f t="shared" si="1"/>
        <v>13177</v>
      </c>
      <c r="L13" s="67">
        <f t="shared" si="1"/>
        <v>13593</v>
      </c>
      <c r="M13" s="67">
        <f t="shared" si="1"/>
        <v>13172</v>
      </c>
      <c r="N13" s="17">
        <f t="shared" si="1"/>
        <v>13014.602349120874</v>
      </c>
      <c r="O13" s="17">
        <f t="shared" si="1"/>
        <v>13141.660978711101</v>
      </c>
      <c r="P13" s="17">
        <f t="shared" si="1"/>
        <v>13388.79551622818</v>
      </c>
      <c r="Q13" s="17">
        <f t="shared" si="1"/>
        <v>13640.577524086544</v>
      </c>
      <c r="R13" s="17">
        <f t="shared" si="1"/>
        <v>13897.094399947364</v>
      </c>
    </row>
    <row r="14" spans="1:21" x14ac:dyDescent="0.35">
      <c r="D14" t="s">
        <v>1000</v>
      </c>
      <c r="I14" s="74">
        <f>I13/I$11</f>
        <v>0.61856560326217314</v>
      </c>
      <c r="J14" s="74">
        <f t="shared" ref="J14:M14" si="2">J13/J$11</f>
        <v>0.62165561952682757</v>
      </c>
      <c r="K14" s="74">
        <f t="shared" si="2"/>
        <v>0.63244540436765062</v>
      </c>
      <c r="L14" s="74">
        <f t="shared" si="2"/>
        <v>0.6673048600883652</v>
      </c>
      <c r="M14" s="74">
        <f t="shared" si="2"/>
        <v>0.67046727069123491</v>
      </c>
      <c r="N14" s="14">
        <f>N13/N$11</f>
        <v>0.67364466820851099</v>
      </c>
      <c r="O14" s="14">
        <f t="shared" ref="O14:R14" si="3">O13/O$11</f>
        <v>0.67683712366436832</v>
      </c>
      <c r="P14" s="14">
        <f t="shared" si="3"/>
        <v>0.68004470841957088</v>
      </c>
      <c r="Q14" s="14">
        <f t="shared" si="3"/>
        <v>0.68326749417306687</v>
      </c>
      <c r="R14" s="14">
        <f t="shared" si="3"/>
        <v>0.68650555296359173</v>
      </c>
    </row>
    <row r="15" spans="1:21" x14ac:dyDescent="0.35">
      <c r="I15" s="74"/>
      <c r="J15" s="74"/>
      <c r="K15" s="74"/>
      <c r="L15" s="74"/>
      <c r="M15" s="74"/>
      <c r="N15" s="140"/>
      <c r="O15" s="140"/>
      <c r="P15" s="140"/>
      <c r="Q15" s="140"/>
      <c r="R15" s="140"/>
    </row>
    <row r="16" spans="1:21" x14ac:dyDescent="0.35">
      <c r="D16" t="str">
        <f>'Hist - IS'!C217</f>
        <v>SGA</v>
      </c>
      <c r="I16" s="67">
        <f>-'Hist - IS'!H217</f>
        <v>-5777</v>
      </c>
      <c r="J16" s="67">
        <f>-'Hist - IS'!G217</f>
        <v>-5496</v>
      </c>
      <c r="K16" s="67">
        <f>-'Hist - IS'!F217</f>
        <v>-6353</v>
      </c>
      <c r="L16" s="67">
        <f>-'Hist - IS'!E217</f>
        <v>-6482</v>
      </c>
      <c r="M16" s="67">
        <f>-'Hist - IS'!D217</f>
        <v>-5808</v>
      </c>
      <c r="N16">
        <f>-Inputs!N47</f>
        <v>-5648.3478407274779</v>
      </c>
      <c r="O16">
        <f>-Inputs!O47</f>
        <v>-5735.6986637594991</v>
      </c>
      <c r="P16">
        <f>-Inputs!P47</f>
        <v>-5932.1628973716925</v>
      </c>
      <c r="Q16">
        <f>-Inputs!Q47</f>
        <v>-6000.7884041651778</v>
      </c>
      <c r="R16">
        <f>-Inputs!R47</f>
        <v>-6013.426878088495</v>
      </c>
    </row>
    <row r="17" spans="4:18" x14ac:dyDescent="0.35">
      <c r="D17" s="17" t="s">
        <v>575</v>
      </c>
      <c r="I17" s="67">
        <f>I13+I16</f>
        <v>7117</v>
      </c>
      <c r="J17" s="67">
        <f t="shared" ref="J17:R17" si="4">J13+J16</f>
        <v>7353</v>
      </c>
      <c r="K17" s="67">
        <f t="shared" si="4"/>
        <v>6824</v>
      </c>
      <c r="L17" s="67">
        <f t="shared" si="4"/>
        <v>7111</v>
      </c>
      <c r="M17" s="67">
        <f t="shared" si="4"/>
        <v>7364</v>
      </c>
      <c r="N17" s="17">
        <f t="shared" si="4"/>
        <v>7366.2545083933965</v>
      </c>
      <c r="O17" s="17">
        <f t="shared" si="4"/>
        <v>7405.9623149516019</v>
      </c>
      <c r="P17" s="17">
        <f t="shared" si="4"/>
        <v>7456.6326188564872</v>
      </c>
      <c r="Q17" s="17">
        <f t="shared" si="4"/>
        <v>7639.7891199213664</v>
      </c>
      <c r="R17" s="17">
        <f t="shared" si="4"/>
        <v>7883.6675218588689</v>
      </c>
    </row>
    <row r="18" spans="4:18" x14ac:dyDescent="0.35">
      <c r="D18" t="s">
        <v>1001</v>
      </c>
      <c r="I18" s="74">
        <f>I17/I$11</f>
        <v>0.34142480211081794</v>
      </c>
      <c r="J18" s="74">
        <f t="shared" ref="J18" si="5">J17/J$11</f>
        <v>0.35575015724031156</v>
      </c>
      <c r="K18" s="74">
        <f t="shared" ref="K18" si="6">K17/K$11</f>
        <v>0.3275257979361651</v>
      </c>
      <c r="L18" s="74">
        <f t="shared" ref="L18" si="7">L17/L$11</f>
        <v>0.34909180166912124</v>
      </c>
      <c r="M18" s="74">
        <f t="shared" ref="M18" si="8">M17/M$11</f>
        <v>0.37483457192303776</v>
      </c>
      <c r="N18" s="14">
        <f>N17/N$11</f>
        <v>0.38128234279715145</v>
      </c>
      <c r="O18" s="14">
        <f t="shared" ref="O18" si="9">O17/O$11</f>
        <v>0.38143049340100799</v>
      </c>
      <c r="P18" s="14">
        <f t="shared" ref="P18" si="10">P17/P$11</f>
        <v>0.37873784456084153</v>
      </c>
      <c r="Q18" s="14">
        <f t="shared" ref="Q18" si="11">Q17/Q$11</f>
        <v>0.38268317882888875</v>
      </c>
      <c r="R18" s="14">
        <f t="shared" ref="R18" si="12">R17/R$11</f>
        <v>0.38944698623442686</v>
      </c>
    </row>
    <row r="19" spans="4:18" x14ac:dyDescent="0.35">
      <c r="I19" s="67"/>
      <c r="J19" s="67"/>
      <c r="K19" s="67"/>
      <c r="L19" s="67"/>
      <c r="M19" s="67"/>
    </row>
    <row r="20" spans="4:18" x14ac:dyDescent="0.35">
      <c r="D20" t="str">
        <f>'Hist - IS'!C219</f>
        <v>Depreciation &amp; Amortization</v>
      </c>
      <c r="I20" s="67">
        <f>-'Hist - IS'!H219</f>
        <v>-4405</v>
      </c>
      <c r="J20" s="67">
        <f>-'Hist - IS'!G219</f>
        <v>-4742</v>
      </c>
      <c r="K20" s="67">
        <f>-'Hist - IS'!F219</f>
        <v>-4792</v>
      </c>
      <c r="L20" s="67">
        <f>-'Hist - IS'!E219</f>
        <v>-4883</v>
      </c>
      <c r="M20" s="67">
        <f>-'Hist - IS'!D219</f>
        <v>-4853</v>
      </c>
      <c r="N20">
        <f>-Inputs!N106</f>
        <v>-4780.0893218987176</v>
      </c>
      <c r="O20">
        <f>-Inputs!O106</f>
        <v>-4525.9917672503643</v>
      </c>
      <c r="P20">
        <f>-Inputs!P106</f>
        <v>-4370.5594742207422</v>
      </c>
      <c r="Q20">
        <f>-Inputs!Q106</f>
        <v>-4179.0788953439514</v>
      </c>
      <c r="R20">
        <f>-Inputs!R106</f>
        <v>-4015.7088176373436</v>
      </c>
    </row>
    <row r="21" spans="4:18" x14ac:dyDescent="0.35">
      <c r="D21" s="17" t="s">
        <v>577</v>
      </c>
      <c r="I21" s="67">
        <f>I17+I20</f>
        <v>2712</v>
      </c>
      <c r="J21" s="67">
        <f t="shared" ref="J21:R21" si="13">J17+J20</f>
        <v>2611</v>
      </c>
      <c r="K21" s="67">
        <f t="shared" si="13"/>
        <v>2032</v>
      </c>
      <c r="L21" s="67">
        <f t="shared" si="13"/>
        <v>2228</v>
      </c>
      <c r="M21" s="67">
        <f t="shared" si="13"/>
        <v>2511</v>
      </c>
      <c r="N21" s="17">
        <f t="shared" si="13"/>
        <v>2586.1651864946789</v>
      </c>
      <c r="O21" s="17">
        <f t="shared" si="13"/>
        <v>2879.9705477012376</v>
      </c>
      <c r="P21" s="17">
        <f t="shared" si="13"/>
        <v>3086.0731446357449</v>
      </c>
      <c r="Q21" s="17">
        <f t="shared" si="13"/>
        <v>3460.7102245774149</v>
      </c>
      <c r="R21" s="17">
        <f t="shared" si="13"/>
        <v>3867.9587042215253</v>
      </c>
    </row>
    <row r="22" spans="4:18" x14ac:dyDescent="0.35">
      <c r="D22" t="s">
        <v>1002</v>
      </c>
      <c r="I22" s="74">
        <f>I21/I$11</f>
        <v>0.13010314224034542</v>
      </c>
      <c r="J22" s="74">
        <f t="shared" ref="J22" si="14">J21/J$11</f>
        <v>0.12632444723982778</v>
      </c>
      <c r="K22" s="74">
        <f t="shared" ref="K22" si="15">K21/K$11</f>
        <v>9.7528197744180464E-2</v>
      </c>
      <c r="L22" s="74">
        <f t="shared" ref="L22" si="16">L21/L$11</f>
        <v>0.10937653411880216</v>
      </c>
      <c r="M22" s="74">
        <f t="shared" ref="M22" si="17">M21/M$11</f>
        <v>0.12781227730835792</v>
      </c>
      <c r="N22" s="14">
        <f>N21/N$11</f>
        <v>0.13386166878208855</v>
      </c>
      <c r="O22" s="14">
        <f t="shared" ref="O22" si="18">O21/O$11</f>
        <v>0.14832759610082258</v>
      </c>
      <c r="P22" s="14">
        <f t="shared" ref="P22" si="19">P21/P$11</f>
        <v>0.15674805917093496</v>
      </c>
      <c r="Q22" s="14">
        <f t="shared" ref="Q22" si="20">Q21/Q$11</f>
        <v>0.17334975729808544</v>
      </c>
      <c r="R22" s="14">
        <f t="shared" ref="R22" si="21">R21/R$11</f>
        <v>0.19107412331400681</v>
      </c>
    </row>
    <row r="23" spans="4:18" x14ac:dyDescent="0.35">
      <c r="D23" s="17"/>
      <c r="I23" s="67"/>
      <c r="J23" s="67"/>
      <c r="K23" s="67"/>
      <c r="L23" s="67"/>
      <c r="M23" s="67"/>
    </row>
    <row r="24" spans="4:18" x14ac:dyDescent="0.35">
      <c r="D24" t="str">
        <f>'Hist - IS'!C229</f>
        <v>Interest Expense</v>
      </c>
      <c r="I24" s="67">
        <f>-'Hist - IS'!H229</f>
        <v>-761</v>
      </c>
      <c r="J24" s="67">
        <f>-'Hist - IS'!G229</f>
        <v>-886</v>
      </c>
      <c r="K24" s="67">
        <f>-'Hist - IS'!F229</f>
        <v>-1006</v>
      </c>
      <c r="L24" s="67">
        <f>-'Hist - IS'!E229</f>
        <v>-1037</v>
      </c>
      <c r="M24" s="67">
        <f>-'Hist - IS'!D229</f>
        <v>-963</v>
      </c>
      <c r="N24">
        <f ca="1">-N308+N310</f>
        <v>-498.24722018930595</v>
      </c>
      <c r="O24">
        <f t="shared" ref="O24:R24" ca="1" si="22">-O308+O310</f>
        <v>-496.33729886180595</v>
      </c>
      <c r="P24">
        <f t="shared" ca="1" si="22"/>
        <v>-473.02778226680596</v>
      </c>
      <c r="Q24">
        <f t="shared" ca="1" si="22"/>
        <v>-452.13087251180593</v>
      </c>
      <c r="R24">
        <f t="shared" ca="1" si="22"/>
        <v>-421.83357317180599</v>
      </c>
    </row>
    <row r="25" spans="4:18" x14ac:dyDescent="0.35">
      <c r="D25" t="str">
        <f>'Hist - IS'!C228</f>
        <v>Interest Income</v>
      </c>
      <c r="I25" s="67">
        <f>'Hist - IS'!H228</f>
        <v>12</v>
      </c>
      <c r="J25" s="67">
        <f>'Hist - IS'!G228</f>
        <v>63</v>
      </c>
      <c r="K25" s="67">
        <f>'Hist - IS'!F228</f>
        <v>181</v>
      </c>
      <c r="L25" s="67">
        <f>'Hist - IS'!E228</f>
        <v>151</v>
      </c>
      <c r="M25" s="67">
        <f>'Hist - IS'!D228</f>
        <v>98</v>
      </c>
      <c r="N25">
        <f ca="1">-N309</f>
        <v>10.731815840165954</v>
      </c>
      <c r="O25">
        <f t="shared" ref="O25:R25" ca="1" si="23">-O309</f>
        <v>14.628361832464593</v>
      </c>
      <c r="P25">
        <f t="shared" ca="1" si="23"/>
        <v>12.594035886173861</v>
      </c>
      <c r="Q25">
        <f t="shared" ca="1" si="23"/>
        <v>10.665908849301591</v>
      </c>
      <c r="R25">
        <f t="shared" ca="1" si="23"/>
        <v>12.065481943271854</v>
      </c>
    </row>
    <row r="26" spans="4:18" x14ac:dyDescent="0.35">
      <c r="D26" s="17" t="s">
        <v>570</v>
      </c>
      <c r="I26" s="67">
        <f>SUM(I24:I25)</f>
        <v>-749</v>
      </c>
      <c r="J26" s="67">
        <f t="shared" ref="J26:R26" si="24">SUM(J24:J25)</f>
        <v>-823</v>
      </c>
      <c r="K26" s="67">
        <f t="shared" si="24"/>
        <v>-825</v>
      </c>
      <c r="L26" s="67">
        <f t="shared" si="24"/>
        <v>-886</v>
      </c>
      <c r="M26" s="67">
        <f t="shared" si="24"/>
        <v>-865</v>
      </c>
      <c r="N26" s="17">
        <f t="shared" ca="1" si="24"/>
        <v>-487.51540434914</v>
      </c>
      <c r="O26" s="17">
        <f t="shared" ca="1" si="24"/>
        <v>-481.70893702934137</v>
      </c>
      <c r="P26" s="17">
        <f t="shared" ca="1" si="24"/>
        <v>-460.4337463806321</v>
      </c>
      <c r="Q26" s="17">
        <f t="shared" ca="1" si="24"/>
        <v>-441.46496366250432</v>
      </c>
      <c r="R26" s="17">
        <f t="shared" ca="1" si="24"/>
        <v>-409.76809122853416</v>
      </c>
    </row>
    <row r="27" spans="4:18" x14ac:dyDescent="0.35">
      <c r="I27" s="67"/>
      <c r="J27" s="67"/>
      <c r="K27" s="67"/>
      <c r="L27" s="67"/>
      <c r="M27" s="67"/>
    </row>
    <row r="28" spans="4:18" x14ac:dyDescent="0.35">
      <c r="D28" s="17" t="s">
        <v>572</v>
      </c>
      <c r="I28" s="67">
        <f>I21+I26</f>
        <v>1963</v>
      </c>
      <c r="J28" s="67">
        <f t="shared" ref="J28:R28" si="25">J21+J26</f>
        <v>1788</v>
      </c>
      <c r="K28" s="67">
        <f t="shared" si="25"/>
        <v>1207</v>
      </c>
      <c r="L28" s="67">
        <f t="shared" si="25"/>
        <v>1342</v>
      </c>
      <c r="M28" s="67">
        <f t="shared" si="25"/>
        <v>1646</v>
      </c>
      <c r="N28" s="17">
        <f t="shared" ca="1" si="25"/>
        <v>2098.6497821455387</v>
      </c>
      <c r="O28" s="17">
        <f t="shared" ca="1" si="25"/>
        <v>2398.2616106718961</v>
      </c>
      <c r="P28" s="17">
        <f t="shared" ca="1" si="25"/>
        <v>2625.6393982551126</v>
      </c>
      <c r="Q28" s="17">
        <f t="shared" ca="1" si="25"/>
        <v>3019.2452609149104</v>
      </c>
      <c r="R28" s="17">
        <f t="shared" ca="1" si="25"/>
        <v>3458.1906129929912</v>
      </c>
    </row>
    <row r="29" spans="4:18" x14ac:dyDescent="0.35">
      <c r="I29" s="67"/>
      <c r="J29" s="67"/>
      <c r="K29" s="67"/>
      <c r="L29" s="67"/>
      <c r="M29" s="67"/>
    </row>
    <row r="30" spans="4:18" x14ac:dyDescent="0.35">
      <c r="D30" t="s">
        <v>578</v>
      </c>
      <c r="I30" s="67">
        <f>-'Hist - IS'!H235</f>
        <v>152</v>
      </c>
      <c r="J30" s="67">
        <f>-'Hist - IS'!G235</f>
        <v>5</v>
      </c>
      <c r="K30" s="67">
        <f>-'Hist - IS'!F235</f>
        <v>-97</v>
      </c>
      <c r="L30" s="67">
        <f>-'Hist - IS'!E235</f>
        <v>-84</v>
      </c>
      <c r="M30" s="67">
        <f>-'Hist - IS'!D235</f>
        <v>-82</v>
      </c>
      <c r="N30">
        <f ca="1">-N275</f>
        <v>-207.1540889904237</v>
      </c>
      <c r="O30">
        <f t="shared" ref="O30:R30" ca="1" si="26">-O275</f>
        <v>-282.05704612201305</v>
      </c>
      <c r="P30">
        <f t="shared" ca="1" si="26"/>
        <v>-338.90149301781719</v>
      </c>
      <c r="Q30">
        <f t="shared" ca="1" si="26"/>
        <v>-437.30295868276664</v>
      </c>
      <c r="R30">
        <f t="shared" ca="1" si="26"/>
        <v>-547.03929670228683</v>
      </c>
    </row>
    <row r="31" spans="4:18" x14ac:dyDescent="0.35">
      <c r="D31" t="s">
        <v>579</v>
      </c>
      <c r="I31" s="67">
        <f>-'Hist - IS'!H236</f>
        <v>-841</v>
      </c>
      <c r="J31" s="67">
        <f>-'Hist - IS'!G236</f>
        <v>171</v>
      </c>
      <c r="K31" s="67">
        <f>-'Hist - IS'!F236</f>
        <v>-234</v>
      </c>
      <c r="L31" s="67">
        <f>-'Hist - IS'!E236</f>
        <v>-196</v>
      </c>
      <c r="M31" s="67">
        <f>-'Hist - IS'!D236</f>
        <v>-277</v>
      </c>
      <c r="N31">
        <f ca="1">-N276</f>
        <v>-317.50835654596096</v>
      </c>
      <c r="O31">
        <f t="shared" ref="O31:R31" ca="1" si="27">-O276</f>
        <v>-317.50835654596096</v>
      </c>
      <c r="P31">
        <f t="shared" ca="1" si="27"/>
        <v>-317.50835654596096</v>
      </c>
      <c r="Q31">
        <f t="shared" ca="1" si="27"/>
        <v>-317.50835654596096</v>
      </c>
      <c r="R31">
        <f t="shared" ca="1" si="27"/>
        <v>-317.50835654596096</v>
      </c>
    </row>
    <row r="32" spans="4:18" x14ac:dyDescent="0.35">
      <c r="D32" s="17" t="s">
        <v>573</v>
      </c>
      <c r="I32" s="67">
        <f>SUM(I30:I31)</f>
        <v>-689</v>
      </c>
      <c r="J32" s="67">
        <f t="shared" ref="J32:R32" si="28">SUM(J30:J31)</f>
        <v>176</v>
      </c>
      <c r="K32" s="67">
        <f t="shared" si="28"/>
        <v>-331</v>
      </c>
      <c r="L32" s="67">
        <f t="shared" si="28"/>
        <v>-280</v>
      </c>
      <c r="M32" s="67">
        <f t="shared" si="28"/>
        <v>-359</v>
      </c>
      <c r="N32" s="17">
        <f t="shared" ca="1" si="28"/>
        <v>-524.66244553638467</v>
      </c>
      <c r="O32" s="17">
        <f t="shared" ca="1" si="28"/>
        <v>-599.56540266797401</v>
      </c>
      <c r="P32" s="17">
        <f t="shared" ca="1" si="28"/>
        <v>-656.40984956377815</v>
      </c>
      <c r="Q32" s="17">
        <f t="shared" ca="1" si="28"/>
        <v>-754.81131522872761</v>
      </c>
      <c r="R32" s="17">
        <f t="shared" ca="1" si="28"/>
        <v>-864.5476532482478</v>
      </c>
    </row>
    <row r="33" spans="3:21" x14ac:dyDescent="0.35">
      <c r="I33" s="67"/>
      <c r="J33" s="67"/>
      <c r="K33" s="67"/>
      <c r="L33" s="67"/>
      <c r="M33" s="67"/>
    </row>
    <row r="34" spans="3:21" x14ac:dyDescent="0.35">
      <c r="D34" t="str">
        <f>'Hist - IS'!C239</f>
        <v>Equity in Earnings/(Loss) of Affiliates (after Taxes)</v>
      </c>
      <c r="I34" s="67">
        <f>-'Hist - IS'!H239</f>
        <v>0</v>
      </c>
      <c r="J34" s="67">
        <f>-'Hist - IS'!G239</f>
        <v>-59</v>
      </c>
      <c r="K34" s="67">
        <f>-'Hist - IS'!F239</f>
        <v>-21</v>
      </c>
      <c r="L34" s="67">
        <f>-'Hist - IS'!E239</f>
        <v>-8</v>
      </c>
      <c r="M34" s="67">
        <f>-'Hist - IS'!D239</f>
        <v>-210</v>
      </c>
      <c r="N34">
        <f>Inputs!N62</f>
        <v>0</v>
      </c>
      <c r="O34">
        <f>Inputs!O62</f>
        <v>0</v>
      </c>
      <c r="P34">
        <f>Inputs!P62</f>
        <v>0</v>
      </c>
      <c r="Q34">
        <f>Inputs!Q62</f>
        <v>0</v>
      </c>
      <c r="R34">
        <f>Inputs!R62</f>
        <v>0</v>
      </c>
    </row>
    <row r="35" spans="3:21" x14ac:dyDescent="0.35">
      <c r="I35" s="72"/>
      <c r="J35" s="72"/>
      <c r="K35" s="72"/>
      <c r="L35" s="72"/>
      <c r="M35" s="72"/>
    </row>
    <row r="36" spans="3:21" ht="15" thickBot="1" x14ac:dyDescent="0.4">
      <c r="D36" s="17" t="s">
        <v>157</v>
      </c>
      <c r="I36" s="73">
        <f>I28+I32+I34</f>
        <v>1274</v>
      </c>
      <c r="J36" s="73">
        <f t="shared" ref="J36:R36" si="29">J28+J32+J34</f>
        <v>1905</v>
      </c>
      <c r="K36" s="73">
        <f t="shared" si="29"/>
        <v>855</v>
      </c>
      <c r="L36" s="73">
        <f t="shared" si="29"/>
        <v>1054</v>
      </c>
      <c r="M36" s="73">
        <f t="shared" si="29"/>
        <v>1077</v>
      </c>
      <c r="N36" s="57">
        <f t="shared" ca="1" si="29"/>
        <v>1573.987336609154</v>
      </c>
      <c r="O36" s="57">
        <f t="shared" ca="1" si="29"/>
        <v>1798.696208003922</v>
      </c>
      <c r="P36" s="57">
        <f t="shared" ca="1" si="29"/>
        <v>1969.2295486913345</v>
      </c>
      <c r="Q36" s="57">
        <f t="shared" ca="1" si="29"/>
        <v>2264.4339456861826</v>
      </c>
      <c r="R36" s="57">
        <f t="shared" ca="1" si="29"/>
        <v>2593.6429597447432</v>
      </c>
    </row>
    <row r="37" spans="3:21" ht="15" thickTop="1" x14ac:dyDescent="0.35"/>
    <row r="39" spans="3:21" x14ac:dyDescent="0.35">
      <c r="D39" s="115" t="s">
        <v>1001</v>
      </c>
      <c r="E39" s="83"/>
      <c r="F39" s="83"/>
      <c r="G39" s="83"/>
      <c r="H39" s="83"/>
      <c r="I39" s="179">
        <f>I17/I11</f>
        <v>0.34142480211081794</v>
      </c>
      <c r="J39" s="179">
        <f t="shared" ref="J39:R39" si="30">J17/J11</f>
        <v>0.35575015724031156</v>
      </c>
      <c r="K39" s="179">
        <f t="shared" si="30"/>
        <v>0.3275257979361651</v>
      </c>
      <c r="L39" s="179">
        <f t="shared" si="30"/>
        <v>0.34909180166912124</v>
      </c>
      <c r="M39" s="179">
        <f t="shared" si="30"/>
        <v>0.37483457192303776</v>
      </c>
      <c r="N39" s="179">
        <f t="shared" si="30"/>
        <v>0.38128234279715145</v>
      </c>
      <c r="O39" s="179">
        <f t="shared" si="30"/>
        <v>0.38143049340100799</v>
      </c>
      <c r="P39" s="179">
        <f t="shared" si="30"/>
        <v>0.37873784456084153</v>
      </c>
      <c r="Q39" s="179">
        <f t="shared" si="30"/>
        <v>0.38268317882888875</v>
      </c>
      <c r="R39" s="180">
        <f t="shared" si="30"/>
        <v>0.38944698623442686</v>
      </c>
    </row>
    <row r="40" spans="3:21" x14ac:dyDescent="0.35">
      <c r="D40" s="86" t="s">
        <v>1065</v>
      </c>
      <c r="E40" s="87"/>
      <c r="F40" s="87"/>
      <c r="G40" s="87"/>
      <c r="H40" s="87"/>
      <c r="I40" s="181"/>
      <c r="J40" s="181">
        <f>(J17-I17)/I17</f>
        <v>3.316003934241956E-2</v>
      </c>
      <c r="K40" s="181">
        <f t="shared" ref="K40:R40" si="31">(K17-J17)/J17</f>
        <v>-7.1943424452604376E-2</v>
      </c>
      <c r="L40" s="181">
        <f t="shared" si="31"/>
        <v>4.2057444314185226E-2</v>
      </c>
      <c r="M40" s="181">
        <f t="shared" si="31"/>
        <v>3.557868091688933E-2</v>
      </c>
      <c r="N40" s="181">
        <f t="shared" si="31"/>
        <v>3.0615268785937853E-4</v>
      </c>
      <c r="O40" s="181">
        <f t="shared" si="31"/>
        <v>5.3905015789178657E-3</v>
      </c>
      <c r="P40" s="181">
        <f t="shared" si="31"/>
        <v>6.8418257817203587E-3</v>
      </c>
      <c r="Q40" s="181">
        <f t="shared" si="31"/>
        <v>2.4562897279089391E-2</v>
      </c>
      <c r="R40" s="182">
        <f t="shared" si="31"/>
        <v>3.1922137916290116E-2</v>
      </c>
    </row>
    <row r="41" spans="3:21" x14ac:dyDescent="0.35">
      <c r="D41" s="86" t="s">
        <v>1002</v>
      </c>
      <c r="E41" s="87"/>
      <c r="F41" s="87"/>
      <c r="G41" s="87"/>
      <c r="H41" s="87"/>
      <c r="I41" s="181">
        <f>I21/I11</f>
        <v>0.13010314224034542</v>
      </c>
      <c r="J41" s="181">
        <f t="shared" ref="J41:R41" si="32">J21/J11</f>
        <v>0.12632444723982778</v>
      </c>
      <c r="K41" s="181">
        <f t="shared" si="32"/>
        <v>9.7528197744180464E-2</v>
      </c>
      <c r="L41" s="181">
        <f t="shared" si="32"/>
        <v>0.10937653411880216</v>
      </c>
      <c r="M41" s="181">
        <f t="shared" si="32"/>
        <v>0.12781227730835792</v>
      </c>
      <c r="N41" s="181">
        <f t="shared" si="32"/>
        <v>0.13386166878208855</v>
      </c>
      <c r="O41" s="181">
        <f t="shared" si="32"/>
        <v>0.14832759610082258</v>
      </c>
      <c r="P41" s="181">
        <f t="shared" si="32"/>
        <v>0.15674805917093496</v>
      </c>
      <c r="Q41" s="181">
        <f t="shared" si="32"/>
        <v>0.17334975729808544</v>
      </c>
      <c r="R41" s="182">
        <f t="shared" si="32"/>
        <v>0.19107412331400681</v>
      </c>
    </row>
    <row r="42" spans="3:21" x14ac:dyDescent="0.35">
      <c r="D42" s="86" t="s">
        <v>1064</v>
      </c>
      <c r="E42" s="87"/>
      <c r="F42" s="87"/>
      <c r="G42" s="87"/>
      <c r="H42" s="87"/>
      <c r="I42" s="87"/>
      <c r="J42" s="181">
        <f>J21/I21-1</f>
        <v>-3.7241887905604676E-2</v>
      </c>
      <c r="K42" s="181">
        <f t="shared" ref="K42:R42" si="33">K21/J21-1</f>
        <v>-0.22175411719647642</v>
      </c>
      <c r="L42" s="181">
        <f t="shared" si="33"/>
        <v>9.6456692913385877E-2</v>
      </c>
      <c r="M42" s="181">
        <f t="shared" si="33"/>
        <v>0.12701974865350096</v>
      </c>
      <c r="N42" s="181">
        <f t="shared" si="33"/>
        <v>2.9934363398916419E-2</v>
      </c>
      <c r="O42" s="181">
        <f t="shared" si="33"/>
        <v>0.11360657190068602</v>
      </c>
      <c r="P42" s="181">
        <f t="shared" si="33"/>
        <v>7.1564133563454702E-2</v>
      </c>
      <c r="Q42" s="181">
        <f t="shared" si="33"/>
        <v>0.12139604681530947</v>
      </c>
      <c r="R42" s="182">
        <f t="shared" si="33"/>
        <v>0.11767771735174359</v>
      </c>
    </row>
    <row r="43" spans="3:21" x14ac:dyDescent="0.35">
      <c r="D43" s="86" t="s">
        <v>1015</v>
      </c>
      <c r="E43" s="87"/>
      <c r="F43" s="87"/>
      <c r="G43" s="87"/>
      <c r="H43" s="87"/>
      <c r="I43" s="181">
        <f>I36/I11</f>
        <v>6.1117774046533943E-2</v>
      </c>
      <c r="J43" s="181">
        <f t="shared" ref="J43:R43" si="34">J36/J11</f>
        <v>9.2167013401712711E-2</v>
      </c>
      <c r="K43" s="181">
        <f t="shared" si="34"/>
        <v>4.1036717062634988E-2</v>
      </c>
      <c r="L43" s="181">
        <f t="shared" si="34"/>
        <v>5.1742758959253801E-2</v>
      </c>
      <c r="M43" s="181">
        <f t="shared" si="34"/>
        <v>5.4820319657945635E-2</v>
      </c>
      <c r="N43" s="181">
        <f t="shared" ca="1" si="34"/>
        <v>8.1470654937535941E-2</v>
      </c>
      <c r="O43" s="181">
        <f t="shared" ca="1" si="34"/>
        <v>9.2638546203828692E-2</v>
      </c>
      <c r="P43" s="181">
        <f t="shared" ca="1" si="34"/>
        <v>0.10002125528228724</v>
      </c>
      <c r="Q43" s="181">
        <f t="shared" ca="1" si="34"/>
        <v>0.11342731677286805</v>
      </c>
      <c r="R43" s="182">
        <f t="shared" ca="1" si="34"/>
        <v>0.1281239259824295</v>
      </c>
    </row>
    <row r="44" spans="3:21" x14ac:dyDescent="0.35">
      <c r="D44" s="90" t="s">
        <v>1016</v>
      </c>
      <c r="E44" s="82"/>
      <c r="F44" s="82"/>
      <c r="G44" s="82"/>
      <c r="H44" s="82"/>
      <c r="I44" s="183"/>
      <c r="J44" s="183">
        <f>J36/I36-1</f>
        <v>0.49529042386185251</v>
      </c>
      <c r="K44" s="183">
        <f t="shared" ref="K44:R44" si="35">K36/J36-1</f>
        <v>-0.55118110236220474</v>
      </c>
      <c r="L44" s="183">
        <f t="shared" si="35"/>
        <v>0.23274853801169582</v>
      </c>
      <c r="M44" s="183">
        <f t="shared" si="35"/>
        <v>2.182163187855779E-2</v>
      </c>
      <c r="N44" s="183">
        <f t="shared" ca="1" si="35"/>
        <v>0.46145528004563974</v>
      </c>
      <c r="O44" s="183">
        <f t="shared" ca="1" si="35"/>
        <v>0.14276409102430199</v>
      </c>
      <c r="P44" s="183">
        <f t="shared" ca="1" si="35"/>
        <v>9.4809418026549075E-2</v>
      </c>
      <c r="Q44" s="183">
        <f t="shared" ca="1" si="35"/>
        <v>0.14990857576305827</v>
      </c>
      <c r="R44" s="184">
        <f t="shared" ca="1" si="35"/>
        <v>0.14538247613082911</v>
      </c>
    </row>
    <row r="45" spans="3:21" x14ac:dyDescent="0.35">
      <c r="I45" s="14"/>
      <c r="J45" s="14"/>
      <c r="K45" s="14"/>
      <c r="L45" s="14"/>
      <c r="M45" s="14"/>
      <c r="N45" s="14"/>
      <c r="O45" s="14"/>
      <c r="P45" s="14"/>
      <c r="Q45" s="14"/>
      <c r="R45" s="14"/>
    </row>
    <row r="47" spans="3:21" ht="17.5" thickBot="1" x14ac:dyDescent="0.45">
      <c r="C47" s="58" t="s">
        <v>967</v>
      </c>
      <c r="D47" s="58"/>
      <c r="E47" s="58"/>
      <c r="F47" s="58"/>
      <c r="G47" s="58"/>
      <c r="H47" s="58"/>
      <c r="I47" s="58"/>
      <c r="J47" s="58"/>
      <c r="K47" s="58"/>
      <c r="L47" s="58"/>
      <c r="M47" s="58"/>
      <c r="N47" s="58"/>
      <c r="O47" s="58"/>
      <c r="P47" s="58"/>
      <c r="Q47" s="58"/>
      <c r="R47" s="58"/>
      <c r="S47" s="58"/>
      <c r="T47" s="58"/>
      <c r="U47" s="58"/>
    </row>
    <row r="48" spans="3:21" ht="15" thickTop="1" x14ac:dyDescent="0.35"/>
    <row r="49" spans="3:18" ht="18.5" x14ac:dyDescent="0.45">
      <c r="C49" s="64" t="s">
        <v>968</v>
      </c>
    </row>
    <row r="50" spans="3:18" ht="14" customHeight="1" x14ac:dyDescent="0.45">
      <c r="C50" s="64"/>
      <c r="D50" t="s">
        <v>275</v>
      </c>
      <c r="L50" s="67">
        <f>'Hist - BS'!D248</f>
        <v>216</v>
      </c>
      <c r="M50" s="67">
        <f>'Hist - BS'!E248</f>
        <v>359</v>
      </c>
      <c r="N50" s="185">
        <f ca="1">N138</f>
        <v>1358.0905344265529</v>
      </c>
      <c r="O50" s="185">
        <f t="shared" ref="O50:R50" ca="1" si="36">O138</f>
        <v>982.44735876778259</v>
      </c>
      <c r="P50" s="185">
        <f t="shared" ca="1" si="36"/>
        <v>1032.5983830200357</v>
      </c>
      <c r="Q50" s="185">
        <f t="shared" ca="1" si="36"/>
        <v>673.94703286821914</v>
      </c>
      <c r="R50" s="185">
        <f t="shared" ca="1" si="36"/>
        <v>1256.530078055278</v>
      </c>
    </row>
    <row r="51" spans="3:18" x14ac:dyDescent="0.35">
      <c r="D51" t="str">
        <f>Inputs!D85</f>
        <v>Inventories</v>
      </c>
      <c r="L51" s="67">
        <f>'Hist - BS'!D240</f>
        <v>331</v>
      </c>
      <c r="M51" s="67">
        <f>'Hist - BS'!E240</f>
        <v>366</v>
      </c>
      <c r="N51">
        <f>N156</f>
        <v>332.2005774342822</v>
      </c>
      <c r="O51">
        <f t="shared" ref="O51:R51" si="37">O156</f>
        <v>342.66204203286458</v>
      </c>
      <c r="P51">
        <f t="shared" si="37"/>
        <v>337.95365382736952</v>
      </c>
      <c r="Q51">
        <f t="shared" si="37"/>
        <v>342.27319619079191</v>
      </c>
      <c r="R51">
        <f t="shared" si="37"/>
        <v>341.99137789840125</v>
      </c>
    </row>
    <row r="52" spans="3:18" x14ac:dyDescent="0.35">
      <c r="D52" t="str">
        <f>Inputs!D86</f>
        <v>Trade and other receivables</v>
      </c>
      <c r="L52" s="67">
        <f>'Hist - BS'!D314</f>
        <v>3464</v>
      </c>
      <c r="M52" s="67">
        <f>'Hist - BS'!E314</f>
        <v>3549</v>
      </c>
      <c r="N52">
        <f t="shared" ref="N52:R56" si="38">N157</f>
        <v>3387.7207628087654</v>
      </c>
      <c r="O52">
        <f t="shared" si="38"/>
        <v>3456.0807657685768</v>
      </c>
      <c r="P52">
        <f t="shared" si="38"/>
        <v>3478.3952471224325</v>
      </c>
      <c r="Q52">
        <f t="shared" si="38"/>
        <v>3540.3105998111669</v>
      </c>
      <c r="R52">
        <f t="shared" si="38"/>
        <v>3583.1735138594099</v>
      </c>
    </row>
    <row r="53" spans="3:18" x14ac:dyDescent="0.35">
      <c r="D53" t="str">
        <f>Inputs!D87</f>
        <v>Preference shares in joint</v>
      </c>
      <c r="L53" s="67">
        <f>'Hist - BS'!D242</f>
        <v>161</v>
      </c>
      <c r="M53" s="67">
        <f>'Hist - BS'!E242</f>
        <v>282</v>
      </c>
      <c r="N53">
        <f t="shared" si="38"/>
        <v>282</v>
      </c>
      <c r="O53">
        <f t="shared" si="38"/>
        <v>282</v>
      </c>
      <c r="P53">
        <f t="shared" si="38"/>
        <v>282</v>
      </c>
      <c r="Q53">
        <f t="shared" si="38"/>
        <v>282</v>
      </c>
      <c r="R53">
        <f t="shared" si="38"/>
        <v>282</v>
      </c>
    </row>
    <row r="54" spans="3:18" x14ac:dyDescent="0.35">
      <c r="D54" t="str">
        <f>Inputs!D88</f>
        <v>Contract assets</v>
      </c>
      <c r="L54" s="67">
        <f>'Hist - BS'!D243</f>
        <v>1194</v>
      </c>
      <c r="M54" s="67">
        <f>'Hist - BS'!E243</f>
        <v>1009</v>
      </c>
      <c r="N54">
        <f t="shared" si="38"/>
        <v>982.67342165666946</v>
      </c>
      <c r="O54">
        <f t="shared" si="38"/>
        <v>977.92607075364197</v>
      </c>
      <c r="P54">
        <f t="shared" si="38"/>
        <v>981.77464381193158</v>
      </c>
      <c r="Q54">
        <f t="shared" si="38"/>
        <v>985.49200651654837</v>
      </c>
      <c r="R54">
        <f t="shared" si="38"/>
        <v>989.07284121909936</v>
      </c>
    </row>
    <row r="55" spans="3:18" x14ac:dyDescent="0.35">
      <c r="D55" t="str">
        <f>Inputs!D89</f>
        <v>Assets classified as held</v>
      </c>
      <c r="L55" s="67">
        <f>'Hist - BS'!D244</f>
        <v>245</v>
      </c>
      <c r="M55" s="67">
        <f>'Hist - BS'!E244</f>
        <v>0</v>
      </c>
      <c r="N55">
        <f t="shared" si="38"/>
        <v>0</v>
      </c>
      <c r="O55">
        <f t="shared" si="38"/>
        <v>0</v>
      </c>
      <c r="P55">
        <f t="shared" si="38"/>
        <v>0</v>
      </c>
      <c r="Q55">
        <f t="shared" si="38"/>
        <v>0</v>
      </c>
      <c r="R55">
        <f t="shared" si="38"/>
        <v>0</v>
      </c>
    </row>
    <row r="56" spans="3:18" x14ac:dyDescent="0.35">
      <c r="D56" t="str">
        <f>Inputs!D90</f>
        <v>Short Term Investments</v>
      </c>
      <c r="L56" s="67">
        <f>'Hist - BS'!D309</f>
        <v>2761</v>
      </c>
      <c r="M56" s="67">
        <f>'Hist - BS'!E309</f>
        <v>1550</v>
      </c>
      <c r="N56">
        <f t="shared" si="38"/>
        <v>1550</v>
      </c>
      <c r="O56">
        <f t="shared" si="38"/>
        <v>1550</v>
      </c>
      <c r="P56">
        <f t="shared" si="38"/>
        <v>1550</v>
      </c>
      <c r="Q56">
        <f t="shared" si="38"/>
        <v>1550</v>
      </c>
      <c r="R56">
        <f t="shared" si="38"/>
        <v>1550</v>
      </c>
    </row>
    <row r="57" spans="3:18" x14ac:dyDescent="0.35">
      <c r="D57" s="17" t="s">
        <v>291</v>
      </c>
      <c r="L57" s="17">
        <f t="shared" ref="L57" si="39">SUM(L50:L56)</f>
        <v>8372</v>
      </c>
      <c r="M57" s="17">
        <f t="shared" ref="M57" si="40">SUM(M50:M56)</f>
        <v>7115</v>
      </c>
      <c r="N57" s="17">
        <f t="shared" ref="N57:R57" ca="1" si="41">SUM(N50:N56)</f>
        <v>7892.68529632627</v>
      </c>
      <c r="O57" s="17">
        <f t="shared" ca="1" si="41"/>
        <v>7591.1162373228663</v>
      </c>
      <c r="P57" s="17">
        <f t="shared" ca="1" si="41"/>
        <v>7662.7219277817694</v>
      </c>
      <c r="Q57" s="17">
        <f t="shared" ca="1" si="41"/>
        <v>7374.022835386726</v>
      </c>
      <c r="R57" s="17">
        <f t="shared" ca="1" si="41"/>
        <v>8002.7678110321885</v>
      </c>
    </row>
    <row r="58" spans="3:18" x14ac:dyDescent="0.35">
      <c r="D58">
        <f>Inputs!D92</f>
        <v>0</v>
      </c>
      <c r="L58" s="72"/>
      <c r="M58" s="72"/>
    </row>
    <row r="59" spans="3:18" x14ac:dyDescent="0.35">
      <c r="D59" t="str">
        <f>Inputs!D93</f>
        <v>Goodwill</v>
      </c>
      <c r="L59" s="67">
        <f>'Hist - BS'!D253</f>
        <v>7310</v>
      </c>
      <c r="M59" s="67">
        <f>'Hist - BS'!E253</f>
        <v>7305</v>
      </c>
      <c r="N59">
        <f>N210</f>
        <v>7305</v>
      </c>
      <c r="O59">
        <f t="shared" ref="O59:R59" si="42">O210</f>
        <v>7305</v>
      </c>
      <c r="P59">
        <f t="shared" si="42"/>
        <v>7305</v>
      </c>
      <c r="Q59">
        <f t="shared" si="42"/>
        <v>7305</v>
      </c>
      <c r="R59">
        <f t="shared" si="42"/>
        <v>7305</v>
      </c>
    </row>
    <row r="60" spans="3:18" x14ac:dyDescent="0.35">
      <c r="D60" t="s">
        <v>975</v>
      </c>
      <c r="L60" s="67">
        <f>'Hist - BS'!D320</f>
        <v>26708</v>
      </c>
      <c r="M60" s="67">
        <f>'Hist - BS'!E320</f>
        <v>27682</v>
      </c>
      <c r="N60">
        <f>N205</f>
        <v>27860.69345149372</v>
      </c>
      <c r="O60">
        <f t="shared" ref="O60:R60" si="43">O205</f>
        <v>28091.816521483364</v>
      </c>
      <c r="P60">
        <f t="shared" si="43"/>
        <v>28284.905549091858</v>
      </c>
      <c r="Q60">
        <f t="shared" si="43"/>
        <v>28483.876871331391</v>
      </c>
      <c r="R60">
        <f t="shared" si="43"/>
        <v>28668.168053694048</v>
      </c>
    </row>
    <row r="61" spans="3:18" x14ac:dyDescent="0.35">
      <c r="D61" t="str">
        <f>Inputs!D94</f>
        <v>Other intangible assets</v>
      </c>
      <c r="L61" s="67">
        <f>'Hist - BS'!D254</f>
        <v>5123</v>
      </c>
      <c r="M61" s="67">
        <f>'Hist - BS'!E254</f>
        <v>4663</v>
      </c>
      <c r="N61">
        <f>N164</f>
        <v>4653.7964174208364</v>
      </c>
      <c r="O61">
        <f t="shared" ref="O61:R61" si="44">O164</f>
        <v>4575.3541895427588</v>
      </c>
      <c r="P61">
        <f t="shared" si="44"/>
        <v>4621.4500883736491</v>
      </c>
      <c r="Q61">
        <f t="shared" si="44"/>
        <v>4624.85050724145</v>
      </c>
      <c r="R61">
        <f t="shared" si="44"/>
        <v>4648.7297990032357</v>
      </c>
    </row>
    <row r="62" spans="3:18" x14ac:dyDescent="0.35">
      <c r="D62" t="str">
        <f>Inputs!D95</f>
        <v>Long Term Investments</v>
      </c>
      <c r="L62" s="67">
        <f>'Hist - BS'!D325</f>
        <v>921</v>
      </c>
      <c r="M62" s="67">
        <f>'Hist - BS'!E325</f>
        <v>850</v>
      </c>
      <c r="N62">
        <f>N216</f>
        <v>850</v>
      </c>
      <c r="O62">
        <f t="shared" ref="O62:R62" si="45">O216</f>
        <v>850</v>
      </c>
      <c r="P62">
        <f t="shared" si="45"/>
        <v>850</v>
      </c>
      <c r="Q62">
        <f t="shared" si="45"/>
        <v>850</v>
      </c>
      <c r="R62">
        <f t="shared" si="45"/>
        <v>850</v>
      </c>
    </row>
    <row r="63" spans="3:18" x14ac:dyDescent="0.35">
      <c r="D63" t="str">
        <f>Inputs!D96</f>
        <v>Joint ventures and associates</v>
      </c>
      <c r="L63" s="67">
        <f>'Hist - BS'!D259</f>
        <v>252</v>
      </c>
      <c r="M63" s="67">
        <f>'Hist - BS'!E259</f>
        <v>4</v>
      </c>
      <c r="N63">
        <f>N221</f>
        <v>4</v>
      </c>
      <c r="O63">
        <f t="shared" ref="O63:R63" si="46">O221</f>
        <v>4</v>
      </c>
      <c r="P63">
        <f t="shared" si="46"/>
        <v>4</v>
      </c>
      <c r="Q63">
        <f t="shared" si="46"/>
        <v>4</v>
      </c>
      <c r="R63">
        <f t="shared" si="46"/>
        <v>4</v>
      </c>
    </row>
    <row r="64" spans="3:18" x14ac:dyDescent="0.35">
      <c r="D64" t="str">
        <f>Inputs!D97</f>
        <v>Trade and other receivables</v>
      </c>
      <c r="L64" s="67">
        <f>'Hist - BS'!D260</f>
        <v>655</v>
      </c>
      <c r="M64" s="67">
        <f>'Hist - BS'!E260</f>
        <v>681</v>
      </c>
      <c r="N64">
        <f>N165</f>
        <v>645.45785301625358</v>
      </c>
      <c r="O64">
        <f t="shared" ref="O64:R64" si="47">O165</f>
        <v>660.86116430869617</v>
      </c>
      <c r="P64">
        <f t="shared" si="47"/>
        <v>663.93997744114574</v>
      </c>
      <c r="Q64">
        <f t="shared" si="47"/>
        <v>676.36497141143309</v>
      </c>
      <c r="R64">
        <f t="shared" si="47"/>
        <v>684.24725502813476</v>
      </c>
    </row>
    <row r="65" spans="3:18" x14ac:dyDescent="0.35">
      <c r="D65" t="str">
        <f>Inputs!D98</f>
        <v>Preference shares in joint</v>
      </c>
      <c r="L65" s="67">
        <f>'Hist - BS'!D261</f>
        <v>234</v>
      </c>
      <c r="M65" s="67">
        <f>'Hist - BS'!E261</f>
        <v>0</v>
      </c>
      <c r="N65">
        <f>N226</f>
        <v>0</v>
      </c>
      <c r="O65">
        <f t="shared" ref="O65:R65" si="48">O226</f>
        <v>0</v>
      </c>
      <c r="P65">
        <f t="shared" si="48"/>
        <v>0</v>
      </c>
      <c r="Q65">
        <f t="shared" si="48"/>
        <v>0</v>
      </c>
      <c r="R65">
        <f t="shared" si="48"/>
        <v>0</v>
      </c>
    </row>
    <row r="66" spans="3:18" x14ac:dyDescent="0.35">
      <c r="D66" t="str">
        <f>Inputs!D99</f>
        <v>Contract assets</v>
      </c>
      <c r="L66" s="67">
        <f>'Hist - BS'!D262</f>
        <v>306</v>
      </c>
      <c r="M66" s="67">
        <f>'Hist - BS'!E262</f>
        <v>382</v>
      </c>
      <c r="N66">
        <f>N166</f>
        <v>328.36228388542543</v>
      </c>
      <c r="O66">
        <f t="shared" ref="O66:R66" si="49">O166</f>
        <v>348.50579269773067</v>
      </c>
      <c r="P66">
        <f t="shared" si="49"/>
        <v>338.96963656137842</v>
      </c>
      <c r="Q66">
        <f t="shared" si="49"/>
        <v>345.7275920519304</v>
      </c>
      <c r="R66">
        <f t="shared" si="49"/>
        <v>344.2366193010871</v>
      </c>
    </row>
    <row r="67" spans="3:18" x14ac:dyDescent="0.35">
      <c r="D67" t="str">
        <f>Inputs!D100</f>
        <v>Retirement benefit surplus</v>
      </c>
      <c r="L67" s="67">
        <f>'Hist - BS'!D263</f>
        <v>142</v>
      </c>
      <c r="M67" s="67">
        <f>'Hist - BS'!E263</f>
        <v>170</v>
      </c>
      <c r="N67">
        <f>N167</f>
        <v>144.53215941578435</v>
      </c>
      <c r="O67">
        <f t="shared" ref="O67:R67" si="50">O167</f>
        <v>157.32553435870796</v>
      </c>
      <c r="P67">
        <f t="shared" si="50"/>
        <v>157.25445968257799</v>
      </c>
      <c r="Q67">
        <f t="shared" si="50"/>
        <v>161.83518423102646</v>
      </c>
      <c r="R67">
        <f t="shared" si="50"/>
        <v>160.79235027017552</v>
      </c>
    </row>
    <row r="68" spans="3:18" x14ac:dyDescent="0.35">
      <c r="D68" t="str">
        <f>Inputs!D101</f>
        <v>Deferred tax assets</v>
      </c>
      <c r="L68" s="67">
        <f>'Hist - BS'!D264</f>
        <v>959</v>
      </c>
      <c r="M68" s="67">
        <f>'Hist - BS'!E264</f>
        <v>1124</v>
      </c>
      <c r="N68" s="185">
        <f ca="1">M68+MAX(0,N31)</f>
        <v>1124</v>
      </c>
      <c r="O68" s="185">
        <f t="shared" ref="O68:R68" ca="1" si="51">N68+MAX(0,O31)</f>
        <v>1124</v>
      </c>
      <c r="P68" s="185">
        <f t="shared" ca="1" si="51"/>
        <v>1124</v>
      </c>
      <c r="Q68" s="185">
        <f t="shared" ca="1" si="51"/>
        <v>1124</v>
      </c>
      <c r="R68" s="185">
        <f t="shared" ca="1" si="51"/>
        <v>1124</v>
      </c>
    </row>
    <row r="69" spans="3:18" x14ac:dyDescent="0.35">
      <c r="D69" s="17" t="s">
        <v>969</v>
      </c>
      <c r="L69" s="145">
        <f t="shared" ref="L69" si="52">SUM(L59:L68)</f>
        <v>42610</v>
      </c>
      <c r="M69" s="145">
        <f t="shared" ref="M69" si="53">SUM(M59:M68)</f>
        <v>42861</v>
      </c>
      <c r="N69" s="145">
        <f t="shared" ref="N69:R69" ca="1" si="54">SUM(N59:N68)</f>
        <v>42915.842165232025</v>
      </c>
      <c r="O69" s="145">
        <f t="shared" ca="1" si="54"/>
        <v>43116.863202391258</v>
      </c>
      <c r="P69" s="145">
        <f t="shared" ca="1" si="54"/>
        <v>43349.519711150599</v>
      </c>
      <c r="Q69" s="145">
        <f t="shared" ca="1" si="54"/>
        <v>43575.655126267236</v>
      </c>
      <c r="R69" s="145">
        <f t="shared" ca="1" si="54"/>
        <v>43789.174077296688</v>
      </c>
    </row>
    <row r="70" spans="3:18" ht="15" thickBot="1" x14ac:dyDescent="0.4">
      <c r="D70" s="17" t="s">
        <v>344</v>
      </c>
      <c r="L70" s="57">
        <f t="shared" ref="L70" si="55">L57+L69</f>
        <v>50982</v>
      </c>
      <c r="M70" s="57">
        <f t="shared" ref="M70" si="56">M57+M69</f>
        <v>49976</v>
      </c>
      <c r="N70" s="57">
        <f t="shared" ref="N70:R70" ca="1" si="57">N57+N69</f>
        <v>50808.527461558297</v>
      </c>
      <c r="O70" s="57">
        <f t="shared" ca="1" si="57"/>
        <v>50707.979439714123</v>
      </c>
      <c r="P70" s="57">
        <f t="shared" ca="1" si="57"/>
        <v>51012.24163893237</v>
      </c>
      <c r="Q70" s="57">
        <f t="shared" ca="1" si="57"/>
        <v>50949.677961653964</v>
      </c>
      <c r="R70" s="57">
        <f t="shared" ca="1" si="57"/>
        <v>51791.941888328874</v>
      </c>
    </row>
    <row r="71" spans="3:18" ht="15" thickTop="1" x14ac:dyDescent="0.35">
      <c r="L71" s="72"/>
      <c r="M71" s="72"/>
    </row>
    <row r="72" spans="3:18" ht="18.5" x14ac:dyDescent="0.45">
      <c r="C72" s="64" t="s">
        <v>970</v>
      </c>
      <c r="L72" s="72"/>
      <c r="M72" s="72"/>
    </row>
    <row r="73" spans="3:18" x14ac:dyDescent="0.35">
      <c r="D73" t="s">
        <v>1025</v>
      </c>
      <c r="L73" s="232"/>
      <c r="M73" s="232"/>
      <c r="N73">
        <f ca="1">N470</f>
        <v>0</v>
      </c>
      <c r="O73">
        <f t="shared" ref="O73:R73" ca="1" si="58">O470</f>
        <v>0</v>
      </c>
      <c r="P73">
        <f t="shared" ca="1" si="58"/>
        <v>0</v>
      </c>
      <c r="Q73">
        <f t="shared" ca="1" si="58"/>
        <v>0</v>
      </c>
      <c r="R73">
        <f t="shared" ca="1" si="58"/>
        <v>0</v>
      </c>
    </row>
    <row r="74" spans="3:18" x14ac:dyDescent="0.35">
      <c r="D74" t="str">
        <f>Inputs!D112</f>
        <v>Derivative financial instruments</v>
      </c>
      <c r="L74" s="67">
        <f>'Hist - BS'!D269</f>
        <v>106</v>
      </c>
      <c r="M74" s="67">
        <f>'Hist - BS'!E269</f>
        <v>85</v>
      </c>
      <c r="N74">
        <f>N173</f>
        <v>85</v>
      </c>
      <c r="O74">
        <f t="shared" ref="O74:R74" si="59">O173</f>
        <v>85</v>
      </c>
      <c r="P74">
        <f t="shared" si="59"/>
        <v>85</v>
      </c>
      <c r="Q74">
        <f t="shared" si="59"/>
        <v>85</v>
      </c>
      <c r="R74">
        <f t="shared" si="59"/>
        <v>85</v>
      </c>
    </row>
    <row r="75" spans="3:18" x14ac:dyDescent="0.35">
      <c r="D75" t="str">
        <f>Inputs!D113</f>
        <v>Trade and other payables</v>
      </c>
      <c r="L75" s="67">
        <f>'Hist - BS'!D270</f>
        <v>5955</v>
      </c>
      <c r="M75" s="67">
        <f>'Hist - BS'!E270</f>
        <v>5895</v>
      </c>
      <c r="N75">
        <f t="shared" ref="N75:R80" si="60">N174</f>
        <v>5640.7556389392585</v>
      </c>
      <c r="O75">
        <f t="shared" si="60"/>
        <v>5663.4789691925644</v>
      </c>
      <c r="P75">
        <f t="shared" si="60"/>
        <v>5660.6818670252742</v>
      </c>
      <c r="Q75">
        <f t="shared" si="60"/>
        <v>5694.7055006587698</v>
      </c>
      <c r="R75">
        <f t="shared" si="60"/>
        <v>5709.0795286116863</v>
      </c>
    </row>
    <row r="76" spans="3:18" x14ac:dyDescent="0.35">
      <c r="D76" t="str">
        <f>Inputs!D114</f>
        <v>Contract liabilities</v>
      </c>
      <c r="L76" s="67">
        <f>'Hist - BS'!D271</f>
        <v>899</v>
      </c>
      <c r="M76" s="67">
        <f>'Hist - BS'!E271</f>
        <v>963</v>
      </c>
      <c r="N76">
        <f t="shared" si="60"/>
        <v>899.82532428983041</v>
      </c>
      <c r="O76">
        <f t="shared" si="60"/>
        <v>928.03213033201519</v>
      </c>
      <c r="P76">
        <f t="shared" si="60"/>
        <v>929.00478669035044</v>
      </c>
      <c r="Q76">
        <f t="shared" si="60"/>
        <v>948.10488899143593</v>
      </c>
      <c r="R76">
        <f t="shared" si="60"/>
        <v>958.28868154659381</v>
      </c>
    </row>
    <row r="77" spans="3:18" x14ac:dyDescent="0.35">
      <c r="D77" t="str">
        <f>Inputs!D115</f>
        <v>Lease liabilities</v>
      </c>
      <c r="L77" s="67">
        <f>'Hist - BS'!D272</f>
        <v>705</v>
      </c>
      <c r="M77" s="67">
        <f>'Hist - BS'!E272</f>
        <v>779</v>
      </c>
      <c r="N77">
        <f t="shared" si="60"/>
        <v>717.35492679982553</v>
      </c>
      <c r="O77">
        <f t="shared" si="60"/>
        <v>745.41649547152963</v>
      </c>
      <c r="P77">
        <f t="shared" si="60"/>
        <v>743.44360583101457</v>
      </c>
      <c r="Q77">
        <f t="shared" si="60"/>
        <v>760.14303764524686</v>
      </c>
      <c r="R77">
        <f t="shared" si="60"/>
        <v>767.59539095665309</v>
      </c>
    </row>
    <row r="78" spans="3:18" x14ac:dyDescent="0.35">
      <c r="D78" t="str">
        <f>Inputs!D116</f>
        <v>Liabilities held for sale</v>
      </c>
      <c r="L78" s="67">
        <f>'Hist - BS'!D273</f>
        <v>188</v>
      </c>
      <c r="M78" s="67">
        <f>'Hist - BS'!E273</f>
        <v>0</v>
      </c>
      <c r="N78">
        <f t="shared" si="60"/>
        <v>0</v>
      </c>
      <c r="O78">
        <f t="shared" si="60"/>
        <v>0</v>
      </c>
      <c r="P78">
        <f t="shared" si="60"/>
        <v>0</v>
      </c>
      <c r="Q78">
        <f t="shared" si="60"/>
        <v>0</v>
      </c>
      <c r="R78">
        <f t="shared" si="60"/>
        <v>0</v>
      </c>
    </row>
    <row r="79" spans="3:18" x14ac:dyDescent="0.35">
      <c r="D79" t="str">
        <f>Inputs!D117</f>
        <v>Current tax liabilities</v>
      </c>
      <c r="L79" s="67">
        <f>'Hist - BS'!D274</f>
        <v>82</v>
      </c>
      <c r="M79" s="67">
        <f>'Hist - BS'!E274</f>
        <v>66</v>
      </c>
      <c r="N79">
        <f ca="1">N178</f>
        <v>84.149991264644925</v>
      </c>
      <c r="O79">
        <f t="shared" ref="O79:R79" ca="1" si="61">O178</f>
        <v>96.163588277244926</v>
      </c>
      <c r="P79">
        <f t="shared" ca="1" si="61"/>
        <v>105.28080211715518</v>
      </c>
      <c r="Q79">
        <f t="shared" ca="1" si="61"/>
        <v>121.06329721773031</v>
      </c>
      <c r="R79">
        <f t="shared" ca="1" si="61"/>
        <v>138.66377913580644</v>
      </c>
    </row>
    <row r="80" spans="3:18" x14ac:dyDescent="0.35">
      <c r="D80" t="str">
        <f>Inputs!D118</f>
        <v>Provisions</v>
      </c>
      <c r="L80" s="67">
        <f>'Hist - BS'!D275</f>
        <v>258</v>
      </c>
      <c r="M80" s="67">
        <f>'Hist - BS'!E275</f>
        <v>201</v>
      </c>
      <c r="N80">
        <f t="shared" ca="1" si="60"/>
        <v>534.5650711850252</v>
      </c>
      <c r="O80">
        <f t="shared" ca="1" si="60"/>
        <v>574.99033582229549</v>
      </c>
      <c r="P80">
        <f t="shared" ca="1" si="60"/>
        <v>649.15197373702301</v>
      </c>
      <c r="Q80">
        <f t="shared" ca="1" si="60"/>
        <v>735.1692148734528</v>
      </c>
      <c r="R80">
        <f t="shared" ca="1" si="60"/>
        <v>848.51917430753088</v>
      </c>
    </row>
    <row r="81" spans="3:18" x14ac:dyDescent="0.35">
      <c r="D81" s="17" t="s">
        <v>971</v>
      </c>
      <c r="L81" s="18">
        <f t="shared" ref="L81" si="62">SUM(L74:L80)</f>
        <v>8193</v>
      </c>
      <c r="M81" s="18">
        <f t="shared" ref="M81" si="63">SUM(M74:M80)</f>
        <v>7989</v>
      </c>
      <c r="N81" s="18">
        <f t="shared" ref="N81:R81" ca="1" si="64">SUM(N74:N80)</f>
        <v>7961.6509524785852</v>
      </c>
      <c r="O81" s="18">
        <f t="shared" ca="1" si="64"/>
        <v>8093.08151909565</v>
      </c>
      <c r="P81" s="18">
        <f t="shared" ca="1" si="64"/>
        <v>8172.5630354008172</v>
      </c>
      <c r="Q81" s="18">
        <f t="shared" ca="1" si="64"/>
        <v>8344.1859393866362</v>
      </c>
      <c r="R81" s="18">
        <f t="shared" ca="1" si="64"/>
        <v>8507.1465545582705</v>
      </c>
    </row>
    <row r="82" spans="3:18" x14ac:dyDescent="0.35">
      <c r="L82" s="72"/>
      <c r="M82" s="72"/>
    </row>
    <row r="83" spans="3:18" x14ac:dyDescent="0.35">
      <c r="D83" t="str">
        <f>'Hist - BS'!B331</f>
        <v>Total loans and Borrowings</v>
      </c>
      <c r="L83" s="67">
        <f>'Hist - BS'!J331</f>
        <v>18762</v>
      </c>
      <c r="M83" s="67">
        <f>'Hist - BS'!K331</f>
        <v>18536</v>
      </c>
      <c r="N83" s="185">
        <f>N303</f>
        <v>18281.343822999999</v>
      </c>
      <c r="O83" s="185">
        <f t="shared" ref="O83:R83" si="65">O303</f>
        <v>16727.376049999999</v>
      </c>
      <c r="P83" s="185">
        <f t="shared" si="65"/>
        <v>15334.248732999999</v>
      </c>
      <c r="Q83" s="185">
        <f t="shared" si="65"/>
        <v>13314.428776999999</v>
      </c>
      <c r="R83" s="185">
        <f t="shared" si="65"/>
        <v>11913.819804999999</v>
      </c>
    </row>
    <row r="84" spans="3:18" x14ac:dyDescent="0.35">
      <c r="D84" t="str">
        <f>Inputs!D122</f>
        <v>Derivative financial instruments</v>
      </c>
      <c r="L84" s="67">
        <f>'Hist - BS'!D281</f>
        <v>391</v>
      </c>
      <c r="M84" s="67">
        <f>'Hist - BS'!E281</f>
        <v>313</v>
      </c>
      <c r="N84">
        <f>N187</f>
        <v>313</v>
      </c>
      <c r="O84">
        <f t="shared" ref="O84:R84" si="66">O187</f>
        <v>313</v>
      </c>
      <c r="P84">
        <f t="shared" si="66"/>
        <v>313</v>
      </c>
      <c r="Q84">
        <f t="shared" si="66"/>
        <v>313</v>
      </c>
      <c r="R84">
        <f t="shared" si="66"/>
        <v>313</v>
      </c>
    </row>
    <row r="85" spans="3:18" x14ac:dyDescent="0.35">
      <c r="D85" t="str">
        <f>Inputs!D123</f>
        <v>Contract liabilities</v>
      </c>
      <c r="L85" s="67">
        <f>'Hist - BS'!D282</f>
        <v>257</v>
      </c>
      <c r="M85" s="67">
        <f>'Hist - BS'!E282</f>
        <v>274</v>
      </c>
      <c r="N85">
        <f>N182</f>
        <v>269.44892140776267</v>
      </c>
      <c r="O85">
        <f t="shared" ref="O85:R85" si="67">O182</f>
        <v>270.79616601480143</v>
      </c>
      <c r="P85">
        <f t="shared" si="67"/>
        <v>274.58731233900869</v>
      </c>
      <c r="Q85">
        <f t="shared" si="67"/>
        <v>278.43153471175481</v>
      </c>
      <c r="R85">
        <f t="shared" si="67"/>
        <v>282.3295761977194</v>
      </c>
    </row>
    <row r="86" spans="3:18" x14ac:dyDescent="0.35">
      <c r="D86" t="str">
        <f>Inputs!D124</f>
        <v>Lease liabilities</v>
      </c>
      <c r="L86" s="67">
        <f>'Hist - BS'!D283</f>
        <v>3866</v>
      </c>
      <c r="M86" s="67">
        <f>'Hist - BS'!E283</f>
        <v>3405</v>
      </c>
      <c r="N86">
        <f>N183</f>
        <v>3405</v>
      </c>
      <c r="O86">
        <f t="shared" ref="O86:R86" si="68">O183</f>
        <v>3405</v>
      </c>
      <c r="P86">
        <f t="shared" si="68"/>
        <v>3405</v>
      </c>
      <c r="Q86">
        <f t="shared" si="68"/>
        <v>3405</v>
      </c>
      <c r="R86">
        <f t="shared" si="68"/>
        <v>3405</v>
      </c>
    </row>
    <row r="87" spans="3:18" x14ac:dyDescent="0.35">
      <c r="D87" t="str">
        <f>Inputs!D125</f>
        <v>Retirement benefit obligations</v>
      </c>
      <c r="L87" s="67">
        <f>'Hist - BS'!D284</f>
        <v>4230</v>
      </c>
      <c r="M87" s="67">
        <f>'Hist - BS'!E284</f>
        <v>4379</v>
      </c>
      <c r="N87">
        <f>N185</f>
        <v>4258.6286491986266</v>
      </c>
      <c r="O87">
        <f t="shared" ref="O87:R87" si="69">O185</f>
        <v>4324.4876805445674</v>
      </c>
      <c r="P87">
        <f t="shared" si="69"/>
        <v>4472.6138649432924</v>
      </c>
      <c r="Q87">
        <f t="shared" si="69"/>
        <v>4524.3547558263281</v>
      </c>
      <c r="R87">
        <f t="shared" si="69"/>
        <v>4533.883660321887</v>
      </c>
    </row>
    <row r="88" spans="3:18" x14ac:dyDescent="0.35">
      <c r="D88" t="str">
        <f>Inputs!D126</f>
        <v>Other payables</v>
      </c>
      <c r="L88" s="67">
        <f>'Hist - BS'!D285</f>
        <v>276</v>
      </c>
      <c r="M88" s="67">
        <f>'Hist - BS'!E285</f>
        <v>177</v>
      </c>
      <c r="N88">
        <f>N186</f>
        <v>214.58121708991658</v>
      </c>
      <c r="O88">
        <f t="shared" ref="O88:R88" si="70">O186</f>
        <v>192.54676842398939</v>
      </c>
      <c r="P88">
        <f t="shared" si="70"/>
        <v>203.84474055562143</v>
      </c>
      <c r="Q88">
        <f t="shared" si="70"/>
        <v>199.3265101433299</v>
      </c>
      <c r="R88">
        <f t="shared" si="70"/>
        <v>202.7054149609032</v>
      </c>
    </row>
    <row r="89" spans="3:18" x14ac:dyDescent="0.35">
      <c r="D89" t="str">
        <f>Inputs!D127</f>
        <v>Deferred tax liabilities</v>
      </c>
      <c r="L89" s="67">
        <f>'Hist - BS'!D286</f>
        <v>1717</v>
      </c>
      <c r="M89" s="67">
        <f>'Hist - BS'!E286</f>
        <v>1969</v>
      </c>
      <c r="N89" s="185">
        <f ca="1">M89-MIN(0,N31)</f>
        <v>2286.5083565459609</v>
      </c>
      <c r="O89" s="185">
        <f ca="1">N89-MIN(0,O31)</f>
        <v>2604.0167130919217</v>
      </c>
      <c r="P89" s="185">
        <f ca="1">O89-MIN(0,P31)</f>
        <v>2921.5250696378826</v>
      </c>
      <c r="Q89" s="185">
        <f ca="1">P89-MIN(0,Q31)</f>
        <v>3239.0334261838434</v>
      </c>
      <c r="R89" s="185">
        <f ca="1">Q89-MIN(0,R31)</f>
        <v>3556.5417827298043</v>
      </c>
    </row>
    <row r="90" spans="3:18" x14ac:dyDescent="0.35">
      <c r="D90" t="str">
        <f>Inputs!D128</f>
        <v>Provisions</v>
      </c>
      <c r="L90" s="67">
        <f>'Hist - BS'!D287</f>
        <v>382</v>
      </c>
      <c r="M90" s="67">
        <f>'Hist - BS'!E287</f>
        <v>370</v>
      </c>
      <c r="N90">
        <f ca="1">N184</f>
        <v>534.5650711850252</v>
      </c>
      <c r="O90">
        <f t="shared" ref="O90:R90" ca="1" si="71">O184</f>
        <v>574.99033582229549</v>
      </c>
      <c r="P90">
        <f t="shared" ca="1" si="71"/>
        <v>649.15197373702301</v>
      </c>
      <c r="Q90">
        <f t="shared" ca="1" si="71"/>
        <v>735.1692148734528</v>
      </c>
      <c r="R90">
        <f t="shared" ca="1" si="71"/>
        <v>848.51917430753088</v>
      </c>
    </row>
    <row r="91" spans="3:18" x14ac:dyDescent="0.35">
      <c r="D91" s="17" t="s">
        <v>972</v>
      </c>
      <c r="L91" s="146">
        <f t="shared" ref="L91" si="72">SUM(L83:L90)</f>
        <v>29881</v>
      </c>
      <c r="M91" s="146">
        <f t="shared" ref="M91" si="73">SUM(M83:M90)</f>
        <v>29423</v>
      </c>
      <c r="N91" s="146">
        <f t="shared" ref="N91:R91" ca="1" si="74">SUM(N83:N90)</f>
        <v>29563.076038427291</v>
      </c>
      <c r="O91" s="146">
        <f t="shared" ca="1" si="74"/>
        <v>28412.213713897574</v>
      </c>
      <c r="P91" s="146">
        <f t="shared" ca="1" si="74"/>
        <v>27573.971694212822</v>
      </c>
      <c r="Q91" s="146">
        <f t="shared" ca="1" si="74"/>
        <v>26008.744218738706</v>
      </c>
      <c r="R91" s="146">
        <f t="shared" ca="1" si="74"/>
        <v>25055.799413517841</v>
      </c>
    </row>
    <row r="92" spans="3:18" x14ac:dyDescent="0.35">
      <c r="D92" s="17" t="s">
        <v>377</v>
      </c>
      <c r="L92" s="18">
        <f t="shared" ref="L92" si="75">L91+L81</f>
        <v>38074</v>
      </c>
      <c r="M92" s="18">
        <f t="shared" ref="M92" si="76">M91+M81</f>
        <v>37412</v>
      </c>
      <c r="N92" s="18">
        <f t="shared" ref="N92:R92" ca="1" si="77">N91+N81</f>
        <v>37524.726990905874</v>
      </c>
      <c r="O92" s="18">
        <f t="shared" ca="1" si="77"/>
        <v>36505.295232993223</v>
      </c>
      <c r="P92" s="18">
        <f t="shared" ca="1" si="77"/>
        <v>35746.534729613639</v>
      </c>
      <c r="Q92" s="18">
        <f t="shared" ca="1" si="77"/>
        <v>34352.930158125338</v>
      </c>
      <c r="R92" s="18">
        <f t="shared" ca="1" si="77"/>
        <v>33562.945968076114</v>
      </c>
    </row>
    <row r="93" spans="3:18" x14ac:dyDescent="0.35">
      <c r="L93" s="72"/>
      <c r="M93" s="72"/>
    </row>
    <row r="94" spans="3:18" ht="18.5" x14ac:dyDescent="0.45">
      <c r="C94" s="64" t="s">
        <v>609</v>
      </c>
      <c r="L94" s="72"/>
      <c r="M94" s="72"/>
    </row>
    <row r="95" spans="3:18" x14ac:dyDescent="0.35">
      <c r="D95" t="str">
        <f>Inputs!D133</f>
        <v>Share capital</v>
      </c>
      <c r="L95" s="67">
        <f>'Hist - BS'!D292</f>
        <v>499</v>
      </c>
      <c r="M95" s="67">
        <f>'Hist - BS'!E292</f>
        <v>499</v>
      </c>
      <c r="N95">
        <f>N232</f>
        <v>499</v>
      </c>
      <c r="O95">
        <f t="shared" ref="O95:R95" si="78">O232</f>
        <v>499</v>
      </c>
      <c r="P95">
        <f t="shared" si="78"/>
        <v>499</v>
      </c>
      <c r="Q95">
        <f t="shared" si="78"/>
        <v>499</v>
      </c>
      <c r="R95">
        <f t="shared" si="78"/>
        <v>499</v>
      </c>
    </row>
    <row r="96" spans="3:18" x14ac:dyDescent="0.35">
      <c r="D96" t="str">
        <f>Inputs!D134</f>
        <v>Share premium</v>
      </c>
      <c r="L96" s="67">
        <f>'Hist - BS'!D293</f>
        <v>1051</v>
      </c>
      <c r="M96" s="67">
        <f>'Hist - BS'!E293</f>
        <v>1051</v>
      </c>
      <c r="N96">
        <f>N237</f>
        <v>1051</v>
      </c>
      <c r="O96">
        <f t="shared" ref="O96:R96" si="79">O237</f>
        <v>1051</v>
      </c>
      <c r="P96">
        <f t="shared" si="79"/>
        <v>1051</v>
      </c>
      <c r="Q96">
        <f t="shared" si="79"/>
        <v>1051</v>
      </c>
      <c r="R96">
        <f t="shared" si="79"/>
        <v>1051</v>
      </c>
    </row>
    <row r="97" spans="3:21" x14ac:dyDescent="0.35">
      <c r="D97" t="str">
        <f>Inputs!D135</f>
        <v>Own shares</v>
      </c>
      <c r="L97" s="67">
        <f>'Hist - BS'!D294</f>
        <v>-378</v>
      </c>
      <c r="M97" s="67">
        <f>'Hist - BS'!E294</f>
        <v>-188</v>
      </c>
      <c r="N97">
        <f>N242</f>
        <v>-188</v>
      </c>
      <c r="O97">
        <f t="shared" ref="O97:R97" si="80">O242</f>
        <v>-188</v>
      </c>
      <c r="P97">
        <f t="shared" si="80"/>
        <v>-188</v>
      </c>
      <c r="Q97">
        <f t="shared" si="80"/>
        <v>-188</v>
      </c>
      <c r="R97">
        <f t="shared" si="80"/>
        <v>-188</v>
      </c>
    </row>
    <row r="98" spans="3:21" x14ac:dyDescent="0.35">
      <c r="D98" t="str">
        <f>Inputs!D136</f>
        <v>Merger reserve</v>
      </c>
      <c r="L98" s="67">
        <f>'Hist - BS'!D295</f>
        <v>998</v>
      </c>
      <c r="M98" s="67">
        <f>'Hist - BS'!E295</f>
        <v>998</v>
      </c>
      <c r="N98">
        <f>N247</f>
        <v>998</v>
      </c>
      <c r="O98">
        <f t="shared" ref="O98:R98" si="81">O247</f>
        <v>998</v>
      </c>
      <c r="P98">
        <f t="shared" si="81"/>
        <v>998</v>
      </c>
      <c r="Q98">
        <f t="shared" si="81"/>
        <v>998</v>
      </c>
      <c r="R98">
        <f t="shared" si="81"/>
        <v>998</v>
      </c>
    </row>
    <row r="99" spans="3:21" x14ac:dyDescent="0.35">
      <c r="D99" t="str">
        <f>Inputs!D137</f>
        <v>Other reserves</v>
      </c>
      <c r="L99" s="67">
        <f>'Hist - BS'!D296</f>
        <v>828</v>
      </c>
      <c r="M99" s="67">
        <f>'Hist - BS'!E296</f>
        <v>650</v>
      </c>
      <c r="N99">
        <f>N252</f>
        <v>650</v>
      </c>
      <c r="O99">
        <f t="shared" ref="O99:R99" si="82">O252</f>
        <v>650</v>
      </c>
      <c r="P99">
        <f t="shared" si="82"/>
        <v>650</v>
      </c>
      <c r="Q99">
        <f t="shared" si="82"/>
        <v>650</v>
      </c>
      <c r="R99">
        <f t="shared" si="82"/>
        <v>650</v>
      </c>
    </row>
    <row r="100" spans="3:21" x14ac:dyDescent="0.35">
      <c r="D100" t="str">
        <f>Inputs!D138</f>
        <v>Retained earnings</v>
      </c>
      <c r="L100" s="67">
        <f>'Hist - BS'!D297</f>
        <v>9910</v>
      </c>
      <c r="M100" s="67">
        <f>'Hist - BS'!E297</f>
        <v>9554</v>
      </c>
      <c r="N100">
        <f ca="1">N258</f>
        <v>10273.800470652419</v>
      </c>
      <c r="O100">
        <f t="shared" ref="O100:R100" ca="1" si="83">O258</f>
        <v>11192.684206720904</v>
      </c>
      <c r="P100">
        <f t="shared" ca="1" si="83"/>
        <v>12255.706909318738</v>
      </c>
      <c r="Q100">
        <f t="shared" ca="1" si="83"/>
        <v>13586.747803528613</v>
      </c>
      <c r="R100">
        <f t="shared" ca="1" si="83"/>
        <v>15218.995920252761</v>
      </c>
    </row>
    <row r="101" spans="3:21" x14ac:dyDescent="0.35">
      <c r="D101" s="17" t="s">
        <v>973</v>
      </c>
      <c r="L101" s="145">
        <f t="shared" ref="L101" si="84">SUM(L95:L100)</f>
        <v>12908</v>
      </c>
      <c r="M101" s="145">
        <f t="shared" ref="M101" si="85">SUM(M95:M100)</f>
        <v>12564</v>
      </c>
      <c r="N101" s="145">
        <f t="shared" ref="N101:R101" ca="1" si="86">SUM(N95:N100)</f>
        <v>13283.800470652419</v>
      </c>
      <c r="O101" s="145">
        <f t="shared" ca="1" si="86"/>
        <v>14202.684206720904</v>
      </c>
      <c r="P101" s="145">
        <f t="shared" ca="1" si="86"/>
        <v>15265.706909318738</v>
      </c>
      <c r="Q101" s="145">
        <f t="shared" ca="1" si="86"/>
        <v>16596.747803528611</v>
      </c>
      <c r="R101" s="145">
        <f t="shared" ca="1" si="86"/>
        <v>18228.995920252761</v>
      </c>
    </row>
    <row r="102" spans="3:21" ht="15" thickBot="1" x14ac:dyDescent="0.4">
      <c r="D102" s="17" t="s">
        <v>974</v>
      </c>
      <c r="L102" s="57">
        <f t="shared" ref="L102" si="87">L101+L92</f>
        <v>50982</v>
      </c>
      <c r="M102" s="57">
        <f t="shared" ref="M102" si="88">M101+M92</f>
        <v>49976</v>
      </c>
      <c r="N102" s="57">
        <f t="shared" ref="N102:R102" ca="1" si="89">N101+N92</f>
        <v>50808.527461558289</v>
      </c>
      <c r="O102" s="57">
        <f t="shared" ca="1" si="89"/>
        <v>50707.979439714123</v>
      </c>
      <c r="P102" s="57">
        <f t="shared" ca="1" si="89"/>
        <v>51012.241638932377</v>
      </c>
      <c r="Q102" s="57">
        <f t="shared" ca="1" si="89"/>
        <v>50949.67796165395</v>
      </c>
      <c r="R102" s="57">
        <f t="shared" ca="1" si="89"/>
        <v>51791.941888328874</v>
      </c>
    </row>
    <row r="103" spans="3:21" ht="15" thickTop="1" x14ac:dyDescent="0.35"/>
    <row r="104" spans="3:21" x14ac:dyDescent="0.35">
      <c r="D104" s="17" t="s">
        <v>980</v>
      </c>
      <c r="F104">
        <f ca="1">SUM(L104:R104)</f>
        <v>0</v>
      </c>
      <c r="L104" s="17">
        <f t="shared" ref="L104:R104" si="90">L102-L70</f>
        <v>0</v>
      </c>
      <c r="M104" s="17">
        <f t="shared" si="90"/>
        <v>0</v>
      </c>
      <c r="N104" s="17">
        <f t="shared" ca="1" si="90"/>
        <v>0</v>
      </c>
      <c r="O104" s="17">
        <f t="shared" ca="1" si="90"/>
        <v>0</v>
      </c>
      <c r="P104" s="17">
        <f t="shared" ca="1" si="90"/>
        <v>0</v>
      </c>
      <c r="Q104" s="17">
        <f t="shared" ca="1" si="90"/>
        <v>0</v>
      </c>
      <c r="R104" s="17">
        <f t="shared" ca="1" si="90"/>
        <v>0</v>
      </c>
    </row>
    <row r="107" spans="3:21" ht="17.5" thickBot="1" x14ac:dyDescent="0.45">
      <c r="C107" s="58" t="s">
        <v>976</v>
      </c>
      <c r="D107" s="58"/>
      <c r="E107" s="58"/>
      <c r="F107" s="58"/>
      <c r="G107" s="58"/>
      <c r="H107" s="58"/>
      <c r="I107" s="58"/>
      <c r="J107" s="58"/>
      <c r="K107" s="58"/>
      <c r="L107" s="58"/>
      <c r="M107" s="58"/>
      <c r="N107" s="58"/>
      <c r="O107" s="58"/>
      <c r="P107" s="58"/>
      <c r="Q107" s="58"/>
      <c r="R107" s="58"/>
      <c r="S107" s="58"/>
      <c r="T107" s="58"/>
      <c r="U107" s="58"/>
    </row>
    <row r="108" spans="3:21" ht="15" thickTop="1" x14ac:dyDescent="0.35"/>
    <row r="109" spans="3:21" ht="18.5" x14ac:dyDescent="0.45">
      <c r="C109" s="64" t="s">
        <v>1018</v>
      </c>
    </row>
    <row r="110" spans="3:21" x14ac:dyDescent="0.35">
      <c r="D110" t="str">
        <f>D36</f>
        <v>Net Income</v>
      </c>
      <c r="N110">
        <f ca="1">N36</f>
        <v>1573.987336609154</v>
      </c>
      <c r="O110">
        <f ca="1">O36</f>
        <v>1798.696208003922</v>
      </c>
      <c r="P110">
        <f ca="1">P36</f>
        <v>1969.2295486913345</v>
      </c>
      <c r="Q110">
        <f ca="1">Q36</f>
        <v>2264.4339456861826</v>
      </c>
      <c r="R110">
        <f ca="1">R36</f>
        <v>2593.6429597447432</v>
      </c>
    </row>
    <row r="111" spans="3:21" x14ac:dyDescent="0.35">
      <c r="D111" t="str">
        <f>D20</f>
        <v>Depreciation &amp; Amortization</v>
      </c>
      <c r="N111">
        <f>-N20</f>
        <v>4780.0893218987176</v>
      </c>
      <c r="O111">
        <f>-O20</f>
        <v>4525.9917672503643</v>
      </c>
      <c r="P111">
        <f>-P20</f>
        <v>4370.5594742207422</v>
      </c>
      <c r="Q111">
        <f>-Q20</f>
        <v>4179.0788953439514</v>
      </c>
      <c r="R111">
        <f>-R20</f>
        <v>4015.7088176373436</v>
      </c>
    </row>
    <row r="112" spans="3:21" x14ac:dyDescent="0.35">
      <c r="D112" t="str">
        <f>D31</f>
        <v>Deferred Taxes</v>
      </c>
      <c r="N112">
        <f ca="1">-N31</f>
        <v>317.50835654596096</v>
      </c>
      <c r="O112">
        <f ca="1">-O31</f>
        <v>317.50835654596096</v>
      </c>
      <c r="P112">
        <f ca="1">-P31</f>
        <v>317.50835654596096</v>
      </c>
      <c r="Q112">
        <f ca="1">-Q31</f>
        <v>317.50835654596096</v>
      </c>
      <c r="R112">
        <f ca="1">-R31</f>
        <v>317.50835654596096</v>
      </c>
    </row>
    <row r="113" spans="3:18" x14ac:dyDescent="0.35">
      <c r="D113" t="str">
        <f>D34</f>
        <v>Equity in Earnings/(Loss) of Affiliates (after Taxes)</v>
      </c>
      <c r="N113">
        <f>-N34</f>
        <v>0</v>
      </c>
      <c r="O113">
        <f>-O34</f>
        <v>0</v>
      </c>
      <c r="P113">
        <f>-P34</f>
        <v>0</v>
      </c>
      <c r="Q113">
        <f>-Q34</f>
        <v>0</v>
      </c>
      <c r="R113">
        <f>-R34</f>
        <v>0</v>
      </c>
    </row>
    <row r="114" spans="3:18" x14ac:dyDescent="0.35">
      <c r="D114" t="str">
        <f>D194</f>
        <v>Change in UFCF OWC</v>
      </c>
      <c r="N114">
        <f ca="1">N192</f>
        <v>395.13133572189508</v>
      </c>
      <c r="O114">
        <f ca="1">O192</f>
        <v>173.05557471642896</v>
      </c>
      <c r="P114">
        <f ca="1">P192</f>
        <v>255.83630971695493</v>
      </c>
      <c r="Q114">
        <f ca="1">Q192</f>
        <v>211.59067733188022</v>
      </c>
      <c r="R114">
        <f ca="1">R192</f>
        <v>217.72672627960674</v>
      </c>
    </row>
    <row r="115" spans="3:18" x14ac:dyDescent="0.35">
      <c r="D115" s="17" t="s">
        <v>1019</v>
      </c>
      <c r="N115" s="83">
        <f ca="1">SUM(N110:N114)</f>
        <v>7066.7163507757277</v>
      </c>
      <c r="O115" s="83">
        <f ca="1">SUM(O110:O114)</f>
        <v>6815.2519065166762</v>
      </c>
      <c r="P115" s="83">
        <f ca="1">SUM(P110:P114)</f>
        <v>6913.1336891749925</v>
      </c>
      <c r="Q115" s="83">
        <f ca="1">SUM(Q110:Q114)</f>
        <v>6972.6118749079751</v>
      </c>
      <c r="R115" s="83">
        <f ca="1">SUM(R110:R114)</f>
        <v>7144.5868602076544</v>
      </c>
    </row>
    <row r="117" spans="3:18" ht="18.5" x14ac:dyDescent="0.45">
      <c r="C117" s="64" t="s">
        <v>1020</v>
      </c>
    </row>
    <row r="118" spans="3:18" x14ac:dyDescent="0.35">
      <c r="D118" t="str">
        <f>D203</f>
        <v>Capital Expenditures</v>
      </c>
      <c r="N118">
        <f>-N203</f>
        <v>-4958.7827733924387</v>
      </c>
      <c r="O118">
        <f t="shared" ref="O118:R118" si="91">-O203</f>
        <v>-4757.1148372400085</v>
      </c>
      <c r="P118">
        <f t="shared" si="91"/>
        <v>-4563.6485018292378</v>
      </c>
      <c r="Q118">
        <f t="shared" si="91"/>
        <v>-4378.0502175834854</v>
      </c>
      <c r="R118">
        <f t="shared" si="91"/>
        <v>-4200</v>
      </c>
    </row>
    <row r="119" spans="3:18" x14ac:dyDescent="0.35">
      <c r="D119" t="s">
        <v>937</v>
      </c>
      <c r="N119">
        <f>N215</f>
        <v>0</v>
      </c>
      <c r="O119">
        <f t="shared" ref="O119:R119" si="92">O215</f>
        <v>0</v>
      </c>
      <c r="P119">
        <f t="shared" si="92"/>
        <v>0</v>
      </c>
      <c r="Q119">
        <f t="shared" si="92"/>
        <v>0</v>
      </c>
      <c r="R119">
        <f t="shared" si="92"/>
        <v>0</v>
      </c>
    </row>
    <row r="120" spans="3:18" x14ac:dyDescent="0.35">
      <c r="D120" t="s">
        <v>1021</v>
      </c>
      <c r="N120">
        <f>N220</f>
        <v>0</v>
      </c>
      <c r="O120">
        <f t="shared" ref="O120:R120" si="93">O220</f>
        <v>0</v>
      </c>
      <c r="P120">
        <f t="shared" si="93"/>
        <v>0</v>
      </c>
      <c r="Q120">
        <f t="shared" si="93"/>
        <v>0</v>
      </c>
      <c r="R120">
        <f t="shared" si="93"/>
        <v>0</v>
      </c>
    </row>
    <row r="121" spans="3:18" x14ac:dyDescent="0.35">
      <c r="D121" t="s">
        <v>1022</v>
      </c>
      <c r="N121">
        <f>N226</f>
        <v>0</v>
      </c>
      <c r="O121">
        <f t="shared" ref="O121:R121" si="94">O226</f>
        <v>0</v>
      </c>
      <c r="P121">
        <f t="shared" si="94"/>
        <v>0</v>
      </c>
      <c r="Q121">
        <f t="shared" si="94"/>
        <v>0</v>
      </c>
      <c r="R121">
        <f t="shared" si="94"/>
        <v>0</v>
      </c>
    </row>
    <row r="122" spans="3:18" x14ac:dyDescent="0.35">
      <c r="D122" s="17" t="s">
        <v>1023</v>
      </c>
      <c r="N122" s="18">
        <f>SUM(N118:N121)</f>
        <v>-4958.7827733924387</v>
      </c>
      <c r="O122" s="18">
        <f t="shared" ref="O122:R122" si="95">SUM(O118:O121)</f>
        <v>-4757.1148372400085</v>
      </c>
      <c r="P122" s="18">
        <f t="shared" si="95"/>
        <v>-4563.6485018292378</v>
      </c>
      <c r="Q122" s="18">
        <f t="shared" si="95"/>
        <v>-4378.0502175834854</v>
      </c>
      <c r="R122" s="18">
        <f t="shared" si="95"/>
        <v>-4200</v>
      </c>
    </row>
    <row r="124" spans="3:18" ht="18.5" x14ac:dyDescent="0.45">
      <c r="C124" s="64" t="s">
        <v>1024</v>
      </c>
    </row>
    <row r="125" spans="3:18" x14ac:dyDescent="0.35">
      <c r="D125" t="s">
        <v>1241</v>
      </c>
      <c r="N125" s="185">
        <f>N287</f>
        <v>721.52583400000003</v>
      </c>
      <c r="O125" s="185">
        <f t="shared" ref="O125:R125" si="96">O287</f>
        <v>0</v>
      </c>
      <c r="P125" s="185">
        <f t="shared" si="96"/>
        <v>0</v>
      </c>
      <c r="Q125" s="185">
        <f t="shared" si="96"/>
        <v>0</v>
      </c>
      <c r="R125" s="185">
        <f t="shared" si="96"/>
        <v>0</v>
      </c>
    </row>
    <row r="126" spans="3:18" x14ac:dyDescent="0.35">
      <c r="D126" t="s">
        <v>1242</v>
      </c>
      <c r="N126" s="185">
        <f>N288</f>
        <v>-976.18201099999999</v>
      </c>
      <c r="O126" s="185">
        <f t="shared" ref="O126:R126" si="97">O288</f>
        <v>-1553.9677729999999</v>
      </c>
      <c r="P126" s="185">
        <f t="shared" si="97"/>
        <v>-1393.1273169999999</v>
      </c>
      <c r="Q126" s="185">
        <f t="shared" si="97"/>
        <v>-2019.819956</v>
      </c>
      <c r="R126" s="185">
        <f t="shared" si="97"/>
        <v>-1400.608972</v>
      </c>
    </row>
    <row r="127" spans="3:18" x14ac:dyDescent="0.35">
      <c r="D127" t="s">
        <v>1025</v>
      </c>
      <c r="N127" s="185">
        <f ca="1">N469</f>
        <v>0</v>
      </c>
      <c r="O127" s="185">
        <f t="shared" ref="O127:R127" ca="1" si="98">O469</f>
        <v>0</v>
      </c>
      <c r="P127" s="185">
        <f t="shared" ca="1" si="98"/>
        <v>0</v>
      </c>
      <c r="Q127" s="185">
        <f t="shared" ca="1" si="98"/>
        <v>0</v>
      </c>
      <c r="R127" s="185">
        <f t="shared" ca="1" si="98"/>
        <v>0</v>
      </c>
    </row>
    <row r="128" spans="3:18" x14ac:dyDescent="0.35">
      <c r="D128" t="s">
        <v>1006</v>
      </c>
      <c r="N128">
        <f>N231</f>
        <v>0</v>
      </c>
      <c r="O128">
        <f t="shared" ref="O128:R128" si="99">O231</f>
        <v>0</v>
      </c>
      <c r="P128">
        <f t="shared" si="99"/>
        <v>0</v>
      </c>
      <c r="Q128">
        <f t="shared" si="99"/>
        <v>0</v>
      </c>
      <c r="R128">
        <f t="shared" si="99"/>
        <v>0</v>
      </c>
    </row>
    <row r="129" spans="3:18" x14ac:dyDescent="0.35">
      <c r="D129" t="s">
        <v>1008</v>
      </c>
      <c r="N129">
        <f>N236</f>
        <v>0</v>
      </c>
      <c r="O129">
        <f t="shared" ref="O129:R129" si="100">O236</f>
        <v>0</v>
      </c>
      <c r="P129">
        <f t="shared" si="100"/>
        <v>0</v>
      </c>
      <c r="Q129">
        <f t="shared" si="100"/>
        <v>0</v>
      </c>
      <c r="R129">
        <f t="shared" si="100"/>
        <v>0</v>
      </c>
    </row>
    <row r="130" spans="3:18" x14ac:dyDescent="0.35">
      <c r="D130" t="s">
        <v>1009</v>
      </c>
      <c r="N130">
        <f>N241</f>
        <v>0</v>
      </c>
      <c r="O130">
        <f t="shared" ref="O130:R130" si="101">O241</f>
        <v>0</v>
      </c>
      <c r="P130">
        <f t="shared" si="101"/>
        <v>0</v>
      </c>
      <c r="Q130">
        <f t="shared" si="101"/>
        <v>0</v>
      </c>
      <c r="R130">
        <f t="shared" si="101"/>
        <v>0</v>
      </c>
    </row>
    <row r="131" spans="3:18" x14ac:dyDescent="0.35">
      <c r="D131" t="s">
        <v>1010</v>
      </c>
      <c r="N131">
        <f>N246</f>
        <v>0</v>
      </c>
      <c r="O131">
        <f t="shared" ref="O131:R131" si="102">O246</f>
        <v>0</v>
      </c>
      <c r="P131">
        <f t="shared" si="102"/>
        <v>0</v>
      </c>
      <c r="Q131">
        <f t="shared" si="102"/>
        <v>0</v>
      </c>
      <c r="R131">
        <f t="shared" si="102"/>
        <v>0</v>
      </c>
    </row>
    <row r="132" spans="3:18" x14ac:dyDescent="0.35">
      <c r="D132" t="s">
        <v>1011</v>
      </c>
      <c r="N132">
        <f>N251</f>
        <v>0</v>
      </c>
      <c r="O132">
        <f t="shared" ref="O132:R132" si="103">O251</f>
        <v>0</v>
      </c>
      <c r="P132">
        <f t="shared" si="103"/>
        <v>0</v>
      </c>
      <c r="Q132">
        <f t="shared" si="103"/>
        <v>0</v>
      </c>
      <c r="R132">
        <f t="shared" si="103"/>
        <v>0</v>
      </c>
    </row>
    <row r="133" spans="3:18" x14ac:dyDescent="0.35">
      <c r="D133" t="s">
        <v>602</v>
      </c>
      <c r="N133">
        <f>N257</f>
        <v>-854.18686595673614</v>
      </c>
      <c r="O133">
        <f t="shared" ref="O133:R133" si="104">O257</f>
        <v>-879.81247193543811</v>
      </c>
      <c r="P133">
        <f t="shared" si="104"/>
        <v>-906.20684609350144</v>
      </c>
      <c r="Q133">
        <f t="shared" si="104"/>
        <v>-933.39305147630648</v>
      </c>
      <c r="R133">
        <f t="shared" si="104"/>
        <v>-961.39484302059566</v>
      </c>
    </row>
    <row r="134" spans="3:18" x14ac:dyDescent="0.35">
      <c r="D134" s="17" t="s">
        <v>1026</v>
      </c>
      <c r="N134" s="18">
        <f ca="1">SUM(N125:N133)</f>
        <v>-1108.8430429567361</v>
      </c>
      <c r="O134" s="18">
        <f t="shared" ref="O134:R134" ca="1" si="105">SUM(O125:O133)</f>
        <v>-2433.7802449354381</v>
      </c>
      <c r="P134" s="18">
        <f t="shared" ca="1" si="105"/>
        <v>-2299.3341630935015</v>
      </c>
      <c r="Q134" s="18">
        <f t="shared" ca="1" si="105"/>
        <v>-2953.2130074763063</v>
      </c>
      <c r="R134" s="18">
        <f t="shared" ca="1" si="105"/>
        <v>-2362.0038150205955</v>
      </c>
    </row>
    <row r="136" spans="3:18" x14ac:dyDescent="0.35">
      <c r="D136" t="s">
        <v>1029</v>
      </c>
      <c r="N136">
        <f ca="1">N115+N122+N134</f>
        <v>999.09053442655295</v>
      </c>
      <c r="O136">
        <f ca="1">O115+O122+O134</f>
        <v>-375.64317565877036</v>
      </c>
      <c r="P136">
        <f ca="1">P115+P122+P134</f>
        <v>50.151024252253137</v>
      </c>
      <c r="Q136">
        <f ca="1">Q115+Q122+Q134</f>
        <v>-358.65135015181659</v>
      </c>
      <c r="R136">
        <f ca="1">R115+R122+R134</f>
        <v>582.58304518705881</v>
      </c>
    </row>
    <row r="137" spans="3:18" x14ac:dyDescent="0.35">
      <c r="D137" t="s">
        <v>1030</v>
      </c>
      <c r="N137">
        <f>M138</f>
        <v>359</v>
      </c>
      <c r="O137">
        <f t="shared" ref="O137:R137" ca="1" si="106">N138</f>
        <v>1358.0905344265529</v>
      </c>
      <c r="P137">
        <f t="shared" ca="1" si="106"/>
        <v>982.44735876778259</v>
      </c>
      <c r="Q137">
        <f t="shared" ca="1" si="106"/>
        <v>1032.5983830200357</v>
      </c>
      <c r="R137">
        <f t="shared" ca="1" si="106"/>
        <v>673.94703286821914</v>
      </c>
    </row>
    <row r="138" spans="3:18" x14ac:dyDescent="0.35">
      <c r="D138" s="17" t="s">
        <v>1031</v>
      </c>
      <c r="M138" s="67">
        <f>M50</f>
        <v>359</v>
      </c>
      <c r="N138" s="18">
        <f ca="1">SUM(N136:N137)</f>
        <v>1358.0905344265529</v>
      </c>
      <c r="O138" s="18">
        <f t="shared" ref="O138:R138" ca="1" si="107">SUM(O136:O137)</f>
        <v>982.44735876778259</v>
      </c>
      <c r="P138" s="18">
        <f t="shared" ca="1" si="107"/>
        <v>1032.5983830200357</v>
      </c>
      <c r="Q138" s="18">
        <f t="shared" ca="1" si="107"/>
        <v>673.94703286821914</v>
      </c>
      <c r="R138" s="18">
        <f t="shared" ca="1" si="107"/>
        <v>1256.530078055278</v>
      </c>
    </row>
    <row r="140" spans="3:18" ht="18.5" x14ac:dyDescent="0.45">
      <c r="C140" s="64" t="s">
        <v>571</v>
      </c>
    </row>
    <row r="141" spans="3:18" x14ac:dyDescent="0.35">
      <c r="D141" t="str">
        <f>Inputs!D152</f>
        <v>Excess Cash Interest Rate</v>
      </c>
      <c r="E141" s="230" t="str">
        <f>Inputs!E152</f>
        <v>%</v>
      </c>
      <c r="F141" s="152">
        <f>Inputs!F152</f>
        <v>1.2499999999999997E-2</v>
      </c>
      <c r="N141" s="16">
        <f>$F$141</f>
        <v>1.2499999999999997E-2</v>
      </c>
      <c r="O141" s="16">
        <f t="shared" ref="O141:R141" si="108">$F$141</f>
        <v>1.2499999999999997E-2</v>
      </c>
      <c r="P141" s="16">
        <f t="shared" si="108"/>
        <v>1.2499999999999997E-2</v>
      </c>
      <c r="Q141" s="16">
        <f t="shared" si="108"/>
        <v>1.2499999999999997E-2</v>
      </c>
      <c r="R141" s="16">
        <f t="shared" si="108"/>
        <v>1.2499999999999997E-2</v>
      </c>
    </row>
    <row r="142" spans="3:18" x14ac:dyDescent="0.35">
      <c r="D142" t="s">
        <v>571</v>
      </c>
      <c r="K142" t="s">
        <v>1225</v>
      </c>
      <c r="L142" s="224">
        <f>circularity</f>
        <v>1</v>
      </c>
      <c r="N142" s="83">
        <f ca="1">IF($L$142=1,AVERAGE(N137,N138)*N141,N137*N141)</f>
        <v>10.731815840165954</v>
      </c>
      <c r="O142" s="83">
        <f t="shared" ref="O142:R142" ca="1" si="109">IF($L$142=1,AVERAGE(O137,O138)*O141,O137*O141)</f>
        <v>14.628361832464593</v>
      </c>
      <c r="P142" s="83">
        <f t="shared" ca="1" si="109"/>
        <v>12.594035886173861</v>
      </c>
      <c r="Q142" s="83">
        <f t="shared" ca="1" si="109"/>
        <v>10.665908849301591</v>
      </c>
      <c r="R142" s="83">
        <f t="shared" ca="1" si="109"/>
        <v>12.065481943271854</v>
      </c>
    </row>
    <row r="145" spans="2:21" ht="21.5" thickBot="1" x14ac:dyDescent="0.55000000000000004">
      <c r="B145" s="21" t="s">
        <v>977</v>
      </c>
      <c r="C145" s="21"/>
      <c r="D145" s="21"/>
      <c r="E145" s="21"/>
      <c r="F145" s="21"/>
      <c r="G145" s="21"/>
      <c r="H145" s="21"/>
      <c r="I145" s="21"/>
      <c r="J145" s="21"/>
      <c r="K145" s="21"/>
      <c r="L145" s="21"/>
      <c r="M145" s="21"/>
      <c r="N145" s="21"/>
      <c r="O145" s="21"/>
      <c r="P145" s="21"/>
      <c r="Q145" s="21"/>
      <c r="R145" s="21"/>
      <c r="S145" s="21"/>
      <c r="T145" s="21"/>
      <c r="U145" s="21"/>
    </row>
    <row r="146" spans="2:21" ht="15" thickTop="1" x14ac:dyDescent="0.35"/>
    <row r="147" spans="2:21" ht="17.5" thickBot="1" x14ac:dyDescent="0.45">
      <c r="C147" s="58" t="s">
        <v>978</v>
      </c>
      <c r="D147" s="58"/>
      <c r="E147" s="58"/>
      <c r="F147" s="58"/>
      <c r="G147" s="58"/>
      <c r="H147" s="58"/>
      <c r="I147" s="58"/>
      <c r="J147" s="58"/>
      <c r="K147" s="58"/>
      <c r="L147" s="58"/>
      <c r="M147" s="58"/>
      <c r="N147" s="58"/>
      <c r="O147" s="58"/>
      <c r="P147" s="58"/>
      <c r="Q147" s="58"/>
      <c r="R147" s="58"/>
      <c r="S147" s="58"/>
      <c r="T147" s="58"/>
      <c r="U147" s="58"/>
    </row>
    <row r="148" spans="2:21" ht="15" thickTop="1" x14ac:dyDescent="0.35"/>
    <row r="149" spans="2:21" x14ac:dyDescent="0.35">
      <c r="D149" s="115" t="str">
        <f>D11</f>
        <v>Revenue</v>
      </c>
      <c r="E149" s="83"/>
      <c r="F149" s="83"/>
      <c r="G149" s="83"/>
      <c r="H149" s="83"/>
      <c r="I149" s="83"/>
      <c r="J149" s="83"/>
      <c r="K149" s="83"/>
      <c r="L149" s="83"/>
      <c r="M149" s="83"/>
      <c r="N149" s="116">
        <f t="shared" ref="N149:R150" si="110">N11</f>
        <v>19319.684342981407</v>
      </c>
      <c r="O149" s="116">
        <f t="shared" si="110"/>
        <v>19416.282764696312</v>
      </c>
      <c r="P149" s="116">
        <f t="shared" si="110"/>
        <v>19688.11072340206</v>
      </c>
      <c r="Q149" s="116">
        <f t="shared" si="110"/>
        <v>19963.74427352969</v>
      </c>
      <c r="R149" s="117">
        <f t="shared" si="110"/>
        <v>20243.236693359107</v>
      </c>
    </row>
    <row r="150" spans="2:21" x14ac:dyDescent="0.35">
      <c r="D150" s="86" t="str">
        <f>D12</f>
        <v>Cost of Sales</v>
      </c>
      <c r="E150" s="87"/>
      <c r="F150" s="87"/>
      <c r="G150" s="87"/>
      <c r="H150" s="87"/>
      <c r="I150" s="87"/>
      <c r="J150" s="87"/>
      <c r="K150" s="87"/>
      <c r="L150" s="87"/>
      <c r="M150" s="87"/>
      <c r="N150" s="67">
        <f t="shared" si="110"/>
        <v>-6305.0819938605327</v>
      </c>
      <c r="O150" s="67">
        <f t="shared" si="110"/>
        <v>-6274.6217859852113</v>
      </c>
      <c r="P150" s="67">
        <f t="shared" si="110"/>
        <v>-6299.3152071738796</v>
      </c>
      <c r="Q150" s="67">
        <f t="shared" si="110"/>
        <v>-6323.1667494431458</v>
      </c>
      <c r="R150" s="118">
        <f t="shared" si="110"/>
        <v>-6346.1422934117436</v>
      </c>
    </row>
    <row r="151" spans="2:21" x14ac:dyDescent="0.35">
      <c r="D151" s="86" t="str">
        <f>D16</f>
        <v>SGA</v>
      </c>
      <c r="E151" s="87"/>
      <c r="F151" s="87"/>
      <c r="G151" s="87"/>
      <c r="H151" s="87"/>
      <c r="I151" s="87"/>
      <c r="J151" s="87"/>
      <c r="K151" s="87"/>
      <c r="L151" s="87"/>
      <c r="M151" s="87"/>
      <c r="N151" s="67">
        <f>N16</f>
        <v>-5648.3478407274779</v>
      </c>
      <c r="O151" s="67">
        <f>O16</f>
        <v>-5735.6986637594991</v>
      </c>
      <c r="P151" s="67">
        <f>P16</f>
        <v>-5932.1628973716925</v>
      </c>
      <c r="Q151" s="67">
        <f>Q16</f>
        <v>-6000.7884041651778</v>
      </c>
      <c r="R151" s="118">
        <f>R16</f>
        <v>-6013.426878088495</v>
      </c>
    </row>
    <row r="152" spans="2:21" x14ac:dyDescent="0.35">
      <c r="D152" s="90" t="str">
        <f>D28</f>
        <v>EBT</v>
      </c>
      <c r="E152" s="82"/>
      <c r="F152" s="82"/>
      <c r="G152" s="82"/>
      <c r="H152" s="82"/>
      <c r="I152" s="82"/>
      <c r="J152" s="82"/>
      <c r="K152" s="82"/>
      <c r="L152" s="82"/>
      <c r="M152" s="82"/>
      <c r="N152" s="119">
        <f ca="1">N28</f>
        <v>2098.6497821455387</v>
      </c>
      <c r="O152" s="119">
        <f ca="1">O28</f>
        <v>2398.2616106718961</v>
      </c>
      <c r="P152" s="119">
        <f ca="1">P28</f>
        <v>2625.6393982551126</v>
      </c>
      <c r="Q152" s="119">
        <f ca="1">Q28</f>
        <v>3019.2452609149104</v>
      </c>
      <c r="R152" s="120">
        <f ca="1">R28</f>
        <v>3458.1906129929912</v>
      </c>
    </row>
    <row r="155" spans="2:21" ht="18.5" x14ac:dyDescent="0.45">
      <c r="C155" s="64" t="s">
        <v>968</v>
      </c>
    </row>
    <row r="156" spans="2:21" x14ac:dyDescent="0.35">
      <c r="D156" t="str">
        <f t="shared" ref="D156:D161" si="111">D51</f>
        <v>Inventories</v>
      </c>
      <c r="E156" s="70" t="s">
        <v>947</v>
      </c>
      <c r="L156" s="67">
        <f t="shared" ref="L156:M161" si="112">L51</f>
        <v>331</v>
      </c>
      <c r="M156" s="67">
        <f t="shared" si="112"/>
        <v>366</v>
      </c>
      <c r="N156">
        <f>Inputs!N85*'3-Statement'!N150*-1</f>
        <v>332.2005774342822</v>
      </c>
      <c r="O156">
        <f>Inputs!O85*'3-Statement'!O150*-1</f>
        <v>342.66204203286458</v>
      </c>
      <c r="P156">
        <f>Inputs!P85*'3-Statement'!P150*-1</f>
        <v>337.95365382736952</v>
      </c>
      <c r="Q156">
        <f>Inputs!Q85*'3-Statement'!Q150*-1</f>
        <v>342.27319619079191</v>
      </c>
      <c r="R156">
        <f>Inputs!R85*'3-Statement'!R150*-1</f>
        <v>341.99137789840125</v>
      </c>
    </row>
    <row r="157" spans="2:21" x14ac:dyDescent="0.35">
      <c r="D157" t="str">
        <f t="shared" si="111"/>
        <v>Trade and other receivables</v>
      </c>
      <c r="E157" s="70" t="s">
        <v>946</v>
      </c>
      <c r="L157" s="67">
        <f t="shared" si="112"/>
        <v>3464</v>
      </c>
      <c r="M157" s="67">
        <f t="shared" si="112"/>
        <v>3549</v>
      </c>
      <c r="N157">
        <f>N149*Inputs!N86</f>
        <v>3387.7207628087654</v>
      </c>
      <c r="O157">
        <f>O149*Inputs!O86</f>
        <v>3456.0807657685768</v>
      </c>
      <c r="P157">
        <f>P149*Inputs!P86</f>
        <v>3478.3952471224325</v>
      </c>
      <c r="Q157">
        <f>Q149*Inputs!Q86</f>
        <v>3540.3105998111669</v>
      </c>
      <c r="R157">
        <f>R149*Inputs!R86</f>
        <v>3583.1735138594099</v>
      </c>
    </row>
    <row r="158" spans="2:21" x14ac:dyDescent="0.35">
      <c r="D158" t="str">
        <f t="shared" si="111"/>
        <v>Preference shares in joint</v>
      </c>
      <c r="E158" s="70" t="s">
        <v>948</v>
      </c>
      <c r="L158" s="67">
        <f t="shared" si="112"/>
        <v>161</v>
      </c>
      <c r="M158" s="67">
        <f t="shared" si="112"/>
        <v>282</v>
      </c>
      <c r="N158">
        <f>M158</f>
        <v>282</v>
      </c>
      <c r="O158">
        <f t="shared" ref="O158:R158" si="113">N158</f>
        <v>282</v>
      </c>
      <c r="P158">
        <f t="shared" si="113"/>
        <v>282</v>
      </c>
      <c r="Q158">
        <f t="shared" si="113"/>
        <v>282</v>
      </c>
      <c r="R158">
        <f t="shared" si="113"/>
        <v>282</v>
      </c>
    </row>
    <row r="159" spans="2:21" x14ac:dyDescent="0.35">
      <c r="D159" t="str">
        <f t="shared" si="111"/>
        <v>Contract assets</v>
      </c>
      <c r="E159" s="70" t="s">
        <v>947</v>
      </c>
      <c r="L159" s="67">
        <f t="shared" si="112"/>
        <v>1194</v>
      </c>
      <c r="M159" s="67">
        <f t="shared" si="112"/>
        <v>1009</v>
      </c>
      <c r="N159">
        <f>-N150*Inputs!N88</f>
        <v>982.67342165666946</v>
      </c>
      <c r="O159">
        <f>-O150*Inputs!O88</f>
        <v>977.92607075364197</v>
      </c>
      <c r="P159">
        <f>-P150*Inputs!P88</f>
        <v>981.77464381193158</v>
      </c>
      <c r="Q159">
        <f>-Q150*Inputs!Q88</f>
        <v>985.49200651654837</v>
      </c>
      <c r="R159">
        <f>-R150*Inputs!R88</f>
        <v>989.07284121909936</v>
      </c>
    </row>
    <row r="160" spans="2:21" x14ac:dyDescent="0.35">
      <c r="D160" t="str">
        <f t="shared" si="111"/>
        <v>Assets classified as held</v>
      </c>
      <c r="E160" s="70" t="s">
        <v>948</v>
      </c>
      <c r="L160" s="67">
        <f t="shared" si="112"/>
        <v>245</v>
      </c>
      <c r="M160" s="67">
        <f t="shared" si="112"/>
        <v>0</v>
      </c>
      <c r="N160">
        <f>M160</f>
        <v>0</v>
      </c>
      <c r="O160">
        <f t="shared" ref="O160:R160" si="114">N160</f>
        <v>0</v>
      </c>
      <c r="P160">
        <f t="shared" si="114"/>
        <v>0</v>
      </c>
      <c r="Q160">
        <f t="shared" si="114"/>
        <v>0</v>
      </c>
      <c r="R160">
        <f t="shared" si="114"/>
        <v>0</v>
      </c>
    </row>
    <row r="161" spans="3:18" x14ac:dyDescent="0.35">
      <c r="D161" t="str">
        <f t="shared" si="111"/>
        <v>Short Term Investments</v>
      </c>
      <c r="E161" s="70" t="s">
        <v>949</v>
      </c>
      <c r="L161" s="67">
        <f t="shared" si="112"/>
        <v>2761</v>
      </c>
      <c r="M161" s="67">
        <f t="shared" si="112"/>
        <v>1550</v>
      </c>
      <c r="N161">
        <f>M161</f>
        <v>1550</v>
      </c>
      <c r="O161">
        <f t="shared" ref="O161:R161" si="115">N161</f>
        <v>1550</v>
      </c>
      <c r="P161">
        <f t="shared" si="115"/>
        <v>1550</v>
      </c>
      <c r="Q161">
        <f t="shared" si="115"/>
        <v>1550</v>
      </c>
      <c r="R161">
        <f t="shared" si="115"/>
        <v>1550</v>
      </c>
    </row>
    <row r="162" spans="3:18" x14ac:dyDescent="0.35">
      <c r="D162" t="s">
        <v>273</v>
      </c>
      <c r="M162" s="17">
        <f>SUM(M156:M161)</f>
        <v>6756</v>
      </c>
      <c r="N162" s="17">
        <f t="shared" ref="N162:R162" si="116">SUM(N156:N161)</f>
        <v>6534.594761899717</v>
      </c>
      <c r="O162" s="17">
        <f t="shared" si="116"/>
        <v>6608.6688785550832</v>
      </c>
      <c r="P162" s="17">
        <f t="shared" si="116"/>
        <v>6630.1235447617346</v>
      </c>
      <c r="Q162" s="17">
        <f t="shared" si="116"/>
        <v>6700.0758025185078</v>
      </c>
      <c r="R162" s="17">
        <f t="shared" si="116"/>
        <v>6746.2377329769106</v>
      </c>
    </row>
    <row r="164" spans="3:18" x14ac:dyDescent="0.35">
      <c r="D164" t="str">
        <f>D61</f>
        <v>Other intangible assets</v>
      </c>
      <c r="E164" s="70" t="s">
        <v>947</v>
      </c>
      <c r="M164" s="67">
        <f>M61</f>
        <v>4663</v>
      </c>
      <c r="N164">
        <f>Inputs!N94*'3-Statement'!N150*-1</f>
        <v>4653.7964174208364</v>
      </c>
      <c r="O164">
        <f>Inputs!O94*'3-Statement'!O150*-1</f>
        <v>4575.3541895427588</v>
      </c>
      <c r="P164">
        <f>Inputs!P94*'3-Statement'!P150*-1</f>
        <v>4621.4500883736491</v>
      </c>
      <c r="Q164">
        <f>Inputs!Q94*'3-Statement'!Q150*-1</f>
        <v>4624.85050724145</v>
      </c>
      <c r="R164">
        <f>Inputs!R94*'3-Statement'!R150*-1</f>
        <v>4648.7297990032357</v>
      </c>
    </row>
    <row r="165" spans="3:18" x14ac:dyDescent="0.35">
      <c r="D165" t="str">
        <f>D64</f>
        <v>Trade and other receivables</v>
      </c>
      <c r="E165" s="70" t="s">
        <v>957</v>
      </c>
      <c r="M165" s="67">
        <f>M64</f>
        <v>681</v>
      </c>
      <c r="N165">
        <f>N149*Inputs!N97</f>
        <v>645.45785301625358</v>
      </c>
      <c r="O165">
        <f>O149*Inputs!O97</f>
        <v>660.86116430869617</v>
      </c>
      <c r="P165">
        <f>P149*Inputs!P97</f>
        <v>663.93997744114574</v>
      </c>
      <c r="Q165">
        <f>Q149*Inputs!Q97</f>
        <v>676.36497141143309</v>
      </c>
      <c r="R165">
        <f>R149*Inputs!R97</f>
        <v>684.24725502813476</v>
      </c>
    </row>
    <row r="166" spans="3:18" x14ac:dyDescent="0.35">
      <c r="D166" t="str">
        <f>D66</f>
        <v>Contract assets</v>
      </c>
      <c r="E166" s="70" t="s">
        <v>947</v>
      </c>
      <c r="M166" s="67">
        <f>M66</f>
        <v>382</v>
      </c>
      <c r="N166">
        <f>-N150*Inputs!N99</f>
        <v>328.36228388542543</v>
      </c>
      <c r="O166">
        <f>-O150*Inputs!O99</f>
        <v>348.50579269773067</v>
      </c>
      <c r="P166">
        <f>-P150*Inputs!P99</f>
        <v>338.96963656137842</v>
      </c>
      <c r="Q166">
        <f>-Q150*Inputs!Q99</f>
        <v>345.7275920519304</v>
      </c>
      <c r="R166">
        <f>-R150*Inputs!R99</f>
        <v>344.2366193010871</v>
      </c>
    </row>
    <row r="167" spans="3:18" x14ac:dyDescent="0.35">
      <c r="D167" t="str">
        <f>D67</f>
        <v>Retirement benefit surplus</v>
      </c>
      <c r="E167" s="70" t="s">
        <v>953</v>
      </c>
      <c r="M167" s="67">
        <f>M67</f>
        <v>170</v>
      </c>
      <c r="N167">
        <f>-N151*Inputs!N100</f>
        <v>144.53215941578435</v>
      </c>
      <c r="O167">
        <f>-O151*Inputs!O100</f>
        <v>157.32553435870796</v>
      </c>
      <c r="P167">
        <f>-P151*Inputs!P100</f>
        <v>157.25445968257799</v>
      </c>
      <c r="Q167">
        <f>-Q151*Inputs!Q100</f>
        <v>161.83518423102646</v>
      </c>
      <c r="R167">
        <f>-R151*Inputs!R100</f>
        <v>160.79235027017552</v>
      </c>
    </row>
    <row r="168" spans="3:18" x14ac:dyDescent="0.35">
      <c r="D168" t="s">
        <v>344</v>
      </c>
      <c r="L168" s="17"/>
      <c r="M168" s="17">
        <f>SUM(M156:M161,M164:M167)</f>
        <v>12652</v>
      </c>
      <c r="N168" s="17">
        <f t="shared" ref="N168:R168" si="117">SUM(N156:N161,N164:N167)</f>
        <v>12306.743475638019</v>
      </c>
      <c r="O168" s="17">
        <f t="shared" si="117"/>
        <v>12350.715559462978</v>
      </c>
      <c r="P168" s="17">
        <f t="shared" si="117"/>
        <v>12411.737706820484</v>
      </c>
      <c r="Q168" s="17">
        <f t="shared" si="117"/>
        <v>12508.854057454346</v>
      </c>
      <c r="R168" s="17">
        <f t="shared" si="117"/>
        <v>12584.243756579544</v>
      </c>
    </row>
    <row r="172" spans="3:18" ht="18.5" x14ac:dyDescent="0.45">
      <c r="C172" s="64" t="s">
        <v>970</v>
      </c>
    </row>
    <row r="173" spans="3:18" x14ac:dyDescent="0.35">
      <c r="D173" t="str">
        <f t="shared" ref="D173:D179" si="118">D74</f>
        <v>Derivative financial instruments</v>
      </c>
      <c r="E173" s="70" t="s">
        <v>948</v>
      </c>
      <c r="L173" s="67">
        <f t="shared" ref="L173:M179" si="119">L74</f>
        <v>106</v>
      </c>
      <c r="M173" s="67">
        <f t="shared" si="119"/>
        <v>85</v>
      </c>
      <c r="N173">
        <f>M173</f>
        <v>85</v>
      </c>
      <c r="O173">
        <f t="shared" ref="O173:R173" si="120">N173</f>
        <v>85</v>
      </c>
      <c r="P173">
        <f t="shared" si="120"/>
        <v>85</v>
      </c>
      <c r="Q173">
        <f t="shared" si="120"/>
        <v>85</v>
      </c>
      <c r="R173">
        <f t="shared" si="120"/>
        <v>85</v>
      </c>
    </row>
    <row r="174" spans="3:18" x14ac:dyDescent="0.35">
      <c r="D174" t="str">
        <f t="shared" si="118"/>
        <v>Trade and other payables</v>
      </c>
      <c r="E174" s="70" t="s">
        <v>947</v>
      </c>
      <c r="L174" s="67">
        <f t="shared" si="119"/>
        <v>5955</v>
      </c>
      <c r="M174" s="67">
        <f t="shared" si="119"/>
        <v>5895</v>
      </c>
      <c r="N174">
        <f>-N150*Inputs!N113</f>
        <v>5640.7556389392585</v>
      </c>
      <c r="O174">
        <f>-O150*Inputs!O113</f>
        <v>5663.4789691925644</v>
      </c>
      <c r="P174">
        <f>-P150*Inputs!P113</f>
        <v>5660.6818670252742</v>
      </c>
      <c r="Q174">
        <f>-Q150*Inputs!Q113</f>
        <v>5694.7055006587698</v>
      </c>
      <c r="R174">
        <f>-R150*Inputs!R113</f>
        <v>5709.0795286116863</v>
      </c>
    </row>
    <row r="175" spans="3:18" x14ac:dyDescent="0.35">
      <c r="D175" t="str">
        <f t="shared" si="118"/>
        <v>Contract liabilities</v>
      </c>
      <c r="E175" s="70" t="s">
        <v>951</v>
      </c>
      <c r="L175" s="67">
        <f t="shared" si="119"/>
        <v>899</v>
      </c>
      <c r="M175" s="67">
        <f t="shared" si="119"/>
        <v>963</v>
      </c>
      <c r="N175">
        <f>N149*Inputs!N114</f>
        <v>899.82532428983041</v>
      </c>
      <c r="O175">
        <f>O149*Inputs!O114</f>
        <v>928.03213033201519</v>
      </c>
      <c r="P175">
        <f>P149*Inputs!P114</f>
        <v>929.00478669035044</v>
      </c>
      <c r="Q175">
        <f>Q149*Inputs!Q114</f>
        <v>948.10488899143593</v>
      </c>
      <c r="R175">
        <f>R149*Inputs!R114</f>
        <v>958.28868154659381</v>
      </c>
    </row>
    <row r="176" spans="3:18" x14ac:dyDescent="0.35">
      <c r="D176" t="str">
        <f t="shared" si="118"/>
        <v>Lease liabilities</v>
      </c>
      <c r="E176" s="70" t="s">
        <v>951</v>
      </c>
      <c r="L176" s="67">
        <f t="shared" si="119"/>
        <v>705</v>
      </c>
      <c r="M176" s="67">
        <f t="shared" si="119"/>
        <v>779</v>
      </c>
      <c r="N176">
        <f>N149*Inputs!N115</f>
        <v>717.35492679982553</v>
      </c>
      <c r="O176">
        <f>O149*Inputs!O115</f>
        <v>745.41649547152963</v>
      </c>
      <c r="P176">
        <f>P149*Inputs!P115</f>
        <v>743.44360583101457</v>
      </c>
      <c r="Q176">
        <f>Q149*Inputs!Q115</f>
        <v>760.14303764524686</v>
      </c>
      <c r="R176">
        <f>R149*Inputs!R115</f>
        <v>767.59539095665309</v>
      </c>
    </row>
    <row r="177" spans="4:18" x14ac:dyDescent="0.35">
      <c r="D177" t="str">
        <f t="shared" si="118"/>
        <v>Liabilities held for sale</v>
      </c>
      <c r="E177" s="70" t="s">
        <v>948</v>
      </c>
      <c r="L177" s="67">
        <f t="shared" si="119"/>
        <v>188</v>
      </c>
      <c r="M177" s="67">
        <f t="shared" si="119"/>
        <v>0</v>
      </c>
      <c r="N177">
        <f>M177</f>
        <v>0</v>
      </c>
      <c r="O177">
        <f t="shared" ref="O177:R177" si="121">N177</f>
        <v>0</v>
      </c>
      <c r="P177">
        <f t="shared" si="121"/>
        <v>0</v>
      </c>
      <c r="Q177">
        <f t="shared" si="121"/>
        <v>0</v>
      </c>
      <c r="R177">
        <f t="shared" si="121"/>
        <v>0</v>
      </c>
    </row>
    <row r="178" spans="4:18" x14ac:dyDescent="0.35">
      <c r="D178" t="str">
        <f t="shared" si="118"/>
        <v>Current tax liabilities</v>
      </c>
      <c r="E178" s="70" t="s">
        <v>952</v>
      </c>
      <c r="L178" s="67">
        <f t="shared" si="119"/>
        <v>82</v>
      </c>
      <c r="M178" s="67">
        <f t="shared" si="119"/>
        <v>66</v>
      </c>
      <c r="N178">
        <f ca="1">N152*Inputs!N117</f>
        <v>84.149991264644925</v>
      </c>
      <c r="O178">
        <f ca="1">O152*Inputs!O117</f>
        <v>96.163588277244926</v>
      </c>
      <c r="P178">
        <f ca="1">P152*Inputs!P117</f>
        <v>105.28080211715518</v>
      </c>
      <c r="Q178">
        <f ca="1">Q152*Inputs!Q117</f>
        <v>121.06329721773031</v>
      </c>
      <c r="R178">
        <f ca="1">R152*Inputs!R117</f>
        <v>138.66377913580644</v>
      </c>
    </row>
    <row r="179" spans="4:18" x14ac:dyDescent="0.35">
      <c r="D179" t="str">
        <f t="shared" si="118"/>
        <v>Provisions</v>
      </c>
      <c r="E179" s="70" t="s">
        <v>952</v>
      </c>
      <c r="L179" s="67">
        <f t="shared" si="119"/>
        <v>258</v>
      </c>
      <c r="M179" s="67">
        <f t="shared" si="119"/>
        <v>201</v>
      </c>
      <c r="N179">
        <f ca="1">N152*Inputs!N128</f>
        <v>534.5650711850252</v>
      </c>
      <c r="O179">
        <f ca="1">O152*Inputs!O128</f>
        <v>574.99033582229549</v>
      </c>
      <c r="P179">
        <f ca="1">P152*Inputs!P128</f>
        <v>649.15197373702301</v>
      </c>
      <c r="Q179">
        <f ca="1">Q152*Inputs!Q128</f>
        <v>735.1692148734528</v>
      </c>
      <c r="R179">
        <f ca="1">R152*Inputs!R128</f>
        <v>848.51917430753088</v>
      </c>
    </row>
    <row r="180" spans="4:18" x14ac:dyDescent="0.35">
      <c r="D180" t="s">
        <v>1099</v>
      </c>
      <c r="E180" s="70"/>
      <c r="M180" s="17">
        <f>SUM(M173:M179)</f>
        <v>7989</v>
      </c>
      <c r="N180" s="17">
        <f t="shared" ref="N180:R180" ca="1" si="122">SUM(N173:N179)</f>
        <v>7961.6509524785852</v>
      </c>
      <c r="O180" s="17">
        <f t="shared" ca="1" si="122"/>
        <v>8093.08151909565</v>
      </c>
      <c r="P180" s="17">
        <f t="shared" ca="1" si="122"/>
        <v>8172.5630354008172</v>
      </c>
      <c r="Q180" s="17">
        <f t="shared" ca="1" si="122"/>
        <v>8344.1859393866362</v>
      </c>
      <c r="R180" s="17">
        <f t="shared" ca="1" si="122"/>
        <v>8507.1465545582705</v>
      </c>
    </row>
    <row r="182" spans="4:18" x14ac:dyDescent="0.35">
      <c r="D182" t="str">
        <f>D85</f>
        <v>Contract liabilities</v>
      </c>
      <c r="E182" s="70" t="s">
        <v>951</v>
      </c>
      <c r="M182" s="67">
        <f>M85</f>
        <v>274</v>
      </c>
      <c r="N182">
        <f>N149*Inputs!N123</f>
        <v>269.44892140776267</v>
      </c>
      <c r="O182">
        <f>O149*Inputs!O123</f>
        <v>270.79616601480143</v>
      </c>
      <c r="P182">
        <f>P149*Inputs!P123</f>
        <v>274.58731233900869</v>
      </c>
      <c r="Q182">
        <f>Q149*Inputs!Q123</f>
        <v>278.43153471175481</v>
      </c>
      <c r="R182">
        <f>R149*Inputs!R123</f>
        <v>282.3295761977194</v>
      </c>
    </row>
    <row r="183" spans="4:18" x14ac:dyDescent="0.35">
      <c r="D183" t="str">
        <f>D86</f>
        <v>Lease liabilities</v>
      </c>
      <c r="E183" s="70" t="s">
        <v>948</v>
      </c>
      <c r="M183" s="67">
        <f>M86</f>
        <v>3405</v>
      </c>
      <c r="N183">
        <f>Inputs!N124</f>
        <v>3405</v>
      </c>
      <c r="O183">
        <f>Inputs!O124</f>
        <v>3405</v>
      </c>
      <c r="P183">
        <f>Inputs!P124</f>
        <v>3405</v>
      </c>
      <c r="Q183">
        <f>Inputs!Q124</f>
        <v>3405</v>
      </c>
      <c r="R183">
        <f>Inputs!R124</f>
        <v>3405</v>
      </c>
    </row>
    <row r="184" spans="4:18" x14ac:dyDescent="0.35">
      <c r="D184" t="str">
        <f>D90</f>
        <v>Provisions</v>
      </c>
      <c r="E184" s="70" t="s">
        <v>952</v>
      </c>
      <c r="M184" s="67">
        <f>M90</f>
        <v>370</v>
      </c>
      <c r="N184">
        <f ca="1">N152*Inputs!N128</f>
        <v>534.5650711850252</v>
      </c>
      <c r="O184">
        <f ca="1">O152*Inputs!O128</f>
        <v>574.99033582229549</v>
      </c>
      <c r="P184">
        <f ca="1">P152*Inputs!P128</f>
        <v>649.15197373702301</v>
      </c>
      <c r="Q184">
        <f ca="1">Q152*Inputs!Q128</f>
        <v>735.1692148734528</v>
      </c>
      <c r="R184">
        <f ca="1">R152*Inputs!R128</f>
        <v>848.51917430753088</v>
      </c>
    </row>
    <row r="185" spans="4:18" x14ac:dyDescent="0.35">
      <c r="D185" t="str">
        <f>D87</f>
        <v>Retirement benefit obligations</v>
      </c>
      <c r="E185" s="70" t="s">
        <v>953</v>
      </c>
      <c r="M185" s="67">
        <f>M87</f>
        <v>4379</v>
      </c>
      <c r="N185">
        <f>-N151*Inputs!N125</f>
        <v>4258.6286491986266</v>
      </c>
      <c r="O185">
        <f>-O151*Inputs!O125</f>
        <v>4324.4876805445674</v>
      </c>
      <c r="P185">
        <f>-P151*Inputs!P125</f>
        <v>4472.6138649432924</v>
      </c>
      <c r="Q185">
        <f>-Q151*Inputs!Q125</f>
        <v>4524.3547558263281</v>
      </c>
      <c r="R185">
        <f>-R151*Inputs!R125</f>
        <v>4533.883660321887</v>
      </c>
    </row>
    <row r="186" spans="4:18" x14ac:dyDescent="0.35">
      <c r="D186" t="str">
        <f>D88</f>
        <v>Other payables</v>
      </c>
      <c r="E186" s="70" t="s">
        <v>947</v>
      </c>
      <c r="M186" s="67">
        <f>M88</f>
        <v>177</v>
      </c>
      <c r="N186">
        <f>-N150*Inputs!N126</f>
        <v>214.58121708991658</v>
      </c>
      <c r="O186">
        <f>-O150*Inputs!O126</f>
        <v>192.54676842398939</v>
      </c>
      <c r="P186">
        <f>-P150*Inputs!P126</f>
        <v>203.84474055562143</v>
      </c>
      <c r="Q186">
        <f>-Q150*Inputs!Q126</f>
        <v>199.3265101433299</v>
      </c>
      <c r="R186">
        <f>-R150*Inputs!R126</f>
        <v>202.7054149609032</v>
      </c>
    </row>
    <row r="187" spans="4:18" x14ac:dyDescent="0.35">
      <c r="D187" t="str">
        <f>D84</f>
        <v>Derivative financial instruments</v>
      </c>
      <c r="E187" s="70" t="s">
        <v>948</v>
      </c>
      <c r="M187" s="67">
        <f>M84</f>
        <v>313</v>
      </c>
      <c r="N187">
        <f>Inputs!N122</f>
        <v>313</v>
      </c>
      <c r="O187">
        <f>Inputs!O122</f>
        <v>313</v>
      </c>
      <c r="P187">
        <f>Inputs!P122</f>
        <v>313</v>
      </c>
      <c r="Q187">
        <f>Inputs!Q122</f>
        <v>313</v>
      </c>
      <c r="R187">
        <f>Inputs!R122</f>
        <v>313</v>
      </c>
    </row>
    <row r="188" spans="4:18" x14ac:dyDescent="0.35">
      <c r="E188" s="70"/>
    </row>
    <row r="189" spans="4:18" x14ac:dyDescent="0.35">
      <c r="D189" t="s">
        <v>1098</v>
      </c>
      <c r="L189" s="17"/>
      <c r="M189" s="17">
        <f>SUM(M173:M179,M182:M187)</f>
        <v>16907</v>
      </c>
      <c r="N189" s="17">
        <f t="shared" ref="N189:R189" ca="1" si="123">SUM(N173:N179,N182:N187)</f>
        <v>16956.874811359914</v>
      </c>
      <c r="O189" s="17">
        <f t="shared" ca="1" si="123"/>
        <v>17173.902469901303</v>
      </c>
      <c r="P189" s="17">
        <f t="shared" ca="1" si="123"/>
        <v>17490.760926975763</v>
      </c>
      <c r="Q189" s="17">
        <f t="shared" ca="1" si="123"/>
        <v>17799.467954941505</v>
      </c>
      <c r="R189" s="17">
        <f t="shared" ca="1" si="123"/>
        <v>18092.58438034631</v>
      </c>
    </row>
    <row r="191" spans="4:18" x14ac:dyDescent="0.35">
      <c r="D191" s="125" t="s">
        <v>981</v>
      </c>
      <c r="E191" s="127"/>
      <c r="F191" s="83"/>
      <c r="G191" s="83"/>
      <c r="H191" s="83"/>
      <c r="I191" s="83"/>
      <c r="J191" s="83"/>
      <c r="K191" s="83"/>
      <c r="L191" s="83"/>
      <c r="M191" s="83">
        <f t="shared" ref="M191:R191" si="124">M168-M189</f>
        <v>-4255</v>
      </c>
      <c r="N191" s="83">
        <f t="shared" ca="1" si="124"/>
        <v>-4650.1313357218951</v>
      </c>
      <c r="O191" s="83">
        <f t="shared" ca="1" si="124"/>
        <v>-4823.186910438324</v>
      </c>
      <c r="P191" s="83">
        <f t="shared" ca="1" si="124"/>
        <v>-5079.023220155279</v>
      </c>
      <c r="Q191" s="83">
        <f t="shared" ca="1" si="124"/>
        <v>-5290.6138974871592</v>
      </c>
      <c r="R191" s="85">
        <f t="shared" ca="1" si="124"/>
        <v>-5508.3406237667659</v>
      </c>
    </row>
    <row r="192" spans="4:18" x14ac:dyDescent="0.35">
      <c r="D192" s="147" t="s">
        <v>982</v>
      </c>
      <c r="E192" s="87"/>
      <c r="F192" s="87"/>
      <c r="G192" s="87"/>
      <c r="H192" s="87"/>
      <c r="I192" s="87"/>
      <c r="J192" s="87"/>
      <c r="K192" s="87"/>
      <c r="L192" s="87"/>
      <c r="M192" s="87"/>
      <c r="N192" s="87">
        <f ca="1">M191-N191</f>
        <v>395.13133572189508</v>
      </c>
      <c r="O192" s="87">
        <f ca="1">N191-O191</f>
        <v>173.05557471642896</v>
      </c>
      <c r="P192" s="87">
        <f ca="1">O191-P191</f>
        <v>255.83630971695493</v>
      </c>
      <c r="Q192" s="87">
        <f ca="1">P191-Q191</f>
        <v>211.59067733188022</v>
      </c>
      <c r="R192" s="89">
        <f ca="1">Q191-R191</f>
        <v>217.72672627960674</v>
      </c>
    </row>
    <row r="193" spans="3:21" x14ac:dyDescent="0.35">
      <c r="D193" s="147" t="s">
        <v>1028</v>
      </c>
      <c r="E193" s="148"/>
      <c r="F193" s="87"/>
      <c r="G193" s="87"/>
      <c r="H193" s="87"/>
      <c r="I193" s="87"/>
      <c r="J193" s="87"/>
      <c r="K193" s="87"/>
      <c r="L193" s="87"/>
      <c r="M193" s="87">
        <f>M162-M180</f>
        <v>-1233</v>
      </c>
      <c r="N193" s="87">
        <f t="shared" ref="N193:R193" ca="1" si="125">N162-N180</f>
        <v>-1427.0561905788682</v>
      </c>
      <c r="O193" s="87">
        <f t="shared" ca="1" si="125"/>
        <v>-1484.4126405405668</v>
      </c>
      <c r="P193" s="87">
        <f t="shared" ca="1" si="125"/>
        <v>-1542.4394906390826</v>
      </c>
      <c r="Q193" s="87">
        <f t="shared" ca="1" si="125"/>
        <v>-1644.1101368681284</v>
      </c>
      <c r="R193" s="89">
        <f t="shared" ca="1" si="125"/>
        <v>-1760.9088215813599</v>
      </c>
    </row>
    <row r="194" spans="3:21" x14ac:dyDescent="0.35">
      <c r="D194" s="126" t="s">
        <v>1100</v>
      </c>
      <c r="E194" s="82"/>
      <c r="F194" s="82"/>
      <c r="G194" s="82"/>
      <c r="H194" s="82"/>
      <c r="I194" s="82"/>
      <c r="J194" s="82"/>
      <c r="K194" s="82"/>
      <c r="L194" s="82"/>
      <c r="M194" s="82"/>
      <c r="N194" s="82">
        <f ca="1">M193-N193</f>
        <v>194.05619057886815</v>
      </c>
      <c r="O194" s="82">
        <f t="shared" ref="O194:R194" ca="1" si="126">N193-O193</f>
        <v>57.356449961698672</v>
      </c>
      <c r="P194" s="82">
        <f t="shared" ca="1" si="126"/>
        <v>58.026850098515752</v>
      </c>
      <c r="Q194" s="82">
        <f t="shared" ca="1" si="126"/>
        <v>101.67064622904581</v>
      </c>
      <c r="R194" s="92">
        <f t="shared" ca="1" si="126"/>
        <v>116.79868471323152</v>
      </c>
    </row>
    <row r="195" spans="3:21" x14ac:dyDescent="0.35">
      <c r="D195" s="142"/>
      <c r="E195" s="87"/>
      <c r="F195" s="87"/>
      <c r="G195" s="87"/>
      <c r="H195" s="87"/>
      <c r="I195" s="87"/>
      <c r="J195" s="87"/>
      <c r="K195" s="87"/>
      <c r="L195" s="87"/>
      <c r="M195" s="87"/>
      <c r="N195" s="87"/>
      <c r="O195" s="87"/>
      <c r="P195" s="87"/>
      <c r="Q195" s="87"/>
      <c r="R195" s="87"/>
    </row>
    <row r="196" spans="3:21" x14ac:dyDescent="0.35">
      <c r="D196" s="148" t="s">
        <v>1101</v>
      </c>
      <c r="E196" s="87"/>
      <c r="F196" s="87"/>
      <c r="G196" s="87"/>
      <c r="H196" s="87"/>
      <c r="I196" s="87"/>
      <c r="J196" s="87"/>
      <c r="K196" s="87"/>
      <c r="L196" s="87"/>
      <c r="M196" s="87"/>
      <c r="N196" s="87"/>
      <c r="O196" s="87"/>
      <c r="P196" s="87"/>
      <c r="Q196" s="87"/>
      <c r="R196" s="87"/>
    </row>
    <row r="197" spans="3:21" x14ac:dyDescent="0.35">
      <c r="D197" s="148" t="s">
        <v>1102</v>
      </c>
      <c r="E197" s="87"/>
      <c r="F197" s="87"/>
      <c r="G197" s="87"/>
      <c r="H197" s="87"/>
      <c r="I197" s="87"/>
      <c r="J197" s="87"/>
      <c r="K197" s="87"/>
      <c r="L197" s="87"/>
      <c r="M197" s="87"/>
      <c r="N197" s="87"/>
      <c r="O197" s="87"/>
      <c r="P197" s="87"/>
      <c r="Q197" s="87"/>
      <c r="R197" s="87"/>
    </row>
    <row r="198" spans="3:21" x14ac:dyDescent="0.35">
      <c r="C198" s="82"/>
      <c r="D198" s="143"/>
      <c r="E198" s="82"/>
      <c r="F198" s="82"/>
      <c r="G198" s="82"/>
      <c r="H198" s="82"/>
      <c r="I198" s="82"/>
      <c r="J198" s="82"/>
      <c r="K198" s="82"/>
      <c r="L198" s="82"/>
      <c r="M198" s="82"/>
      <c r="N198" s="82"/>
      <c r="O198" s="82"/>
      <c r="P198" s="82"/>
      <c r="Q198" s="82"/>
      <c r="R198" s="82"/>
      <c r="S198" s="82"/>
      <c r="T198" s="82"/>
      <c r="U198" s="82"/>
    </row>
    <row r="199" spans="3:21" x14ac:dyDescent="0.35">
      <c r="C199" s="87"/>
      <c r="D199" s="142"/>
      <c r="E199" s="87"/>
      <c r="F199" s="87"/>
      <c r="G199" s="87"/>
      <c r="H199" s="87"/>
      <c r="I199" s="87"/>
      <c r="J199" s="87"/>
      <c r="K199" s="87"/>
      <c r="L199" s="87"/>
      <c r="M199" s="87"/>
      <c r="N199" s="87"/>
      <c r="O199" s="87"/>
      <c r="P199" s="87"/>
      <c r="Q199" s="87"/>
      <c r="R199" s="87"/>
      <c r="S199" s="87"/>
      <c r="T199" s="87"/>
      <c r="U199" s="87"/>
    </row>
    <row r="200" spans="3:21" ht="18.5" x14ac:dyDescent="0.45">
      <c r="C200" s="64" t="s">
        <v>968</v>
      </c>
    </row>
    <row r="201" spans="3:21" ht="17.5" thickBot="1" x14ac:dyDescent="0.45">
      <c r="C201" s="58" t="s">
        <v>984</v>
      </c>
      <c r="D201" s="58"/>
      <c r="E201" s="58"/>
      <c r="F201" s="58"/>
      <c r="G201" s="58"/>
      <c r="H201" s="58"/>
      <c r="I201" s="58"/>
      <c r="J201" s="58"/>
      <c r="K201" s="58"/>
      <c r="L201" s="58"/>
      <c r="M201" s="58"/>
      <c r="N201" s="58"/>
      <c r="O201" s="58"/>
      <c r="P201" s="58"/>
      <c r="Q201" s="58"/>
      <c r="R201" s="58"/>
      <c r="S201" s="58"/>
      <c r="T201" s="58"/>
      <c r="U201" s="58"/>
    </row>
    <row r="202" spans="3:21" ht="15" thickTop="1" x14ac:dyDescent="0.35">
      <c r="D202" t="str">
        <f>D60</f>
        <v>Property Plant &amp; Equipment</v>
      </c>
      <c r="N202">
        <f>M205</f>
        <v>27682</v>
      </c>
      <c r="O202">
        <f t="shared" ref="O202:R202" si="127">N205</f>
        <v>27860.69345149372</v>
      </c>
      <c r="P202">
        <f t="shared" si="127"/>
        <v>28091.816521483364</v>
      </c>
      <c r="Q202">
        <f t="shared" si="127"/>
        <v>28284.905549091858</v>
      </c>
      <c r="R202">
        <f t="shared" si="127"/>
        <v>28483.876871331391</v>
      </c>
    </row>
    <row r="203" spans="3:21" x14ac:dyDescent="0.35">
      <c r="D203" t="str">
        <f>Inputs!D104</f>
        <v>Capital Expenditures</v>
      </c>
      <c r="N203">
        <f>Inputs!N104</f>
        <v>4958.7827733924387</v>
      </c>
      <c r="O203">
        <f>Inputs!O104</f>
        <v>4757.1148372400085</v>
      </c>
      <c r="P203">
        <f>Inputs!P104</f>
        <v>4563.6485018292378</v>
      </c>
      <c r="Q203">
        <f>Inputs!Q104</f>
        <v>4378.0502175834854</v>
      </c>
      <c r="R203">
        <f>Inputs!R104</f>
        <v>4200</v>
      </c>
    </row>
    <row r="204" spans="3:21" x14ac:dyDescent="0.35">
      <c r="D204" t="str">
        <f>Inputs!D106</f>
        <v>Depreciation</v>
      </c>
      <c r="N204">
        <f>-Inputs!N106</f>
        <v>-4780.0893218987176</v>
      </c>
      <c r="O204">
        <f>-Inputs!O106</f>
        <v>-4525.9917672503643</v>
      </c>
      <c r="P204">
        <f>-Inputs!P106</f>
        <v>-4370.5594742207422</v>
      </c>
      <c r="Q204">
        <f>-Inputs!Q106</f>
        <v>-4179.0788953439514</v>
      </c>
      <c r="R204">
        <f>-Inputs!R106</f>
        <v>-4015.7088176373436</v>
      </c>
    </row>
    <row r="205" spans="3:21" x14ac:dyDescent="0.35">
      <c r="D205" t="s">
        <v>948</v>
      </c>
      <c r="M205" s="18">
        <f>M60</f>
        <v>27682</v>
      </c>
      <c r="N205" s="18">
        <f>SUM(N202:N204)</f>
        <v>27860.69345149372</v>
      </c>
      <c r="O205" s="18">
        <f t="shared" ref="O205:R205" si="128">SUM(O202:O204)</f>
        <v>28091.816521483364</v>
      </c>
      <c r="P205" s="18">
        <f t="shared" si="128"/>
        <v>28284.905549091858</v>
      </c>
      <c r="Q205" s="18">
        <f t="shared" si="128"/>
        <v>28483.876871331391</v>
      </c>
      <c r="R205" s="18">
        <f t="shared" si="128"/>
        <v>28668.168053694048</v>
      </c>
    </row>
    <row r="207" spans="3:21" ht="17.5" thickBot="1" x14ac:dyDescent="0.45">
      <c r="C207" s="58" t="s">
        <v>944</v>
      </c>
      <c r="D207" s="58"/>
      <c r="E207" s="58"/>
      <c r="F207" s="58"/>
      <c r="G207" s="58"/>
      <c r="H207" s="58"/>
      <c r="I207" s="58"/>
      <c r="J207" s="58"/>
      <c r="K207" s="58"/>
      <c r="L207" s="58"/>
      <c r="M207" s="58"/>
      <c r="N207" s="58"/>
      <c r="O207" s="58"/>
      <c r="P207" s="58"/>
      <c r="Q207" s="58"/>
      <c r="R207" s="58"/>
      <c r="S207" s="58"/>
      <c r="T207" s="58"/>
      <c r="U207" s="58"/>
    </row>
    <row r="208" spans="3:21" ht="15" thickTop="1" x14ac:dyDescent="0.35">
      <c r="D208" t="s">
        <v>997</v>
      </c>
      <c r="N208">
        <f>M210</f>
        <v>7305</v>
      </c>
      <c r="O208">
        <f t="shared" ref="O208:R208" si="129">N210</f>
        <v>7305</v>
      </c>
      <c r="P208">
        <f t="shared" si="129"/>
        <v>7305</v>
      </c>
      <c r="Q208">
        <f t="shared" si="129"/>
        <v>7305</v>
      </c>
      <c r="R208">
        <f t="shared" si="129"/>
        <v>7305</v>
      </c>
    </row>
    <row r="209" spans="3:21" x14ac:dyDescent="0.35">
      <c r="D209" t="s">
        <v>996</v>
      </c>
      <c r="N209">
        <f>Inputs!N93-Inputs!M93</f>
        <v>0</v>
      </c>
      <c r="O209">
        <f>Inputs!O93-Inputs!N93</f>
        <v>0</v>
      </c>
      <c r="P209">
        <f>Inputs!P93-Inputs!O93</f>
        <v>0</v>
      </c>
      <c r="Q209">
        <f>Inputs!Q93-Inputs!P93</f>
        <v>0</v>
      </c>
      <c r="R209">
        <f>Inputs!R93-Inputs!Q93</f>
        <v>0</v>
      </c>
    </row>
    <row r="210" spans="3:21" x14ac:dyDescent="0.35">
      <c r="D210" t="s">
        <v>948</v>
      </c>
      <c r="M210" s="67">
        <f>M59</f>
        <v>7305</v>
      </c>
      <c r="N210" s="144">
        <f>SUM(N208:N209)</f>
        <v>7305</v>
      </c>
      <c r="O210" s="83">
        <f t="shared" ref="O210:R210" si="130">SUM(O208:O209)</f>
        <v>7305</v>
      </c>
      <c r="P210" s="83">
        <f t="shared" si="130"/>
        <v>7305</v>
      </c>
      <c r="Q210" s="83">
        <f t="shared" si="130"/>
        <v>7305</v>
      </c>
      <c r="R210" s="83">
        <f t="shared" si="130"/>
        <v>7305</v>
      </c>
    </row>
    <row r="213" spans="3:21" ht="17.5" thickBot="1" x14ac:dyDescent="0.45">
      <c r="C213" s="58" t="s">
        <v>937</v>
      </c>
      <c r="D213" s="58"/>
      <c r="E213" s="58"/>
      <c r="F213" s="58"/>
      <c r="G213" s="58"/>
      <c r="H213" s="58"/>
      <c r="I213" s="58"/>
      <c r="J213" s="58"/>
      <c r="K213" s="58"/>
      <c r="L213" s="58"/>
      <c r="M213" s="58"/>
      <c r="N213" s="58"/>
      <c r="O213" s="58"/>
      <c r="P213" s="58"/>
      <c r="Q213" s="58"/>
      <c r="R213" s="58"/>
      <c r="S213" s="58"/>
      <c r="T213" s="58"/>
      <c r="U213" s="58"/>
    </row>
    <row r="214" spans="3:21" ht="15" thickTop="1" x14ac:dyDescent="0.35">
      <c r="D214" t="s">
        <v>997</v>
      </c>
      <c r="N214">
        <f>M216</f>
        <v>850</v>
      </c>
      <c r="O214">
        <f t="shared" ref="O214:R214" si="131">N216</f>
        <v>850</v>
      </c>
      <c r="P214">
        <f t="shared" si="131"/>
        <v>850</v>
      </c>
      <c r="Q214">
        <f t="shared" si="131"/>
        <v>850</v>
      </c>
      <c r="R214">
        <f t="shared" si="131"/>
        <v>850</v>
      </c>
    </row>
    <row r="215" spans="3:21" x14ac:dyDescent="0.35">
      <c r="D215" t="s">
        <v>996</v>
      </c>
      <c r="N215">
        <f>Inputs!N95-Inputs!M95</f>
        <v>0</v>
      </c>
      <c r="O215">
        <f>Inputs!O95-Inputs!N95</f>
        <v>0</v>
      </c>
      <c r="P215">
        <f>Inputs!P95-Inputs!O95</f>
        <v>0</v>
      </c>
      <c r="Q215">
        <f>Inputs!Q95-Inputs!P95</f>
        <v>0</v>
      </c>
      <c r="R215">
        <f>Inputs!R95-Inputs!Q95</f>
        <v>0</v>
      </c>
    </row>
    <row r="216" spans="3:21" x14ac:dyDescent="0.35">
      <c r="D216" t="s">
        <v>948</v>
      </c>
      <c r="M216" s="67">
        <f>M62</f>
        <v>850</v>
      </c>
      <c r="N216" s="144">
        <f>SUM(N214:N215)</f>
        <v>850</v>
      </c>
      <c r="O216" s="83">
        <f t="shared" ref="O216:R216" si="132">SUM(O214:O215)</f>
        <v>850</v>
      </c>
      <c r="P216" s="83">
        <f t="shared" si="132"/>
        <v>850</v>
      </c>
      <c r="Q216" s="83">
        <f t="shared" si="132"/>
        <v>850</v>
      </c>
      <c r="R216" s="83">
        <f t="shared" si="132"/>
        <v>850</v>
      </c>
    </row>
    <row r="218" spans="3:21" ht="17.5" thickBot="1" x14ac:dyDescent="0.45">
      <c r="C218" s="58" t="s">
        <v>1003</v>
      </c>
      <c r="D218" s="58"/>
      <c r="E218" s="58"/>
      <c r="F218" s="58"/>
      <c r="G218" s="58"/>
      <c r="H218" s="58"/>
      <c r="I218" s="58"/>
      <c r="J218" s="58"/>
      <c r="K218" s="58"/>
      <c r="L218" s="58"/>
      <c r="M218" s="58"/>
      <c r="N218" s="58"/>
      <c r="O218" s="58"/>
      <c r="P218" s="58"/>
      <c r="Q218" s="58"/>
      <c r="R218" s="58"/>
      <c r="S218" s="58"/>
      <c r="T218" s="58"/>
      <c r="U218" s="58"/>
    </row>
    <row r="219" spans="3:21" ht="15" thickTop="1" x14ac:dyDescent="0.35">
      <c r="D219" t="s">
        <v>997</v>
      </c>
      <c r="N219">
        <f>M221</f>
        <v>4</v>
      </c>
      <c r="O219">
        <f t="shared" ref="O219:R219" si="133">N221</f>
        <v>4</v>
      </c>
      <c r="P219">
        <f t="shared" si="133"/>
        <v>4</v>
      </c>
      <c r="Q219">
        <f t="shared" si="133"/>
        <v>4</v>
      </c>
      <c r="R219">
        <f t="shared" si="133"/>
        <v>4</v>
      </c>
    </row>
    <row r="220" spans="3:21" x14ac:dyDescent="0.35">
      <c r="D220" t="s">
        <v>996</v>
      </c>
      <c r="N220">
        <f>Inputs!N96-Inputs!M96</f>
        <v>0</v>
      </c>
      <c r="O220">
        <f>Inputs!O96-Inputs!N96</f>
        <v>0</v>
      </c>
      <c r="P220">
        <f>Inputs!P96-Inputs!O96</f>
        <v>0</v>
      </c>
      <c r="Q220">
        <f>Inputs!Q96-Inputs!P96</f>
        <v>0</v>
      </c>
      <c r="R220">
        <f>Inputs!R96-Inputs!Q96</f>
        <v>0</v>
      </c>
    </row>
    <row r="221" spans="3:21" x14ac:dyDescent="0.35">
      <c r="D221" t="s">
        <v>948</v>
      </c>
      <c r="M221" s="67">
        <f>M63</f>
        <v>4</v>
      </c>
      <c r="N221" s="144">
        <f>SUM(N219:N220)</f>
        <v>4</v>
      </c>
      <c r="O221" s="83">
        <f t="shared" ref="O221:R221" si="134">SUM(O219:O220)</f>
        <v>4</v>
      </c>
      <c r="P221" s="83">
        <f t="shared" si="134"/>
        <v>4</v>
      </c>
      <c r="Q221" s="83">
        <f t="shared" si="134"/>
        <v>4</v>
      </c>
      <c r="R221" s="83">
        <f t="shared" si="134"/>
        <v>4</v>
      </c>
    </row>
    <row r="223" spans="3:21" ht="17.5" thickBot="1" x14ac:dyDescent="0.45">
      <c r="C223" s="58" t="s">
        <v>1004</v>
      </c>
      <c r="D223" s="58"/>
      <c r="E223" s="58"/>
      <c r="F223" s="58"/>
      <c r="G223" s="58"/>
      <c r="H223" s="58"/>
      <c r="I223" s="58"/>
      <c r="J223" s="58"/>
      <c r="K223" s="58"/>
      <c r="L223" s="58"/>
      <c r="M223" s="58"/>
      <c r="N223" s="58"/>
      <c r="O223" s="58"/>
      <c r="P223" s="58"/>
      <c r="Q223" s="58"/>
      <c r="R223" s="58"/>
      <c r="S223" s="58"/>
      <c r="T223" s="58"/>
      <c r="U223" s="58"/>
    </row>
    <row r="224" spans="3:21" ht="15" thickTop="1" x14ac:dyDescent="0.35">
      <c r="D224" t="s">
        <v>997</v>
      </c>
      <c r="N224">
        <f>M226</f>
        <v>0</v>
      </c>
      <c r="O224">
        <f t="shared" ref="O224:R224" si="135">N226</f>
        <v>0</v>
      </c>
      <c r="P224">
        <f t="shared" si="135"/>
        <v>0</v>
      </c>
      <c r="Q224">
        <f t="shared" si="135"/>
        <v>0</v>
      </c>
      <c r="R224">
        <f t="shared" si="135"/>
        <v>0</v>
      </c>
    </row>
    <row r="225" spans="3:21" x14ac:dyDescent="0.35">
      <c r="D225" t="s">
        <v>996</v>
      </c>
      <c r="N225">
        <f>Inputs!N98-Inputs!M98</f>
        <v>0</v>
      </c>
      <c r="O225">
        <f>Inputs!O98-Inputs!N98</f>
        <v>0</v>
      </c>
      <c r="P225">
        <f>Inputs!P98-Inputs!O98</f>
        <v>0</v>
      </c>
      <c r="Q225">
        <f>Inputs!Q98-Inputs!P98</f>
        <v>0</v>
      </c>
      <c r="R225">
        <f>Inputs!R98-Inputs!Q98</f>
        <v>0</v>
      </c>
    </row>
    <row r="226" spans="3:21" x14ac:dyDescent="0.35">
      <c r="D226" t="s">
        <v>948</v>
      </c>
      <c r="M226" s="67">
        <f>M65</f>
        <v>0</v>
      </c>
      <c r="N226" s="144">
        <f>SUM(N224:N225)</f>
        <v>0</v>
      </c>
      <c r="O226" s="83">
        <f t="shared" ref="O226:R226" si="136">SUM(O224:O225)</f>
        <v>0</v>
      </c>
      <c r="P226" s="83">
        <f t="shared" si="136"/>
        <v>0</v>
      </c>
      <c r="Q226" s="83">
        <f t="shared" si="136"/>
        <v>0</v>
      </c>
      <c r="R226" s="83">
        <f t="shared" si="136"/>
        <v>0</v>
      </c>
    </row>
    <row r="228" spans="3:21" ht="18.5" x14ac:dyDescent="0.45">
      <c r="C228" s="64" t="s">
        <v>609</v>
      </c>
    </row>
    <row r="229" spans="3:21" ht="17.5" thickBot="1" x14ac:dyDescent="0.45">
      <c r="C229" s="58" t="s">
        <v>1006</v>
      </c>
      <c r="D229" s="58"/>
      <c r="E229" s="58"/>
      <c r="F229" s="58"/>
      <c r="G229" s="58"/>
      <c r="H229" s="58"/>
      <c r="I229" s="58"/>
      <c r="J229" s="58"/>
      <c r="K229" s="58"/>
      <c r="L229" s="58"/>
      <c r="M229" s="58"/>
      <c r="N229" s="58"/>
      <c r="O229" s="58"/>
      <c r="P229" s="58"/>
      <c r="Q229" s="58"/>
      <c r="R229" s="58"/>
      <c r="S229" s="58"/>
      <c r="T229" s="58"/>
      <c r="U229" s="58"/>
    </row>
    <row r="230" spans="3:21" ht="15" thickTop="1" x14ac:dyDescent="0.35">
      <c r="D230" t="s">
        <v>997</v>
      </c>
      <c r="N230">
        <f>M232</f>
        <v>499</v>
      </c>
      <c r="O230">
        <f t="shared" ref="O230:R230" si="137">N232</f>
        <v>499</v>
      </c>
      <c r="P230">
        <f t="shared" si="137"/>
        <v>499</v>
      </c>
      <c r="Q230">
        <f t="shared" si="137"/>
        <v>499</v>
      </c>
      <c r="R230">
        <f t="shared" si="137"/>
        <v>499</v>
      </c>
    </row>
    <row r="231" spans="3:21" x14ac:dyDescent="0.35">
      <c r="D231" t="s">
        <v>996</v>
      </c>
      <c r="N231">
        <f>Inputs!N133-Inputs!M133</f>
        <v>0</v>
      </c>
      <c r="O231">
        <f>Inputs!O133-Inputs!N133</f>
        <v>0</v>
      </c>
      <c r="P231">
        <f>Inputs!P133-Inputs!O133</f>
        <v>0</v>
      </c>
      <c r="Q231">
        <f>Inputs!Q133-Inputs!P133</f>
        <v>0</v>
      </c>
      <c r="R231">
        <f>Inputs!R133-Inputs!Q133</f>
        <v>0</v>
      </c>
    </row>
    <row r="232" spans="3:21" x14ac:dyDescent="0.35">
      <c r="D232" t="s">
        <v>948</v>
      </c>
      <c r="M232" s="67">
        <f>M95</f>
        <v>499</v>
      </c>
      <c r="N232" s="144">
        <f>SUM(N230:N231)</f>
        <v>499</v>
      </c>
      <c r="O232" s="83">
        <f t="shared" ref="O232:R232" si="138">SUM(O230:O231)</f>
        <v>499</v>
      </c>
      <c r="P232" s="83">
        <f t="shared" si="138"/>
        <v>499</v>
      </c>
      <c r="Q232" s="83">
        <f t="shared" si="138"/>
        <v>499</v>
      </c>
      <c r="R232" s="83">
        <f t="shared" si="138"/>
        <v>499</v>
      </c>
    </row>
    <row r="234" spans="3:21" ht="17.5" thickBot="1" x14ac:dyDescent="0.45">
      <c r="C234" s="58" t="s">
        <v>1008</v>
      </c>
      <c r="D234" s="58"/>
      <c r="E234" s="58"/>
      <c r="F234" s="58"/>
      <c r="G234" s="58"/>
      <c r="H234" s="58"/>
      <c r="I234" s="58"/>
      <c r="J234" s="58"/>
      <c r="K234" s="58"/>
      <c r="L234" s="58"/>
      <c r="M234" s="58"/>
      <c r="N234" s="58"/>
      <c r="O234" s="58"/>
      <c r="P234" s="58"/>
      <c r="Q234" s="58"/>
      <c r="R234" s="58"/>
      <c r="S234" s="58"/>
      <c r="T234" s="58"/>
      <c r="U234" s="58"/>
    </row>
    <row r="235" spans="3:21" ht="15" thickTop="1" x14ac:dyDescent="0.35">
      <c r="D235" t="s">
        <v>997</v>
      </c>
      <c r="N235">
        <f>M237</f>
        <v>1051</v>
      </c>
      <c r="O235">
        <f t="shared" ref="O235:R235" si="139">N237</f>
        <v>1051</v>
      </c>
      <c r="P235">
        <f t="shared" si="139"/>
        <v>1051</v>
      </c>
      <c r="Q235">
        <f t="shared" si="139"/>
        <v>1051</v>
      </c>
      <c r="R235">
        <f t="shared" si="139"/>
        <v>1051</v>
      </c>
    </row>
    <row r="236" spans="3:21" x14ac:dyDescent="0.35">
      <c r="D236" t="s">
        <v>996</v>
      </c>
      <c r="N236">
        <f>Inputs!N134-Inputs!M134</f>
        <v>0</v>
      </c>
      <c r="O236">
        <f>Inputs!O134-Inputs!N134</f>
        <v>0</v>
      </c>
      <c r="P236">
        <f>Inputs!P134-Inputs!O134</f>
        <v>0</v>
      </c>
      <c r="Q236">
        <f>Inputs!Q134-Inputs!P134</f>
        <v>0</v>
      </c>
      <c r="R236">
        <f>Inputs!R134-Inputs!Q134</f>
        <v>0</v>
      </c>
    </row>
    <row r="237" spans="3:21" x14ac:dyDescent="0.35">
      <c r="D237" t="s">
        <v>948</v>
      </c>
      <c r="M237" s="67">
        <f>M96</f>
        <v>1051</v>
      </c>
      <c r="N237" s="144">
        <f>SUM(N235:N236)</f>
        <v>1051</v>
      </c>
      <c r="O237" s="83">
        <f t="shared" ref="O237:R237" si="140">SUM(O235:O236)</f>
        <v>1051</v>
      </c>
      <c r="P237" s="83">
        <f t="shared" si="140"/>
        <v>1051</v>
      </c>
      <c r="Q237" s="83">
        <f t="shared" si="140"/>
        <v>1051</v>
      </c>
      <c r="R237" s="83">
        <f t="shared" si="140"/>
        <v>1051</v>
      </c>
    </row>
    <row r="239" spans="3:21" ht="17.5" thickBot="1" x14ac:dyDescent="0.45">
      <c r="C239" s="58" t="s">
        <v>1009</v>
      </c>
      <c r="D239" s="58"/>
      <c r="E239" s="58"/>
      <c r="F239" s="58"/>
      <c r="G239" s="58"/>
      <c r="H239" s="58"/>
      <c r="I239" s="58"/>
      <c r="J239" s="58"/>
      <c r="K239" s="58"/>
      <c r="L239" s="58"/>
      <c r="M239" s="58"/>
      <c r="N239" s="58"/>
      <c r="O239" s="58"/>
      <c r="P239" s="58"/>
      <c r="Q239" s="58"/>
      <c r="R239" s="58"/>
      <c r="S239" s="58"/>
      <c r="T239" s="58"/>
      <c r="U239" s="58"/>
    </row>
    <row r="240" spans="3:21" ht="15" thickTop="1" x14ac:dyDescent="0.35">
      <c r="D240" t="s">
        <v>997</v>
      </c>
      <c r="N240">
        <f>M242</f>
        <v>-188</v>
      </c>
      <c r="O240">
        <f t="shared" ref="O240:R240" si="141">N242</f>
        <v>-188</v>
      </c>
      <c r="P240">
        <f t="shared" si="141"/>
        <v>-188</v>
      </c>
      <c r="Q240">
        <f t="shared" si="141"/>
        <v>-188</v>
      </c>
      <c r="R240">
        <f t="shared" si="141"/>
        <v>-188</v>
      </c>
    </row>
    <row r="241" spans="3:21" x14ac:dyDescent="0.35">
      <c r="D241" t="s">
        <v>996</v>
      </c>
      <c r="N241">
        <f>Inputs!N135-Inputs!M135</f>
        <v>0</v>
      </c>
      <c r="O241">
        <f>Inputs!O135-Inputs!N135</f>
        <v>0</v>
      </c>
      <c r="P241">
        <f>Inputs!P135-Inputs!O135</f>
        <v>0</v>
      </c>
      <c r="Q241">
        <f>Inputs!Q135-Inputs!P135</f>
        <v>0</v>
      </c>
      <c r="R241">
        <f>Inputs!R135-Inputs!Q135</f>
        <v>0</v>
      </c>
    </row>
    <row r="242" spans="3:21" x14ac:dyDescent="0.35">
      <c r="D242" t="s">
        <v>948</v>
      </c>
      <c r="M242" s="67">
        <f>M97</f>
        <v>-188</v>
      </c>
      <c r="N242" s="144">
        <f>SUM(N240:N241)</f>
        <v>-188</v>
      </c>
      <c r="O242" s="83">
        <f t="shared" ref="O242:R242" si="142">SUM(O240:O241)</f>
        <v>-188</v>
      </c>
      <c r="P242" s="83">
        <f t="shared" si="142"/>
        <v>-188</v>
      </c>
      <c r="Q242" s="83">
        <f t="shared" si="142"/>
        <v>-188</v>
      </c>
      <c r="R242" s="83">
        <f t="shared" si="142"/>
        <v>-188</v>
      </c>
    </row>
    <row r="244" spans="3:21" ht="17.5" thickBot="1" x14ac:dyDescent="0.45">
      <c r="C244" s="58" t="s">
        <v>1010</v>
      </c>
      <c r="D244" s="58"/>
      <c r="E244" s="58"/>
      <c r="F244" s="58"/>
      <c r="G244" s="58"/>
      <c r="H244" s="58"/>
      <c r="I244" s="58"/>
      <c r="J244" s="58"/>
      <c r="K244" s="58"/>
      <c r="L244" s="58"/>
      <c r="M244" s="58"/>
      <c r="N244" s="58"/>
      <c r="O244" s="58"/>
      <c r="P244" s="58"/>
      <c r="Q244" s="58"/>
      <c r="R244" s="58"/>
      <c r="S244" s="58"/>
      <c r="T244" s="58"/>
      <c r="U244" s="58"/>
    </row>
    <row r="245" spans="3:21" ht="15" thickTop="1" x14ac:dyDescent="0.35">
      <c r="D245" t="s">
        <v>997</v>
      </c>
      <c r="N245">
        <f>M247</f>
        <v>998</v>
      </c>
      <c r="O245">
        <f t="shared" ref="O245:R245" si="143">N247</f>
        <v>998</v>
      </c>
      <c r="P245">
        <f t="shared" si="143"/>
        <v>998</v>
      </c>
      <c r="Q245">
        <f t="shared" si="143"/>
        <v>998</v>
      </c>
      <c r="R245">
        <f t="shared" si="143"/>
        <v>998</v>
      </c>
    </row>
    <row r="246" spans="3:21" x14ac:dyDescent="0.35">
      <c r="D246" t="s">
        <v>996</v>
      </c>
      <c r="N246">
        <f>Inputs!N136-Inputs!M136</f>
        <v>0</v>
      </c>
      <c r="O246">
        <f>Inputs!O136-Inputs!N136</f>
        <v>0</v>
      </c>
      <c r="P246">
        <f>Inputs!P136-Inputs!O136</f>
        <v>0</v>
      </c>
      <c r="Q246">
        <f>Inputs!Q136-Inputs!P136</f>
        <v>0</v>
      </c>
      <c r="R246">
        <f>Inputs!R136-Inputs!Q136</f>
        <v>0</v>
      </c>
    </row>
    <row r="247" spans="3:21" x14ac:dyDescent="0.35">
      <c r="D247" t="s">
        <v>948</v>
      </c>
      <c r="M247" s="67">
        <f>M98</f>
        <v>998</v>
      </c>
      <c r="N247" s="144">
        <f>SUM(N245:N246)</f>
        <v>998</v>
      </c>
      <c r="O247" s="83">
        <f t="shared" ref="O247:R247" si="144">SUM(O245:O246)</f>
        <v>998</v>
      </c>
      <c r="P247" s="83">
        <f t="shared" si="144"/>
        <v>998</v>
      </c>
      <c r="Q247" s="83">
        <f t="shared" si="144"/>
        <v>998</v>
      </c>
      <c r="R247" s="83">
        <f t="shared" si="144"/>
        <v>998</v>
      </c>
    </row>
    <row r="249" spans="3:21" ht="17.5" thickBot="1" x14ac:dyDescent="0.45">
      <c r="C249" s="58" t="s">
        <v>1011</v>
      </c>
      <c r="D249" s="58"/>
      <c r="E249" s="58"/>
      <c r="F249" s="58"/>
      <c r="G249" s="58"/>
      <c r="H249" s="58"/>
      <c r="I249" s="58"/>
      <c r="J249" s="58"/>
      <c r="K249" s="58"/>
      <c r="L249" s="58"/>
      <c r="M249" s="58"/>
      <c r="N249" s="58"/>
      <c r="O249" s="58"/>
      <c r="P249" s="58"/>
      <c r="Q249" s="58"/>
      <c r="R249" s="58"/>
      <c r="S249" s="58"/>
      <c r="T249" s="58"/>
      <c r="U249" s="58"/>
    </row>
    <row r="250" spans="3:21" ht="15" thickTop="1" x14ac:dyDescent="0.35">
      <c r="D250" t="s">
        <v>997</v>
      </c>
      <c r="N250">
        <f>M252</f>
        <v>650</v>
      </c>
      <c r="O250">
        <f t="shared" ref="O250:R250" si="145">N252</f>
        <v>650</v>
      </c>
      <c r="P250">
        <f t="shared" si="145"/>
        <v>650</v>
      </c>
      <c r="Q250">
        <f t="shared" si="145"/>
        <v>650</v>
      </c>
      <c r="R250">
        <f t="shared" si="145"/>
        <v>650</v>
      </c>
    </row>
    <row r="251" spans="3:21" x14ac:dyDescent="0.35">
      <c r="D251" t="s">
        <v>996</v>
      </c>
      <c r="N251">
        <f>Inputs!N137-Inputs!M137</f>
        <v>0</v>
      </c>
      <c r="O251">
        <f>Inputs!O137-Inputs!N137</f>
        <v>0</v>
      </c>
      <c r="P251">
        <f>Inputs!P137-Inputs!O137</f>
        <v>0</v>
      </c>
      <c r="Q251">
        <f>Inputs!Q137-Inputs!P137</f>
        <v>0</v>
      </c>
      <c r="R251">
        <f>Inputs!R137-Inputs!Q137</f>
        <v>0</v>
      </c>
    </row>
    <row r="252" spans="3:21" x14ac:dyDescent="0.35">
      <c r="D252" t="s">
        <v>948</v>
      </c>
      <c r="M252" s="67">
        <f>M99</f>
        <v>650</v>
      </c>
      <c r="N252" s="144">
        <f>SUM(N250:N251)</f>
        <v>650</v>
      </c>
      <c r="O252" s="83">
        <f t="shared" ref="O252:R252" si="146">SUM(O250:O251)</f>
        <v>650</v>
      </c>
      <c r="P252" s="83">
        <f t="shared" si="146"/>
        <v>650</v>
      </c>
      <c r="Q252" s="83">
        <f t="shared" si="146"/>
        <v>650</v>
      </c>
      <c r="R252" s="83">
        <f t="shared" si="146"/>
        <v>650</v>
      </c>
    </row>
    <row r="254" spans="3:21" ht="17.5" thickBot="1" x14ac:dyDescent="0.45">
      <c r="C254" s="58" t="s">
        <v>1007</v>
      </c>
      <c r="D254" s="58"/>
      <c r="E254" s="58"/>
      <c r="F254" s="58"/>
      <c r="G254" s="58"/>
      <c r="H254" s="58"/>
      <c r="I254" s="58"/>
      <c r="J254" s="58"/>
      <c r="K254" s="58"/>
      <c r="L254" s="58"/>
      <c r="M254" s="58"/>
      <c r="N254" s="58"/>
      <c r="O254" s="58"/>
      <c r="P254" s="58"/>
      <c r="Q254" s="58"/>
      <c r="R254" s="58"/>
      <c r="S254" s="58"/>
      <c r="T254" s="58"/>
      <c r="U254" s="58"/>
    </row>
    <row r="255" spans="3:21" ht="15" thickTop="1" x14ac:dyDescent="0.35">
      <c r="D255" t="s">
        <v>997</v>
      </c>
      <c r="N255">
        <f>M258</f>
        <v>9554</v>
      </c>
      <c r="O255">
        <f t="shared" ref="O255:R255" ca="1" si="147">N258</f>
        <v>10273.800470652419</v>
      </c>
      <c r="P255">
        <f t="shared" ca="1" si="147"/>
        <v>11192.684206720904</v>
      </c>
      <c r="Q255">
        <f t="shared" ca="1" si="147"/>
        <v>12255.706909318738</v>
      </c>
      <c r="R255">
        <f t="shared" ca="1" si="147"/>
        <v>13586.747803528613</v>
      </c>
    </row>
    <row r="256" spans="3:21" x14ac:dyDescent="0.35">
      <c r="D256" t="s">
        <v>157</v>
      </c>
      <c r="N256">
        <f ca="1">N36</f>
        <v>1573.987336609154</v>
      </c>
      <c r="O256">
        <f ca="1">O36</f>
        <v>1798.696208003922</v>
      </c>
      <c r="P256">
        <f ca="1">P36</f>
        <v>1969.2295486913345</v>
      </c>
      <c r="Q256">
        <f ca="1">Q36</f>
        <v>2264.4339456861826</v>
      </c>
      <c r="R256">
        <f ca="1">R36</f>
        <v>2593.6429597447432</v>
      </c>
    </row>
    <row r="257" spans="3:21" x14ac:dyDescent="0.35">
      <c r="D257" t="s">
        <v>602</v>
      </c>
      <c r="N257">
        <f>-Inputs!N51</f>
        <v>-854.18686595673614</v>
      </c>
      <c r="O257">
        <f>-Inputs!O51</f>
        <v>-879.81247193543811</v>
      </c>
      <c r="P257">
        <f>-Inputs!P51</f>
        <v>-906.20684609350144</v>
      </c>
      <c r="Q257">
        <f>-Inputs!Q51</f>
        <v>-933.39305147630648</v>
      </c>
      <c r="R257">
        <f>-Inputs!R51</f>
        <v>-961.39484302059566</v>
      </c>
    </row>
    <row r="258" spans="3:21" x14ac:dyDescent="0.35">
      <c r="D258" t="s">
        <v>948</v>
      </c>
      <c r="M258" s="67">
        <f>M100</f>
        <v>9554</v>
      </c>
      <c r="N258" s="144">
        <f ca="1">SUM(N255:N257)</f>
        <v>10273.800470652419</v>
      </c>
      <c r="O258" s="83">
        <f t="shared" ref="O258:R258" ca="1" si="148">SUM(O255:O257)</f>
        <v>11192.684206720904</v>
      </c>
      <c r="P258" s="83">
        <f t="shared" ca="1" si="148"/>
        <v>12255.706909318738</v>
      </c>
      <c r="Q258" s="83">
        <f t="shared" ca="1" si="148"/>
        <v>13586.747803528613</v>
      </c>
      <c r="R258" s="83">
        <f t="shared" ca="1" si="148"/>
        <v>15218.995920252761</v>
      </c>
    </row>
    <row r="260" spans="3:21" ht="17.5" thickBot="1" x14ac:dyDescent="0.45">
      <c r="C260" s="58" t="s">
        <v>1012</v>
      </c>
      <c r="D260" s="58"/>
      <c r="E260" s="58"/>
      <c r="F260" s="58"/>
      <c r="G260" s="58"/>
      <c r="H260" s="58"/>
      <c r="I260" s="58"/>
      <c r="J260" s="58"/>
      <c r="K260" s="58"/>
      <c r="L260" s="58"/>
      <c r="M260" s="58"/>
      <c r="N260" s="58"/>
      <c r="O260" s="58"/>
      <c r="P260" s="58"/>
      <c r="Q260" s="58"/>
      <c r="R260" s="58"/>
      <c r="S260" s="58"/>
      <c r="T260" s="58"/>
      <c r="U260" s="58"/>
    </row>
    <row r="261" spans="3:21" ht="15" thickTop="1" x14ac:dyDescent="0.35"/>
    <row r="266" spans="3:21" ht="17.5" thickBot="1" x14ac:dyDescent="0.45">
      <c r="C266" s="58" t="s">
        <v>1013</v>
      </c>
      <c r="D266" s="58"/>
      <c r="E266" s="58"/>
      <c r="F266" s="58"/>
      <c r="G266" s="58"/>
      <c r="H266" s="58"/>
      <c r="I266" s="58"/>
      <c r="J266" s="58"/>
      <c r="K266" s="58"/>
      <c r="L266" s="58"/>
      <c r="M266" s="58"/>
      <c r="N266" s="58"/>
      <c r="O266" s="58"/>
      <c r="P266" s="58"/>
      <c r="Q266" s="58"/>
      <c r="R266" s="58"/>
      <c r="S266" s="58"/>
      <c r="T266" s="58"/>
      <c r="U266" s="58"/>
    </row>
    <row r="267" spans="3:21" ht="15" thickTop="1" x14ac:dyDescent="0.35"/>
    <row r="268" spans="3:21" x14ac:dyDescent="0.35">
      <c r="D268" t="str">
        <f>D28</f>
        <v>EBT</v>
      </c>
      <c r="N268">
        <f ca="1">N28</f>
        <v>2098.6497821455387</v>
      </c>
      <c r="O268">
        <f ca="1">O28</f>
        <v>2398.2616106718961</v>
      </c>
      <c r="P268">
        <f ca="1">P28</f>
        <v>2625.6393982551126</v>
      </c>
      <c r="Q268">
        <f ca="1">Q28</f>
        <v>3019.2452609149104</v>
      </c>
      <c r="R268">
        <f ca="1">R28</f>
        <v>3458.1906129929912</v>
      </c>
    </row>
    <row r="269" spans="3:21" x14ac:dyDescent="0.35">
      <c r="D269" t="str">
        <f>Inputs!D77</f>
        <v>Implied Government Reduction in EBT/Timing difference</v>
      </c>
      <c r="N269" s="67">
        <f>Inputs!N77</f>
        <v>1270.0334261838439</v>
      </c>
      <c r="O269" s="67">
        <f>Inputs!O77</f>
        <v>1270.0334261838439</v>
      </c>
      <c r="P269" s="67">
        <f>Inputs!P77</f>
        <v>1270.0334261838439</v>
      </c>
      <c r="Q269" s="67">
        <f>Inputs!Q77</f>
        <v>1270.0334261838439</v>
      </c>
      <c r="R269" s="67">
        <f>Inputs!R77</f>
        <v>1270.0334261838439</v>
      </c>
    </row>
    <row r="270" spans="3:21" x14ac:dyDescent="0.35">
      <c r="D270" t="str">
        <f>Inputs!D67</f>
        <v>Uk Corporate  Tax Rate</v>
      </c>
      <c r="E270" s="77" t="str">
        <f>Inputs!E67</f>
        <v>%</v>
      </c>
      <c r="F270" s="152">
        <f>Inputs!F67</f>
        <v>0.25</v>
      </c>
    </row>
    <row r="273" spans="2:21" x14ac:dyDescent="0.35">
      <c r="D273" t="s">
        <v>1070</v>
      </c>
      <c r="N273">
        <f ca="1">N268-N269</f>
        <v>828.61635596169481</v>
      </c>
      <c r="O273">
        <f t="shared" ref="O273:R273" ca="1" si="149">O268-O269</f>
        <v>1128.2281844880522</v>
      </c>
      <c r="P273">
        <f t="shared" ca="1" si="149"/>
        <v>1355.6059720712688</v>
      </c>
      <c r="Q273">
        <f t="shared" ca="1" si="149"/>
        <v>1749.2118347310666</v>
      </c>
      <c r="R273">
        <f t="shared" ca="1" si="149"/>
        <v>2188.1571868091473</v>
      </c>
    </row>
    <row r="275" spans="2:21" x14ac:dyDescent="0.35">
      <c r="D275" t="s">
        <v>1071</v>
      </c>
      <c r="N275">
        <f ca="1">N273*$F$270</f>
        <v>207.1540889904237</v>
      </c>
      <c r="O275">
        <f t="shared" ref="O275:R275" ca="1" si="150">O273*$F$270</f>
        <v>282.05704612201305</v>
      </c>
      <c r="P275">
        <f t="shared" ca="1" si="150"/>
        <v>338.90149301781719</v>
      </c>
      <c r="Q275">
        <f t="shared" ca="1" si="150"/>
        <v>437.30295868276664</v>
      </c>
      <c r="R275">
        <f t="shared" ca="1" si="150"/>
        <v>547.03929670228683</v>
      </c>
    </row>
    <row r="276" spans="2:21" x14ac:dyDescent="0.35">
      <c r="D276" t="s">
        <v>1072</v>
      </c>
      <c r="N276">
        <f ca="1">N277-N275</f>
        <v>317.50835654596096</v>
      </c>
      <c r="O276">
        <f t="shared" ref="O276:R276" ca="1" si="151">O277-O275</f>
        <v>317.50835654596096</v>
      </c>
      <c r="P276">
        <f t="shared" ca="1" si="151"/>
        <v>317.50835654596096</v>
      </c>
      <c r="Q276">
        <f t="shared" ca="1" si="151"/>
        <v>317.50835654596096</v>
      </c>
      <c r="R276">
        <f t="shared" ca="1" si="151"/>
        <v>317.50835654596096</v>
      </c>
    </row>
    <row r="277" spans="2:21" x14ac:dyDescent="0.35">
      <c r="D277" s="17" t="s">
        <v>1073</v>
      </c>
      <c r="N277" s="18">
        <f ca="1">N268*$F$270</f>
        <v>524.66244553638467</v>
      </c>
      <c r="O277" s="18">
        <f t="shared" ref="O277:R277" ca="1" si="152">O268*$F$270</f>
        <v>599.56540266797401</v>
      </c>
      <c r="P277" s="18">
        <f t="shared" ca="1" si="152"/>
        <v>656.40984956377815</v>
      </c>
      <c r="Q277" s="18">
        <f t="shared" ca="1" si="152"/>
        <v>754.81131522872761</v>
      </c>
      <c r="R277" s="18">
        <f t="shared" ca="1" si="152"/>
        <v>864.5476532482478</v>
      </c>
    </row>
    <row r="279" spans="2:21" ht="21.5" thickBot="1" x14ac:dyDescent="0.55000000000000004">
      <c r="B279" s="21" t="s">
        <v>1207</v>
      </c>
      <c r="C279" s="21"/>
      <c r="D279" s="21"/>
      <c r="E279" s="21"/>
      <c r="F279" s="21"/>
      <c r="G279" s="21"/>
      <c r="H279" s="21"/>
      <c r="I279" s="21"/>
      <c r="J279" s="21"/>
      <c r="K279" s="21"/>
      <c r="L279" s="21"/>
      <c r="M279" s="21"/>
      <c r="N279" s="21"/>
      <c r="O279" s="21"/>
      <c r="P279" s="21"/>
      <c r="Q279" s="21"/>
      <c r="R279" s="21"/>
      <c r="S279" s="21"/>
      <c r="T279" s="21"/>
      <c r="U279" s="21"/>
    </row>
    <row r="280" spans="2:21" ht="15" thickTop="1" x14ac:dyDescent="0.35"/>
    <row r="281" spans="2:21" ht="17.5" thickBot="1" x14ac:dyDescent="0.45">
      <c r="C281" s="58" t="s">
        <v>1217</v>
      </c>
      <c r="D281" s="58"/>
      <c r="E281" s="58"/>
      <c r="F281" s="58"/>
      <c r="G281" s="58"/>
      <c r="H281" s="58"/>
      <c r="I281" s="58"/>
      <c r="J281" s="58"/>
      <c r="K281" s="58"/>
      <c r="L281" s="58"/>
      <c r="M281" s="58"/>
      <c r="N281" s="58"/>
      <c r="O281" s="58"/>
      <c r="P281" s="58"/>
      <c r="Q281" s="58"/>
      <c r="R281" s="58"/>
      <c r="S281" s="58"/>
      <c r="T281" s="58"/>
      <c r="U281" s="58"/>
    </row>
    <row r="282" spans="2:21" ht="15" thickTop="1" x14ac:dyDescent="0.35"/>
    <row r="283" spans="2:21" x14ac:dyDescent="0.35">
      <c r="D283" t="s">
        <v>1222</v>
      </c>
      <c r="N283" s="221">
        <f>N7</f>
        <v>2027</v>
      </c>
      <c r="O283" s="221">
        <f>O7</f>
        <v>2028</v>
      </c>
      <c r="P283" s="221">
        <f>P7</f>
        <v>2029</v>
      </c>
      <c r="Q283" s="221">
        <f>Q7</f>
        <v>2030</v>
      </c>
      <c r="R283" s="221">
        <f>R7</f>
        <v>2031</v>
      </c>
    </row>
    <row r="285" spans="2:21" ht="18.5" x14ac:dyDescent="0.45">
      <c r="C285" s="64" t="s">
        <v>1246</v>
      </c>
    </row>
    <row r="286" spans="2:21" x14ac:dyDescent="0.35">
      <c r="D286" t="s">
        <v>1218</v>
      </c>
      <c r="N286">
        <f>M289</f>
        <v>6622.1801949999999</v>
      </c>
      <c r="O286">
        <f t="shared" ref="O286:R286" si="153">N289</f>
        <v>6367.5240180000001</v>
      </c>
      <c r="P286">
        <f t="shared" si="153"/>
        <v>4813.5562449999998</v>
      </c>
      <c r="Q286">
        <f t="shared" si="153"/>
        <v>3420.4289279999998</v>
      </c>
      <c r="R286">
        <f t="shared" si="153"/>
        <v>1400.6089719999998</v>
      </c>
    </row>
    <row r="287" spans="2:21" x14ac:dyDescent="0.35">
      <c r="D287" t="s">
        <v>1219</v>
      </c>
      <c r="N287">
        <f>N316+N331+N347+N363+N378+N393+N408+N423+N438</f>
        <v>721.52583400000003</v>
      </c>
      <c r="O287">
        <f t="shared" ref="O287:R287" si="154">O316+O331+O347+O363+O378+O393+O408+O423+O438</f>
        <v>0</v>
      </c>
      <c r="P287">
        <f t="shared" si="154"/>
        <v>0</v>
      </c>
      <c r="Q287">
        <f t="shared" si="154"/>
        <v>0</v>
      </c>
      <c r="R287">
        <f t="shared" si="154"/>
        <v>0</v>
      </c>
    </row>
    <row r="288" spans="2:21" x14ac:dyDescent="0.35">
      <c r="D288" t="s">
        <v>1220</v>
      </c>
      <c r="N288">
        <f>N317+N332+N348+N364+N379+N394+N409+N424+N439</f>
        <v>-976.18201099999999</v>
      </c>
      <c r="O288">
        <f t="shared" ref="O288:R288" si="155">O317+O332+O348+O364+O379+O394+O409+O424+O439</f>
        <v>-1553.9677729999999</v>
      </c>
      <c r="P288">
        <f t="shared" si="155"/>
        <v>-1393.1273169999999</v>
      </c>
      <c r="Q288">
        <f t="shared" si="155"/>
        <v>-2019.819956</v>
      </c>
      <c r="R288">
        <f t="shared" si="155"/>
        <v>-1400.608972</v>
      </c>
    </row>
    <row r="289" spans="3:18" ht="15" thickBot="1" x14ac:dyDescent="0.4">
      <c r="D289" t="s">
        <v>948</v>
      </c>
      <c r="M289" s="67">
        <f>Inputs!J170</f>
        <v>6622.1801949999999</v>
      </c>
      <c r="N289" s="57">
        <f>SUM(N286:N288)</f>
        <v>6367.5240180000001</v>
      </c>
      <c r="O289" s="57">
        <f t="shared" ref="O289:R289" si="156">SUM(O286:O288)</f>
        <v>4813.5562449999998</v>
      </c>
      <c r="P289" s="57">
        <f t="shared" si="156"/>
        <v>3420.4289279999998</v>
      </c>
      <c r="Q289" s="57">
        <f t="shared" si="156"/>
        <v>1400.6089719999998</v>
      </c>
      <c r="R289" s="57">
        <f t="shared" si="156"/>
        <v>0</v>
      </c>
    </row>
    <row r="290" spans="3:18" ht="15" thickTop="1" x14ac:dyDescent="0.35"/>
    <row r="291" spans="3:18" x14ac:dyDescent="0.35">
      <c r="D291" t="s">
        <v>1230</v>
      </c>
      <c r="E291" s="77" t="str">
        <f>money</f>
        <v>[£'M]</v>
      </c>
      <c r="N291" s="229">
        <f>(N326+N341+N357+N373+N388+N403+N418+N433+N448)</f>
        <v>97.422781597499977</v>
      </c>
      <c r="O291" s="229">
        <f t="shared" ref="O291:R291" si="157">(O326+O341+O357+O373+O388+O403+O418+O433+O448)</f>
        <v>95.51286026999999</v>
      </c>
      <c r="P291" s="229">
        <f t="shared" si="157"/>
        <v>72.203343674999999</v>
      </c>
      <c r="Q291" s="229">
        <f t="shared" si="157"/>
        <v>51.306433919999996</v>
      </c>
      <c r="R291" s="229">
        <f t="shared" si="157"/>
        <v>21.009134579999998</v>
      </c>
    </row>
    <row r="293" spans="3:18" ht="18.5" x14ac:dyDescent="0.45">
      <c r="C293" s="64" t="s">
        <v>1237</v>
      </c>
    </row>
    <row r="294" spans="3:18" ht="15" thickBot="1" x14ac:dyDescent="0.4">
      <c r="D294" t="s">
        <v>948</v>
      </c>
      <c r="M294" s="67">
        <f>M83-M289</f>
        <v>11913.819804999999</v>
      </c>
      <c r="N294" s="57">
        <f>M294</f>
        <v>11913.819804999999</v>
      </c>
      <c r="O294" s="57">
        <f t="shared" ref="O294:R294" si="158">N294</f>
        <v>11913.819804999999</v>
      </c>
      <c r="P294" s="57">
        <f t="shared" si="158"/>
        <v>11913.819804999999</v>
      </c>
      <c r="Q294" s="57">
        <f t="shared" si="158"/>
        <v>11913.819804999999</v>
      </c>
      <c r="R294" s="57">
        <f t="shared" si="158"/>
        <v>11913.819804999999</v>
      </c>
    </row>
    <row r="295" spans="3:18" ht="15" thickTop="1" x14ac:dyDescent="0.35"/>
    <row r="296" spans="3:18" x14ac:dyDescent="0.35">
      <c r="D296" t="s">
        <v>1239</v>
      </c>
      <c r="E296" s="77" t="str">
        <f>money</f>
        <v>[£'M]</v>
      </c>
      <c r="N296" s="229">
        <f>N294*$F$299</f>
        <v>490.07443859180597</v>
      </c>
      <c r="O296" s="229">
        <f t="shared" ref="O296:R296" si="159">O294*$F$299</f>
        <v>490.07443859180597</v>
      </c>
      <c r="P296" s="229">
        <f t="shared" si="159"/>
        <v>490.07443859180597</v>
      </c>
      <c r="Q296" s="229">
        <f t="shared" si="159"/>
        <v>490.07443859180597</v>
      </c>
      <c r="R296" s="229">
        <f t="shared" si="159"/>
        <v>490.07443859180597</v>
      </c>
    </row>
    <row r="298" spans="3:18" x14ac:dyDescent="0.35">
      <c r="D298" t="s">
        <v>1231</v>
      </c>
      <c r="L298" s="224"/>
    </row>
    <row r="299" spans="3:18" x14ac:dyDescent="0.35">
      <c r="D299" t="str">
        <f>Inputs!D149</f>
        <v>Average Repayment Interest  Rate</v>
      </c>
      <c r="E299" s="77" t="str">
        <f>Inputs!E149</f>
        <v>%</v>
      </c>
      <c r="F299" s="152">
        <f>Inputs!F149</f>
        <v>4.1134954751131221E-2</v>
      </c>
    </row>
    <row r="301" spans="3:18" ht="18.5" x14ac:dyDescent="0.45">
      <c r="C301" s="64" t="s">
        <v>1238</v>
      </c>
    </row>
    <row r="302" spans="3:18" ht="18.5" x14ac:dyDescent="0.45">
      <c r="C302" s="64"/>
    </row>
    <row r="303" spans="3:18" ht="15" thickBot="1" x14ac:dyDescent="0.4">
      <c r="D303" s="17" t="s">
        <v>948</v>
      </c>
      <c r="E303" s="77" t="str">
        <f>money</f>
        <v>[£'M]</v>
      </c>
      <c r="M303" s="67">
        <f t="shared" ref="M303:R303" si="160">M294+M289</f>
        <v>18536</v>
      </c>
      <c r="N303" s="57">
        <f t="shared" si="160"/>
        <v>18281.343822999999</v>
      </c>
      <c r="O303" s="57">
        <f t="shared" si="160"/>
        <v>16727.376049999999</v>
      </c>
      <c r="P303" s="57">
        <f t="shared" si="160"/>
        <v>15334.248732999999</v>
      </c>
      <c r="Q303" s="57">
        <f t="shared" si="160"/>
        <v>13314.428776999999</v>
      </c>
      <c r="R303" s="57">
        <f t="shared" si="160"/>
        <v>11913.819804999999</v>
      </c>
    </row>
    <row r="304" spans="3:18" ht="15" thickTop="1" x14ac:dyDescent="0.35"/>
    <row r="305" spans="3:21" x14ac:dyDescent="0.35">
      <c r="D305" t="s">
        <v>1231</v>
      </c>
      <c r="N305" s="83">
        <f>N296+N291</f>
        <v>587.49722018930595</v>
      </c>
      <c r="O305" s="83">
        <f>O296+O291</f>
        <v>585.58729886180595</v>
      </c>
      <c r="P305" s="83">
        <f>P296+P291</f>
        <v>562.27778226680596</v>
      </c>
      <c r="Q305" s="83">
        <f>Q296+Q291</f>
        <v>541.38087251180593</v>
      </c>
      <c r="R305" s="83">
        <f>R296+R291</f>
        <v>511.08357317180599</v>
      </c>
    </row>
    <row r="306" spans="3:21" x14ac:dyDescent="0.35">
      <c r="M306">
        <f>M303*F299</f>
        <v>762.47752126696832</v>
      </c>
    </row>
    <row r="307" spans="3:21" ht="18.5" x14ac:dyDescent="0.45">
      <c r="C307" s="64" t="s">
        <v>266</v>
      </c>
    </row>
    <row r="308" spans="3:21" x14ac:dyDescent="0.35">
      <c r="D308" t="s">
        <v>1231</v>
      </c>
      <c r="E308" s="77" t="str">
        <f>money</f>
        <v>[£'M]</v>
      </c>
      <c r="N308">
        <f>N305</f>
        <v>587.49722018930595</v>
      </c>
      <c r="O308">
        <f>O305</f>
        <v>585.58729886180595</v>
      </c>
      <c r="P308">
        <f>P305</f>
        <v>562.27778226680596</v>
      </c>
      <c r="Q308">
        <f>Q305</f>
        <v>541.38087251180593</v>
      </c>
      <c r="R308">
        <f>R305</f>
        <v>511.08357317180599</v>
      </c>
    </row>
    <row r="309" spans="3:21" x14ac:dyDescent="0.35">
      <c r="D309" t="s">
        <v>1232</v>
      </c>
      <c r="E309" s="77" t="str">
        <f>money</f>
        <v>[£'M]</v>
      </c>
      <c r="N309">
        <f ca="1">-N142</f>
        <v>-10.731815840165954</v>
      </c>
      <c r="O309">
        <f ca="1">-O142</f>
        <v>-14.628361832464593</v>
      </c>
      <c r="P309">
        <f ca="1">-P142</f>
        <v>-12.594035886173861</v>
      </c>
      <c r="Q309">
        <f ca="1">-Q142</f>
        <v>-10.665908849301591</v>
      </c>
      <c r="R309">
        <f ca="1">-R142</f>
        <v>-12.065481943271854</v>
      </c>
    </row>
    <row r="310" spans="3:21" x14ac:dyDescent="0.35">
      <c r="D310" t="s">
        <v>1233</v>
      </c>
      <c r="E310" s="77" t="str">
        <f>money</f>
        <v>[£'M]</v>
      </c>
      <c r="N310">
        <f ca="1">N488</f>
        <v>89.25</v>
      </c>
      <c r="O310">
        <f t="shared" ref="O310:R310" ca="1" si="161">O488</f>
        <v>89.25</v>
      </c>
      <c r="P310">
        <f t="shared" ca="1" si="161"/>
        <v>89.25</v>
      </c>
      <c r="Q310">
        <f t="shared" ca="1" si="161"/>
        <v>89.25</v>
      </c>
      <c r="R310">
        <f t="shared" ca="1" si="161"/>
        <v>89.25</v>
      </c>
    </row>
    <row r="311" spans="3:21" x14ac:dyDescent="0.35">
      <c r="D311" t="s">
        <v>1234</v>
      </c>
      <c r="E311" s="77" t="str">
        <f>money</f>
        <v>[£'M]</v>
      </c>
      <c r="N311" s="169">
        <f ca="1">SUM(N308:N310)</f>
        <v>666.01540434914</v>
      </c>
      <c r="O311" s="169">
        <f t="shared" ref="O311:R311" ca="1" si="162">SUM(O308:O310)</f>
        <v>660.20893702934131</v>
      </c>
      <c r="P311" s="169">
        <f t="shared" ca="1" si="162"/>
        <v>638.9337463806321</v>
      </c>
      <c r="Q311" s="169">
        <f t="shared" ca="1" si="162"/>
        <v>619.96496366250437</v>
      </c>
      <c r="R311" s="169">
        <f t="shared" ca="1" si="162"/>
        <v>588.2680912285341</v>
      </c>
    </row>
    <row r="312" spans="3:21" s="87" customFormat="1" x14ac:dyDescent="0.35"/>
    <row r="313" spans="3:21" ht="17.5" thickBot="1" x14ac:dyDescent="0.45">
      <c r="C313" s="58" t="str">
        <f>"Debt Schedule: Part "&amp;J316</f>
        <v>Debt Schedule: Part 1</v>
      </c>
      <c r="D313" s="58"/>
      <c r="E313" s="58"/>
      <c r="F313" s="58"/>
      <c r="G313" s="58"/>
      <c r="H313" s="58"/>
      <c r="I313" s="58"/>
      <c r="J313" s="58"/>
      <c r="K313" s="58"/>
      <c r="L313" s="58"/>
      <c r="M313" s="58"/>
      <c r="N313" s="58"/>
      <c r="O313" s="58"/>
      <c r="P313" s="58"/>
      <c r="Q313" s="58"/>
      <c r="R313" s="58"/>
      <c r="S313" s="58"/>
      <c r="T313" s="58"/>
      <c r="U313" s="58"/>
    </row>
    <row r="314" spans="3:21" ht="15" thickTop="1" x14ac:dyDescent="0.35"/>
    <row r="315" spans="3:21" x14ac:dyDescent="0.35">
      <c r="D315" t="s">
        <v>1218</v>
      </c>
      <c r="N315">
        <f>M318</f>
        <v>976.18201099999999</v>
      </c>
      <c r="O315">
        <f t="shared" ref="O315:R315" si="163">N318</f>
        <v>0</v>
      </c>
      <c r="P315">
        <f t="shared" si="163"/>
        <v>0</v>
      </c>
      <c r="Q315">
        <f t="shared" si="163"/>
        <v>0</v>
      </c>
      <c r="R315">
        <f t="shared" si="163"/>
        <v>0</v>
      </c>
    </row>
    <row r="316" spans="3:21" x14ac:dyDescent="0.35">
      <c r="D316" t="s">
        <v>1219</v>
      </c>
      <c r="I316" s="115" t="str" cm="1">
        <f t="array" ref="I316:I322">TRANSPOSE(Inputs!$I$159:$O$159)</f>
        <v>S/N</v>
      </c>
      <c r="J316" s="218">
        <v>1</v>
      </c>
      <c r="N316">
        <f>$J321*N321</f>
        <v>0</v>
      </c>
      <c r="O316">
        <f t="shared" ref="O316:R316" si="164">$J321*O321</f>
        <v>0</v>
      </c>
      <c r="P316">
        <f t="shared" si="164"/>
        <v>0</v>
      </c>
      <c r="Q316">
        <f t="shared" si="164"/>
        <v>0</v>
      </c>
      <c r="R316">
        <f t="shared" si="164"/>
        <v>0</v>
      </c>
    </row>
    <row r="317" spans="3:21" x14ac:dyDescent="0.35">
      <c r="D317" t="s">
        <v>1220</v>
      </c>
      <c r="I317" s="86" t="str">
        <v>Description</v>
      </c>
      <c r="J317" s="89" t="str">
        <f>_xlfn.XLOOKUP(J316,Inputs!$I$160:$I$168,Inputs!$J$160:$J$168)</f>
        <v>BTBRT / BT 1.500</v>
      </c>
      <c r="N317">
        <f>$J320*N322*-1</f>
        <v>-976.18201099999999</v>
      </c>
      <c r="O317">
        <f t="shared" ref="O317:R317" si="165">$J320*O322*-1</f>
        <v>0</v>
      </c>
      <c r="P317">
        <f t="shared" si="165"/>
        <v>0</v>
      </c>
      <c r="Q317">
        <f t="shared" si="165"/>
        <v>0</v>
      </c>
      <c r="R317">
        <f t="shared" si="165"/>
        <v>0</v>
      </c>
    </row>
    <row r="318" spans="3:21" x14ac:dyDescent="0.35">
      <c r="D318" t="s">
        <v>948</v>
      </c>
      <c r="I318" s="86" t="str">
        <v>Maturity Year</v>
      </c>
      <c r="J318" s="220">
        <f>_xlfn.XLOOKUP(J316,Inputs!$I$160:$I$168,Inputs!$K$160:$K$168)</f>
        <v>2027</v>
      </c>
      <c r="M318" s="67">
        <f>IF(J319=0,J320,J321)</f>
        <v>976.18201099999999</v>
      </c>
      <c r="N318" s="144">
        <f>SUM(N315:N317)</f>
        <v>0</v>
      </c>
      <c r="O318" s="83">
        <f t="shared" ref="O318:R318" si="166">SUM(O315:O317)</f>
        <v>0</v>
      </c>
      <c r="P318" s="83">
        <f t="shared" si="166"/>
        <v>0</v>
      </c>
      <c r="Q318" s="83">
        <f t="shared" si="166"/>
        <v>0</v>
      </c>
      <c r="R318" s="83">
        <f t="shared" si="166"/>
        <v>0</v>
      </c>
    </row>
    <row r="319" spans="3:21" x14ac:dyDescent="0.35">
      <c r="I319" s="86" t="str">
        <v>Issue Date</v>
      </c>
      <c r="J319" s="89">
        <f>_xlfn.XLOOKUP(J316,Inputs!$I$160:$I$168,Inputs!$L$160:$L$168)</f>
        <v>0</v>
      </c>
    </row>
    <row r="320" spans="3:21" x14ac:dyDescent="0.35">
      <c r="I320" s="86" t="str">
        <v>Amount Outstanding</v>
      </c>
      <c r="J320" s="89">
        <f>_xlfn.XLOOKUP(J316,Inputs!$I$160:$I$168,Inputs!$M$160:$M$168)</f>
        <v>976.18201099999999</v>
      </c>
    </row>
    <row r="321" spans="3:21" x14ac:dyDescent="0.35">
      <c r="I321" s="86" t="str">
        <v>Issued Amount</v>
      </c>
      <c r="J321" s="89">
        <f>_xlfn.XLOOKUP(J316,Inputs!$I$160:$I$168,Inputs!$N$160:$N$168)</f>
        <v>976.18201099999999</v>
      </c>
      <c r="M321" t="s">
        <v>1223</v>
      </c>
      <c r="N321" s="223">
        <f>(J319=N$283)*1</f>
        <v>0</v>
      </c>
      <c r="O321" s="223">
        <f t="shared" ref="O321:R321" si="167">(K319=O$283)*1</f>
        <v>0</v>
      </c>
      <c r="P321" s="223">
        <f t="shared" si="167"/>
        <v>0</v>
      </c>
      <c r="Q321" s="223">
        <f t="shared" si="167"/>
        <v>0</v>
      </c>
      <c r="R321" s="223">
        <f t="shared" si="167"/>
        <v>0</v>
      </c>
    </row>
    <row r="322" spans="3:21" x14ac:dyDescent="0.35">
      <c r="I322" s="90" t="str">
        <v>Coupon</v>
      </c>
      <c r="J322" s="184">
        <f>_xlfn.XLOOKUP(J316,Inputs!$I$160:$I$168,Inputs!$O$160:$O$168)</f>
        <v>1.4999999999999999E-2</v>
      </c>
      <c r="M322" t="s">
        <v>1224</v>
      </c>
      <c r="N322" s="222">
        <f>(J318=N283)*1</f>
        <v>1</v>
      </c>
      <c r="O322" s="223">
        <f>(K318=O283)*1</f>
        <v>0</v>
      </c>
      <c r="P322" s="223">
        <f>(L318=P283)*1</f>
        <v>0</v>
      </c>
      <c r="Q322" s="223">
        <f>(M318=Q283)*1</f>
        <v>0</v>
      </c>
      <c r="R322" s="223">
        <f>(N318=R283)*1</f>
        <v>0</v>
      </c>
    </row>
    <row r="325" spans="3:21" x14ac:dyDescent="0.35">
      <c r="D325" t="s">
        <v>266</v>
      </c>
      <c r="I325" t="s">
        <v>1226</v>
      </c>
      <c r="J325" s="225">
        <f>'Cover Page'!$F$19</f>
        <v>1</v>
      </c>
      <c r="M325" t="s">
        <v>1227</v>
      </c>
      <c r="N325" s="16">
        <f>$J$322</f>
        <v>1.4999999999999999E-2</v>
      </c>
      <c r="O325" s="16">
        <f t="shared" ref="O325:R325" si="168">$J$322</f>
        <v>1.4999999999999999E-2</v>
      </c>
      <c r="P325" s="16">
        <f t="shared" si="168"/>
        <v>1.4999999999999999E-2</v>
      </c>
      <c r="Q325" s="16">
        <f t="shared" si="168"/>
        <v>1.4999999999999999E-2</v>
      </c>
      <c r="R325" s="16">
        <f t="shared" si="168"/>
        <v>1.4999999999999999E-2</v>
      </c>
    </row>
    <row r="326" spans="3:21" x14ac:dyDescent="0.35">
      <c r="M326" t="str">
        <f>"Interest Expense "&amp;J316</f>
        <v>Interest Expense 1</v>
      </c>
      <c r="N326" s="83">
        <f>IF(J325=1,AVERAGE(N315,N318)*N325,N315*N325)</f>
        <v>7.3213650824999998</v>
      </c>
      <c r="O326" s="83">
        <f t="shared" ref="O326:R326" si="169">IF(K325=1,AVERAGE(O315,O318)*O325,O315*O325)</f>
        <v>0</v>
      </c>
      <c r="P326" s="83">
        <f t="shared" si="169"/>
        <v>0</v>
      </c>
      <c r="Q326" s="83">
        <f t="shared" si="169"/>
        <v>0</v>
      </c>
      <c r="R326" s="83">
        <f t="shared" si="169"/>
        <v>0</v>
      </c>
    </row>
    <row r="328" spans="3:21" ht="17.5" thickBot="1" x14ac:dyDescent="0.45">
      <c r="C328" s="58" t="str">
        <f>"Debt Schedule: Part "&amp;J331</f>
        <v>Debt Schedule: Part 2</v>
      </c>
      <c r="D328" s="58"/>
      <c r="E328" s="58"/>
      <c r="F328" s="58"/>
      <c r="G328" s="58"/>
      <c r="H328" s="58"/>
      <c r="I328" s="58"/>
      <c r="J328" s="58"/>
      <c r="K328" s="58"/>
      <c r="L328" s="58"/>
      <c r="M328" s="58"/>
      <c r="N328" s="58"/>
      <c r="O328" s="58"/>
      <c r="P328" s="58"/>
      <c r="Q328" s="58"/>
      <c r="R328" s="58"/>
      <c r="S328" s="58"/>
      <c r="T328" s="58"/>
      <c r="U328" s="58"/>
    </row>
    <row r="329" spans="3:21" ht="15" thickTop="1" x14ac:dyDescent="0.35"/>
    <row r="330" spans="3:21" x14ac:dyDescent="0.35">
      <c r="D330" t="s">
        <v>1218</v>
      </c>
      <c r="N330">
        <f>M333</f>
        <v>424.42696100000001</v>
      </c>
      <c r="O330">
        <f t="shared" ref="O330:R330" si="170">N333</f>
        <v>424.42696100000001</v>
      </c>
      <c r="P330">
        <f t="shared" si="170"/>
        <v>0</v>
      </c>
      <c r="Q330">
        <f t="shared" si="170"/>
        <v>0</v>
      </c>
      <c r="R330">
        <f t="shared" si="170"/>
        <v>0</v>
      </c>
    </row>
    <row r="331" spans="3:21" x14ac:dyDescent="0.35">
      <c r="D331" t="s">
        <v>1219</v>
      </c>
      <c r="I331" s="115" t="str" cm="1">
        <f t="array" ref="I331:I337">TRANSPOSE(Inputs!$I$159:$O$159)</f>
        <v>S/N</v>
      </c>
      <c r="J331" s="218">
        <v>2</v>
      </c>
      <c r="N331">
        <f>$J336*N336</f>
        <v>0</v>
      </c>
      <c r="O331">
        <f t="shared" ref="O331:R331" si="171">$J336*O336</f>
        <v>0</v>
      </c>
      <c r="P331">
        <f t="shared" si="171"/>
        <v>0</v>
      </c>
      <c r="Q331">
        <f t="shared" si="171"/>
        <v>0</v>
      </c>
      <c r="R331">
        <f t="shared" si="171"/>
        <v>0</v>
      </c>
    </row>
    <row r="332" spans="3:21" x14ac:dyDescent="0.35">
      <c r="D332" t="s">
        <v>1220</v>
      </c>
      <c r="I332" s="86" t="str">
        <v>Description</v>
      </c>
      <c r="J332" s="89" t="str">
        <f>_xlfn.XLOOKUP(J331,Inputs!$I$160:$I$168,Inputs!$J$160:$J$168)</f>
        <v>BTBRT / BT 2.125</v>
      </c>
      <c r="N332">
        <f>$J335*N337*-1</f>
        <v>0</v>
      </c>
      <c r="O332">
        <f t="shared" ref="O332:R332" si="172">$J335*O337*-1</f>
        <v>-424.42696100000001</v>
      </c>
      <c r="P332">
        <f t="shared" si="172"/>
        <v>0</v>
      </c>
      <c r="Q332">
        <f t="shared" si="172"/>
        <v>0</v>
      </c>
      <c r="R332">
        <f t="shared" si="172"/>
        <v>0</v>
      </c>
    </row>
    <row r="333" spans="3:21" x14ac:dyDescent="0.35">
      <c r="D333" t="s">
        <v>948</v>
      </c>
      <c r="I333" s="86" t="str">
        <v>Maturity Year</v>
      </c>
      <c r="J333" s="220">
        <f>_xlfn.XLOOKUP(J331,Inputs!$I$160:$I$168,Inputs!$K$160:$K$168)</f>
        <v>2028</v>
      </c>
      <c r="M333" s="67">
        <f>J335</f>
        <v>424.42696100000001</v>
      </c>
      <c r="N333" s="144">
        <f>SUM(N330:N332)</f>
        <v>424.42696100000001</v>
      </c>
      <c r="O333" s="83">
        <f t="shared" ref="O333" si="173">SUM(O330:O332)</f>
        <v>0</v>
      </c>
      <c r="P333" s="83">
        <f t="shared" ref="P333" si="174">SUM(P330:P332)</f>
        <v>0</v>
      </c>
      <c r="Q333" s="83">
        <f t="shared" ref="Q333" si="175">SUM(Q330:Q332)</f>
        <v>0</v>
      </c>
      <c r="R333" s="83">
        <f t="shared" ref="R333" si="176">SUM(R330:R332)</f>
        <v>0</v>
      </c>
    </row>
    <row r="334" spans="3:21" x14ac:dyDescent="0.35">
      <c r="I334" s="86" t="str">
        <v>Issue Date</v>
      </c>
      <c r="J334" s="220">
        <f>_xlfn.XLOOKUP(J331,Inputs!$I$160:$I$168,Inputs!$L$160:$L$168)</f>
        <v>0</v>
      </c>
    </row>
    <row r="335" spans="3:21" x14ac:dyDescent="0.35">
      <c r="I335" s="86" t="str">
        <v>Amount Outstanding</v>
      </c>
      <c r="J335" s="89">
        <f>_xlfn.XLOOKUP(J331,Inputs!$I$160:$I$168,Inputs!$M$160:$M$168)</f>
        <v>424.42696100000001</v>
      </c>
    </row>
    <row r="336" spans="3:21" x14ac:dyDescent="0.35">
      <c r="I336" s="86" t="str">
        <v>Issued Amount</v>
      </c>
      <c r="J336" s="89">
        <f>_xlfn.XLOOKUP(J331,Inputs!$I$160:$I$168,Inputs!$N$160:$N$168)</f>
        <v>424.42696100000001</v>
      </c>
      <c r="M336" t="s">
        <v>1223</v>
      </c>
      <c r="N336" s="223">
        <f>($J334=N$283)*1</f>
        <v>0</v>
      </c>
      <c r="O336" s="223">
        <f t="shared" ref="O336:R336" si="177">($J334=O$283)*1</f>
        <v>0</v>
      </c>
      <c r="P336" s="223">
        <f t="shared" si="177"/>
        <v>0</v>
      </c>
      <c r="Q336" s="223">
        <f t="shared" si="177"/>
        <v>0</v>
      </c>
      <c r="R336" s="223">
        <f t="shared" si="177"/>
        <v>0</v>
      </c>
    </row>
    <row r="337" spans="3:21" x14ac:dyDescent="0.35">
      <c r="I337" s="90" t="str">
        <v>Coupon</v>
      </c>
      <c r="J337" s="184">
        <f>_xlfn.XLOOKUP(J331,Inputs!$I$160:$I$168,Inputs!$O$160:$O$168)</f>
        <v>2.1250000000000002E-2</v>
      </c>
      <c r="M337" t="s">
        <v>1224</v>
      </c>
      <c r="N337" s="227">
        <f>($J333=N$283)*1</f>
        <v>0</v>
      </c>
      <c r="O337" s="227">
        <f t="shared" ref="O337:R337" si="178">($J333=O$283)*1</f>
        <v>1</v>
      </c>
      <c r="P337" s="227">
        <f t="shared" si="178"/>
        <v>0</v>
      </c>
      <c r="Q337" s="227">
        <f t="shared" si="178"/>
        <v>0</v>
      </c>
      <c r="R337" s="227">
        <f t="shared" si="178"/>
        <v>0</v>
      </c>
    </row>
    <row r="340" spans="3:21" x14ac:dyDescent="0.35">
      <c r="D340" t="s">
        <v>266</v>
      </c>
      <c r="I340" t="s">
        <v>1226</v>
      </c>
      <c r="J340" s="225">
        <f>'Cover Page'!$F$19</f>
        <v>1</v>
      </c>
      <c r="M340" t="s">
        <v>1227</v>
      </c>
      <c r="N340" s="16">
        <f>$J$322</f>
        <v>1.4999999999999999E-2</v>
      </c>
      <c r="O340" s="16">
        <f t="shared" ref="O340:R340" si="179">$J$322</f>
        <v>1.4999999999999999E-2</v>
      </c>
      <c r="P340" s="16">
        <f t="shared" si="179"/>
        <v>1.4999999999999999E-2</v>
      </c>
      <c r="Q340" s="16">
        <f t="shared" si="179"/>
        <v>1.4999999999999999E-2</v>
      </c>
      <c r="R340" s="16">
        <f t="shared" si="179"/>
        <v>1.4999999999999999E-2</v>
      </c>
    </row>
    <row r="341" spans="3:21" x14ac:dyDescent="0.35">
      <c r="M341" t="str">
        <f>"Interest Expense "&amp;J331</f>
        <v>Interest Expense 2</v>
      </c>
      <c r="N341" s="83">
        <f>IF(J340=1,AVERAGE(N330,N333)*N340,N330*N340)</f>
        <v>6.3664044149999999</v>
      </c>
      <c r="O341" s="83">
        <f t="shared" ref="O341" si="180">IF(K340=1,AVERAGE(O330,O333)*O340,O330*O340)</f>
        <v>6.3664044149999999</v>
      </c>
      <c r="P341" s="83">
        <f t="shared" ref="P341" si="181">IF(L340=1,AVERAGE(P330,P333)*P340,P330*P340)</f>
        <v>0</v>
      </c>
      <c r="Q341" s="83">
        <f t="shared" ref="Q341" si="182">IF(M340=1,AVERAGE(Q330,Q333)*Q340,Q330*Q340)</f>
        <v>0</v>
      </c>
      <c r="R341" s="83">
        <f t="shared" ref="R341" si="183">IF(N340=1,AVERAGE(R330,R333)*R340,R330*R340)</f>
        <v>0</v>
      </c>
    </row>
    <row r="344" spans="3:21" ht="17.5" thickBot="1" x14ac:dyDescent="0.45">
      <c r="C344" s="58" t="str">
        <f>"Debt Schedule: Part "&amp;J347</f>
        <v>Debt Schedule: Part 3</v>
      </c>
      <c r="D344" s="58"/>
      <c r="E344" s="58"/>
      <c r="F344" s="58"/>
      <c r="G344" s="58"/>
      <c r="H344" s="58"/>
      <c r="I344" s="58"/>
      <c r="J344" s="58"/>
      <c r="K344" s="58"/>
      <c r="L344" s="58"/>
      <c r="M344" s="58"/>
      <c r="N344" s="58"/>
      <c r="O344" s="58"/>
      <c r="P344" s="58"/>
      <c r="Q344" s="58"/>
      <c r="R344" s="58"/>
      <c r="S344" s="58"/>
      <c r="T344" s="58"/>
      <c r="U344" s="58"/>
    </row>
    <row r="345" spans="3:21" ht="15" thickTop="1" x14ac:dyDescent="0.35"/>
    <row r="346" spans="3:21" x14ac:dyDescent="0.35">
      <c r="D346" t="s">
        <v>1218</v>
      </c>
      <c r="N346">
        <f>M349</f>
        <v>529.54081199999996</v>
      </c>
      <c r="O346">
        <f t="shared" ref="O346:R346" si="184">N349</f>
        <v>529.54081199999996</v>
      </c>
      <c r="P346">
        <f t="shared" si="184"/>
        <v>0</v>
      </c>
      <c r="Q346">
        <f t="shared" si="184"/>
        <v>0</v>
      </c>
      <c r="R346">
        <f t="shared" si="184"/>
        <v>0</v>
      </c>
    </row>
    <row r="347" spans="3:21" x14ac:dyDescent="0.35">
      <c r="D347" t="s">
        <v>1219</v>
      </c>
      <c r="I347" s="115" t="str" cm="1">
        <f t="array" ref="I347:I353">TRANSPOSE(Inputs!$I$159:$O$159)</f>
        <v>S/N</v>
      </c>
      <c r="J347" s="218">
        <v>3</v>
      </c>
      <c r="N347">
        <f>$J352*N352</f>
        <v>0</v>
      </c>
      <c r="O347">
        <f t="shared" ref="O347:R347" si="185">$J352*O352</f>
        <v>0</v>
      </c>
      <c r="P347">
        <f t="shared" si="185"/>
        <v>0</v>
      </c>
      <c r="Q347">
        <f t="shared" si="185"/>
        <v>0</v>
      </c>
      <c r="R347">
        <f t="shared" si="185"/>
        <v>0</v>
      </c>
    </row>
    <row r="348" spans="3:21" x14ac:dyDescent="0.35">
      <c r="D348" t="s">
        <v>1220</v>
      </c>
      <c r="I348" s="86" t="str">
        <v>Description</v>
      </c>
      <c r="J348" s="89" t="str">
        <f>_xlfn.XLOOKUP(J347,Inputs!$I$160:$I$168,Inputs!$J$160:$J$168)</f>
        <v>BTBRT / BT 5.125</v>
      </c>
      <c r="N348">
        <f>$J351*N353*-1</f>
        <v>0</v>
      </c>
      <c r="O348">
        <f t="shared" ref="O348:R348" si="186">$J351*O353*-1</f>
        <v>-529.54081199999996</v>
      </c>
      <c r="P348">
        <f t="shared" si="186"/>
        <v>0</v>
      </c>
      <c r="Q348">
        <f t="shared" si="186"/>
        <v>0</v>
      </c>
      <c r="R348">
        <f t="shared" si="186"/>
        <v>0</v>
      </c>
    </row>
    <row r="349" spans="3:21" x14ac:dyDescent="0.35">
      <c r="D349" t="s">
        <v>948</v>
      </c>
      <c r="I349" s="86" t="str">
        <v>Maturity Year</v>
      </c>
      <c r="J349" s="220">
        <f>_xlfn.XLOOKUP(J347,Inputs!$I$160:$I$168,Inputs!$K$160:$K$168)</f>
        <v>2028</v>
      </c>
      <c r="M349" s="67">
        <f>J351</f>
        <v>529.54081199999996</v>
      </c>
      <c r="N349" s="144">
        <f>SUM(N346:N348)</f>
        <v>529.54081199999996</v>
      </c>
      <c r="O349" s="83">
        <f t="shared" ref="O349" si="187">SUM(O346:O348)</f>
        <v>0</v>
      </c>
      <c r="P349" s="83">
        <f t="shared" ref="P349" si="188">SUM(P346:P348)</f>
        <v>0</v>
      </c>
      <c r="Q349" s="83">
        <f t="shared" ref="Q349" si="189">SUM(Q346:Q348)</f>
        <v>0</v>
      </c>
      <c r="R349" s="83">
        <f t="shared" ref="R349" si="190">SUM(R346:R348)</f>
        <v>0</v>
      </c>
    </row>
    <row r="350" spans="3:21" x14ac:dyDescent="0.35">
      <c r="I350" s="86" t="str">
        <v>Issue Date</v>
      </c>
      <c r="J350" s="220">
        <f>_xlfn.XLOOKUP(J347,Inputs!$I$160:$I$168,Inputs!$L$160:$L$168)</f>
        <v>0</v>
      </c>
    </row>
    <row r="351" spans="3:21" x14ac:dyDescent="0.35">
      <c r="I351" s="86" t="str">
        <v>Amount Outstanding</v>
      </c>
      <c r="J351" s="89">
        <f>_xlfn.XLOOKUP(J347,Inputs!$I$160:$I$168,Inputs!$M$160:$M$168)</f>
        <v>529.54081199999996</v>
      </c>
    </row>
    <row r="352" spans="3:21" x14ac:dyDescent="0.35">
      <c r="I352" s="86" t="str">
        <v>Issued Amount</v>
      </c>
      <c r="J352" s="89">
        <f>_xlfn.XLOOKUP(J347,Inputs!$I$160:$I$168,Inputs!$N$160:$N$168)</f>
        <v>529.54081199999996</v>
      </c>
      <c r="M352" t="s">
        <v>1223</v>
      </c>
      <c r="N352" s="223">
        <f>($J350=N$283)*1</f>
        <v>0</v>
      </c>
      <c r="O352" s="223">
        <f t="shared" ref="O352:R352" si="191">($J350=O$283)*1</f>
        <v>0</v>
      </c>
      <c r="P352" s="223">
        <f t="shared" si="191"/>
        <v>0</v>
      </c>
      <c r="Q352" s="223">
        <f t="shared" si="191"/>
        <v>0</v>
      </c>
      <c r="R352" s="223">
        <f t="shared" si="191"/>
        <v>0</v>
      </c>
    </row>
    <row r="353" spans="3:21" x14ac:dyDescent="0.35">
      <c r="I353" s="90" t="str">
        <v>Coupon</v>
      </c>
      <c r="J353" s="184">
        <f>_xlfn.XLOOKUP(J347,Inputs!$I$160:$I$168,Inputs!$O$160:$O$168)</f>
        <v>5.1249999999999997E-2</v>
      </c>
      <c r="M353" t="s">
        <v>1224</v>
      </c>
      <c r="N353" s="227">
        <f>($J349=N$283)*1</f>
        <v>0</v>
      </c>
      <c r="O353" s="227">
        <f t="shared" ref="O353:R353" si="192">($J349=O$283)*1</f>
        <v>1</v>
      </c>
      <c r="P353" s="227">
        <f t="shared" si="192"/>
        <v>0</v>
      </c>
      <c r="Q353" s="227">
        <f t="shared" si="192"/>
        <v>0</v>
      </c>
      <c r="R353" s="227">
        <f t="shared" si="192"/>
        <v>0</v>
      </c>
    </row>
    <row r="356" spans="3:21" x14ac:dyDescent="0.35">
      <c r="D356" t="s">
        <v>266</v>
      </c>
      <c r="I356" t="s">
        <v>1226</v>
      </c>
      <c r="J356" s="225">
        <f>'Cover Page'!$F$19</f>
        <v>1</v>
      </c>
      <c r="M356" t="s">
        <v>1227</v>
      </c>
      <c r="N356" s="16">
        <f>$J$322</f>
        <v>1.4999999999999999E-2</v>
      </c>
      <c r="O356" s="16">
        <f t="shared" ref="O356:R356" si="193">$J$322</f>
        <v>1.4999999999999999E-2</v>
      </c>
      <c r="P356" s="16">
        <f t="shared" si="193"/>
        <v>1.4999999999999999E-2</v>
      </c>
      <c r="Q356" s="16">
        <f t="shared" si="193"/>
        <v>1.4999999999999999E-2</v>
      </c>
      <c r="R356" s="16">
        <f t="shared" si="193"/>
        <v>1.4999999999999999E-2</v>
      </c>
    </row>
    <row r="357" spans="3:21" x14ac:dyDescent="0.35">
      <c r="M357" t="str">
        <f>"Interest Expense "&amp;J347</f>
        <v>Interest Expense 3</v>
      </c>
      <c r="N357" s="83">
        <f>IF(J356=1,AVERAGE(N346,N349)*N356,N346*N356)</f>
        <v>7.9431121799999991</v>
      </c>
      <c r="O357" s="83">
        <f t="shared" ref="O357" si="194">IF(K356=1,AVERAGE(O346,O349)*O356,O346*O356)</f>
        <v>7.9431121799999991</v>
      </c>
      <c r="P357" s="83">
        <f t="shared" ref="P357" si="195">IF(L356=1,AVERAGE(P346,P349)*P356,P346*P356)</f>
        <v>0</v>
      </c>
      <c r="Q357" s="83">
        <f t="shared" ref="Q357" si="196">IF(M356=1,AVERAGE(Q346,Q349)*Q356,Q346*Q356)</f>
        <v>0</v>
      </c>
      <c r="R357" s="83">
        <f t="shared" ref="R357" si="197">IF(N356=1,AVERAGE(R346,R349)*R356,R346*R356)</f>
        <v>0</v>
      </c>
    </row>
    <row r="360" spans="3:21" ht="17.5" thickBot="1" x14ac:dyDescent="0.45">
      <c r="C360" s="58" t="str">
        <f>"Debt Schedule: Part "&amp;J363</f>
        <v>Debt Schedule: Part 4</v>
      </c>
      <c r="D360" s="58"/>
      <c r="E360" s="58"/>
      <c r="F360" s="58"/>
      <c r="G360" s="58"/>
      <c r="H360" s="58"/>
      <c r="I360" s="58"/>
      <c r="J360" s="58"/>
      <c r="K360" s="58"/>
      <c r="L360" s="58"/>
      <c r="M360" s="58"/>
      <c r="N360" s="58"/>
      <c r="O360" s="58"/>
      <c r="P360" s="58"/>
      <c r="Q360" s="58"/>
      <c r="R360" s="58"/>
      <c r="S360" s="58"/>
      <c r="T360" s="58"/>
      <c r="U360" s="58"/>
    </row>
    <row r="361" spans="3:21" ht="15" thickTop="1" x14ac:dyDescent="0.35"/>
    <row r="362" spans="3:21" x14ac:dyDescent="0.35">
      <c r="D362" t="s">
        <v>1218</v>
      </c>
      <c r="N362">
        <f>M365</f>
        <v>600</v>
      </c>
      <c r="O362">
        <f t="shared" ref="O362:R362" si="198">N365</f>
        <v>600</v>
      </c>
      <c r="P362">
        <f t="shared" si="198"/>
        <v>0</v>
      </c>
      <c r="Q362">
        <f t="shared" si="198"/>
        <v>0</v>
      </c>
      <c r="R362">
        <f t="shared" si="198"/>
        <v>0</v>
      </c>
    </row>
    <row r="363" spans="3:21" x14ac:dyDescent="0.35">
      <c r="D363" t="s">
        <v>1219</v>
      </c>
      <c r="I363" s="115" t="str" cm="1">
        <f t="array" ref="I363:I369">TRANSPOSE(Inputs!$I$159:$O$159)</f>
        <v>S/N</v>
      </c>
      <c r="J363" s="218">
        <v>4</v>
      </c>
      <c r="N363">
        <f>$J368*N368</f>
        <v>0</v>
      </c>
      <c r="O363">
        <f t="shared" ref="O363:R363" si="199">$J368*O368</f>
        <v>0</v>
      </c>
      <c r="P363">
        <f t="shared" si="199"/>
        <v>0</v>
      </c>
      <c r="Q363">
        <f t="shared" si="199"/>
        <v>0</v>
      </c>
      <c r="R363">
        <f t="shared" si="199"/>
        <v>0</v>
      </c>
    </row>
    <row r="364" spans="3:21" x14ac:dyDescent="0.35">
      <c r="D364" t="s">
        <v>1220</v>
      </c>
      <c r="I364" s="86" t="str">
        <v>Description</v>
      </c>
      <c r="J364" s="89" t="str">
        <f>_xlfn.XLOOKUP(J363,Inputs!$I$160:$I$168,Inputs!$J$160:$J$168)</f>
        <v>BTBRT / BT 5.750</v>
      </c>
      <c r="N364">
        <f>$J367*N369*-1</f>
        <v>0</v>
      </c>
      <c r="O364">
        <f t="shared" ref="O364:R364" si="200">$J367*O369*-1</f>
        <v>-600</v>
      </c>
      <c r="P364">
        <f t="shared" si="200"/>
        <v>0</v>
      </c>
      <c r="Q364">
        <f t="shared" si="200"/>
        <v>0</v>
      </c>
      <c r="R364">
        <f t="shared" si="200"/>
        <v>0</v>
      </c>
    </row>
    <row r="365" spans="3:21" x14ac:dyDescent="0.35">
      <c r="D365" t="s">
        <v>948</v>
      </c>
      <c r="I365" s="86" t="str">
        <v>Maturity Year</v>
      </c>
      <c r="J365" s="220">
        <f>_xlfn.XLOOKUP(J363,Inputs!$I$160:$I$168,Inputs!$K$160:$K$168)</f>
        <v>2028</v>
      </c>
      <c r="M365" s="67">
        <f>J367</f>
        <v>600</v>
      </c>
      <c r="N365" s="144">
        <f>SUM(N362:N364)</f>
        <v>600</v>
      </c>
      <c r="O365" s="83">
        <f t="shared" ref="O365" si="201">SUM(O362:O364)</f>
        <v>0</v>
      </c>
      <c r="P365" s="83">
        <f t="shared" ref="P365" si="202">SUM(P362:P364)</f>
        <v>0</v>
      </c>
      <c r="Q365" s="83">
        <f t="shared" ref="Q365" si="203">SUM(Q362:Q364)</f>
        <v>0</v>
      </c>
      <c r="R365" s="83">
        <f t="shared" ref="R365" si="204">SUM(R362:R364)</f>
        <v>0</v>
      </c>
    </row>
    <row r="366" spans="3:21" x14ac:dyDescent="0.35">
      <c r="I366" s="86" t="str">
        <v>Issue Date</v>
      </c>
      <c r="J366" s="220">
        <f>_xlfn.XLOOKUP(J363,Inputs!$I$160:$I$168,Inputs!$L$160:$L$168)</f>
        <v>0</v>
      </c>
    </row>
    <row r="367" spans="3:21" x14ac:dyDescent="0.35">
      <c r="I367" s="86" t="str">
        <v>Amount Outstanding</v>
      </c>
      <c r="J367" s="89">
        <f>_xlfn.XLOOKUP(J363,Inputs!$I$160:$I$168,Inputs!$M$160:$M$168)</f>
        <v>600</v>
      </c>
    </row>
    <row r="368" spans="3:21" x14ac:dyDescent="0.35">
      <c r="I368" s="86" t="str">
        <v>Issued Amount</v>
      </c>
      <c r="J368" s="89">
        <f>_xlfn.XLOOKUP(J363,Inputs!$I$160:$I$168,Inputs!$N$160:$N$168)</f>
        <v>600</v>
      </c>
      <c r="M368" t="s">
        <v>1223</v>
      </c>
      <c r="N368" s="223">
        <f>($J366=N$283)*1</f>
        <v>0</v>
      </c>
      <c r="O368" s="223">
        <f t="shared" ref="O368:R368" si="205">($J366=O$283)*1</f>
        <v>0</v>
      </c>
      <c r="P368" s="223">
        <f t="shared" si="205"/>
        <v>0</v>
      </c>
      <c r="Q368" s="223">
        <f t="shared" si="205"/>
        <v>0</v>
      </c>
      <c r="R368" s="223">
        <f t="shared" si="205"/>
        <v>0</v>
      </c>
    </row>
    <row r="369" spans="3:21" x14ac:dyDescent="0.35">
      <c r="I369" s="90" t="str">
        <v>Coupon</v>
      </c>
      <c r="J369" s="184">
        <f>_xlfn.XLOOKUP(J363,Inputs!$I$160:$I$168,Inputs!$O$160:$O$168)</f>
        <v>5.7500000000000002E-2</v>
      </c>
      <c r="M369" t="s">
        <v>1224</v>
      </c>
      <c r="N369" s="227">
        <f>($J365=N$283)*1</f>
        <v>0</v>
      </c>
      <c r="O369" s="227">
        <f t="shared" ref="O369:R369" si="206">($J365=O$283)*1</f>
        <v>1</v>
      </c>
      <c r="P369" s="227">
        <f t="shared" si="206"/>
        <v>0</v>
      </c>
      <c r="Q369" s="227">
        <f t="shared" si="206"/>
        <v>0</v>
      </c>
      <c r="R369" s="227">
        <f t="shared" si="206"/>
        <v>0</v>
      </c>
    </row>
    <row r="372" spans="3:21" x14ac:dyDescent="0.35">
      <c r="D372" t="s">
        <v>266</v>
      </c>
      <c r="I372" t="s">
        <v>1226</v>
      </c>
      <c r="J372" s="225">
        <f>'Cover Page'!$F$19</f>
        <v>1</v>
      </c>
      <c r="M372" t="s">
        <v>1227</v>
      </c>
      <c r="N372" s="16">
        <f>$J$322</f>
        <v>1.4999999999999999E-2</v>
      </c>
      <c r="O372" s="16">
        <f t="shared" ref="O372:R372" si="207">$J$322</f>
        <v>1.4999999999999999E-2</v>
      </c>
      <c r="P372" s="16">
        <f t="shared" si="207"/>
        <v>1.4999999999999999E-2</v>
      </c>
      <c r="Q372" s="16">
        <f t="shared" si="207"/>
        <v>1.4999999999999999E-2</v>
      </c>
      <c r="R372" s="16">
        <f t="shared" si="207"/>
        <v>1.4999999999999999E-2</v>
      </c>
    </row>
    <row r="373" spans="3:21" x14ac:dyDescent="0.35">
      <c r="M373" t="str">
        <f>"Interest Expense "&amp;J363</f>
        <v>Interest Expense 4</v>
      </c>
      <c r="N373" s="83">
        <f>IF(J372=1,AVERAGE(N362,N365)*N372,N362*N372)</f>
        <v>9</v>
      </c>
      <c r="O373" s="83">
        <f t="shared" ref="O373" si="208">IF(K372=1,AVERAGE(O362,O365)*O372,O362*O372)</f>
        <v>9</v>
      </c>
      <c r="P373" s="83">
        <f t="shared" ref="P373" si="209">IF(L372=1,AVERAGE(P362,P365)*P372,P362*P372)</f>
        <v>0</v>
      </c>
      <c r="Q373" s="83">
        <f t="shared" ref="Q373" si="210">IF(M372=1,AVERAGE(Q362,Q365)*Q372,Q362*Q372)</f>
        <v>0</v>
      </c>
      <c r="R373" s="83">
        <f t="shared" ref="R373" si="211">IF(N372=1,AVERAGE(R362,R365)*R372,R362*R372)</f>
        <v>0</v>
      </c>
    </row>
    <row r="375" spans="3:21" ht="17.5" thickBot="1" x14ac:dyDescent="0.45">
      <c r="C375" s="58" t="str">
        <f>"Debt Schedule: Part "&amp;J378</f>
        <v>Debt Schedule: Part 5</v>
      </c>
      <c r="D375" s="58"/>
      <c r="E375" s="58"/>
      <c r="F375" s="58"/>
      <c r="G375" s="58"/>
      <c r="H375" s="58"/>
      <c r="I375" s="58"/>
      <c r="J375" s="58"/>
      <c r="K375" s="58"/>
      <c r="L375" s="58"/>
      <c r="M375" s="58"/>
      <c r="N375" s="58"/>
      <c r="O375" s="58"/>
      <c r="P375" s="58"/>
      <c r="Q375" s="58"/>
      <c r="R375" s="58"/>
      <c r="S375" s="58"/>
      <c r="T375" s="58"/>
      <c r="U375" s="58"/>
    </row>
    <row r="376" spans="3:21" ht="15" thickTop="1" x14ac:dyDescent="0.35"/>
    <row r="377" spans="3:21" x14ac:dyDescent="0.35">
      <c r="D377" t="s">
        <v>1218</v>
      </c>
      <c r="N377">
        <f>M380</f>
        <v>636.64044200000001</v>
      </c>
      <c r="O377">
        <f t="shared" ref="O377:R377" si="212">N380</f>
        <v>636.64044200000001</v>
      </c>
      <c r="P377">
        <f t="shared" si="212"/>
        <v>636.64044200000001</v>
      </c>
      <c r="Q377">
        <f t="shared" si="212"/>
        <v>0</v>
      </c>
      <c r="R377">
        <f t="shared" si="212"/>
        <v>0</v>
      </c>
    </row>
    <row r="378" spans="3:21" x14ac:dyDescent="0.35">
      <c r="D378" t="s">
        <v>1219</v>
      </c>
      <c r="I378" s="115" t="str" cm="1">
        <f t="array" ref="I378:I384">TRANSPOSE(Inputs!$I$159:$O$159)</f>
        <v>S/N</v>
      </c>
      <c r="J378" s="218">
        <v>5</v>
      </c>
      <c r="N378">
        <f>$J383*N383</f>
        <v>0</v>
      </c>
      <c r="O378">
        <f t="shared" ref="O378:R378" si="213">$J383*O383</f>
        <v>0</v>
      </c>
      <c r="P378">
        <f t="shared" si="213"/>
        <v>0</v>
      </c>
      <c r="Q378">
        <f t="shared" si="213"/>
        <v>0</v>
      </c>
      <c r="R378">
        <f t="shared" si="213"/>
        <v>0</v>
      </c>
    </row>
    <row r="379" spans="3:21" x14ac:dyDescent="0.35">
      <c r="D379" t="s">
        <v>1220</v>
      </c>
      <c r="I379" s="86" t="str">
        <v>Description</v>
      </c>
      <c r="J379" s="89" t="str">
        <f>_xlfn.XLOOKUP(J378,Inputs!$I$160:$I$168,Inputs!$J$160:$J$168)</f>
        <v>BTBRT / BT 1.125</v>
      </c>
      <c r="N379">
        <f>$J382*N384*-1</f>
        <v>0</v>
      </c>
      <c r="O379">
        <f t="shared" ref="O379:R379" si="214">$J382*O384*-1</f>
        <v>0</v>
      </c>
      <c r="P379">
        <f t="shared" si="214"/>
        <v>-636.64044200000001</v>
      </c>
      <c r="Q379">
        <f t="shared" si="214"/>
        <v>0</v>
      </c>
      <c r="R379">
        <f t="shared" si="214"/>
        <v>0</v>
      </c>
    </row>
    <row r="380" spans="3:21" x14ac:dyDescent="0.35">
      <c r="D380" t="s">
        <v>948</v>
      </c>
      <c r="I380" s="86" t="str">
        <v>Maturity Year</v>
      </c>
      <c r="J380" s="220">
        <f>_xlfn.XLOOKUP(J378,Inputs!$I$160:$I$168,Inputs!$K$160:$K$168)</f>
        <v>2029</v>
      </c>
      <c r="M380" s="67">
        <f>J382</f>
        <v>636.64044200000001</v>
      </c>
      <c r="N380" s="144">
        <f>SUM(N377:N379)</f>
        <v>636.64044200000001</v>
      </c>
      <c r="O380" s="83">
        <f t="shared" ref="O380" si="215">SUM(O377:O379)</f>
        <v>636.64044200000001</v>
      </c>
      <c r="P380" s="83">
        <f t="shared" ref="P380" si="216">SUM(P377:P379)</f>
        <v>0</v>
      </c>
      <c r="Q380" s="83">
        <f t="shared" ref="Q380" si="217">SUM(Q377:Q379)</f>
        <v>0</v>
      </c>
      <c r="R380" s="83">
        <f t="shared" ref="R380" si="218">SUM(R377:R379)</f>
        <v>0</v>
      </c>
    </row>
    <row r="381" spans="3:21" x14ac:dyDescent="0.35">
      <c r="I381" s="86" t="str">
        <v>Issue Date</v>
      </c>
      <c r="J381" s="220">
        <f>_xlfn.XLOOKUP(J378,Inputs!$I$160:$I$168,Inputs!$L$160:$L$168)</f>
        <v>0</v>
      </c>
    </row>
    <row r="382" spans="3:21" x14ac:dyDescent="0.35">
      <c r="I382" s="86" t="str">
        <v>Amount Outstanding</v>
      </c>
      <c r="J382" s="89">
        <f>_xlfn.XLOOKUP(J378,Inputs!$I$160:$I$168,Inputs!$M$160:$M$168)</f>
        <v>636.64044200000001</v>
      </c>
    </row>
    <row r="383" spans="3:21" x14ac:dyDescent="0.35">
      <c r="I383" s="86" t="str">
        <v>Issued Amount</v>
      </c>
      <c r="J383" s="89">
        <f>_xlfn.XLOOKUP(J378,Inputs!$I$160:$I$168,Inputs!$N$160:$N$168)</f>
        <v>636.64044200000001</v>
      </c>
      <c r="M383" t="s">
        <v>1223</v>
      </c>
      <c r="N383" s="223">
        <f>($J381=N$283)*1</f>
        <v>0</v>
      </c>
      <c r="O383" s="223">
        <f t="shared" ref="O383:R383" si="219">($J381=O$283)*1</f>
        <v>0</v>
      </c>
      <c r="P383" s="223">
        <f t="shared" si="219"/>
        <v>0</v>
      </c>
      <c r="Q383" s="223">
        <f t="shared" si="219"/>
        <v>0</v>
      </c>
      <c r="R383" s="223">
        <f t="shared" si="219"/>
        <v>0</v>
      </c>
    </row>
    <row r="384" spans="3:21" x14ac:dyDescent="0.35">
      <c r="I384" s="90" t="str">
        <v>Coupon</v>
      </c>
      <c r="J384" s="184">
        <f>_xlfn.XLOOKUP(J378,Inputs!$I$160:$I$168,Inputs!$O$160:$O$168)</f>
        <v>1.125E-2</v>
      </c>
      <c r="M384" t="s">
        <v>1224</v>
      </c>
      <c r="N384" s="227">
        <f>($J380=N$283)*1</f>
        <v>0</v>
      </c>
      <c r="O384" s="227">
        <f t="shared" ref="O384:R384" si="220">($J380=O$283)*1</f>
        <v>0</v>
      </c>
      <c r="P384" s="227">
        <f t="shared" si="220"/>
        <v>1</v>
      </c>
      <c r="Q384" s="227">
        <f t="shared" si="220"/>
        <v>0</v>
      </c>
      <c r="R384" s="227">
        <f t="shared" si="220"/>
        <v>0</v>
      </c>
    </row>
    <row r="387" spans="3:21" x14ac:dyDescent="0.35">
      <c r="D387" t="s">
        <v>266</v>
      </c>
      <c r="I387" t="s">
        <v>1226</v>
      </c>
      <c r="J387" s="225">
        <f>'Cover Page'!$F$19</f>
        <v>1</v>
      </c>
      <c r="M387" t="s">
        <v>1227</v>
      </c>
      <c r="N387" s="16">
        <f>$J$322</f>
        <v>1.4999999999999999E-2</v>
      </c>
      <c r="O387" s="16">
        <f t="shared" ref="O387:R387" si="221">$J$322</f>
        <v>1.4999999999999999E-2</v>
      </c>
      <c r="P387" s="16">
        <f t="shared" si="221"/>
        <v>1.4999999999999999E-2</v>
      </c>
      <c r="Q387" s="16">
        <f t="shared" si="221"/>
        <v>1.4999999999999999E-2</v>
      </c>
      <c r="R387" s="16">
        <f t="shared" si="221"/>
        <v>1.4999999999999999E-2</v>
      </c>
    </row>
    <row r="388" spans="3:21" x14ac:dyDescent="0.35">
      <c r="M388" t="str">
        <f>"Interest Expense "&amp;J378</f>
        <v>Interest Expense 5</v>
      </c>
      <c r="N388" s="83">
        <f>IF(J387=1,AVERAGE(N377,N380)*N387,N377*N387)</f>
        <v>9.5496066299999995</v>
      </c>
      <c r="O388" s="83">
        <f t="shared" ref="O388" si="222">IF(K387=1,AVERAGE(O377,O380)*O387,O377*O387)</f>
        <v>9.5496066299999995</v>
      </c>
      <c r="P388" s="83">
        <f t="shared" ref="P388" si="223">IF(L387=1,AVERAGE(P377,P380)*P387,P377*P387)</f>
        <v>9.5496066299999995</v>
      </c>
      <c r="Q388" s="83">
        <f t="shared" ref="Q388" si="224">IF(M387=1,AVERAGE(Q377,Q380)*Q387,Q377*Q387)</f>
        <v>0</v>
      </c>
      <c r="R388" s="83">
        <f t="shared" ref="R388" si="225">IF(N387=1,AVERAGE(R377,R380)*R387,R377*R387)</f>
        <v>0</v>
      </c>
    </row>
    <row r="390" spans="3:21" ht="17.5" thickBot="1" x14ac:dyDescent="0.45">
      <c r="C390" s="58" t="str">
        <f>"Debt Schedule: Part "&amp;J393</f>
        <v>Debt Schedule: Part 6</v>
      </c>
      <c r="D390" s="58"/>
      <c r="E390" s="58"/>
      <c r="F390" s="58"/>
      <c r="G390" s="58"/>
      <c r="H390" s="58"/>
      <c r="I390" s="58"/>
      <c r="J390" s="58"/>
      <c r="K390" s="58"/>
      <c r="L390" s="58"/>
      <c r="M390" s="58"/>
      <c r="N390" s="58"/>
      <c r="O390" s="58"/>
      <c r="P390" s="58"/>
      <c r="Q390" s="58"/>
      <c r="R390" s="58"/>
      <c r="S390" s="58"/>
      <c r="T390" s="58"/>
      <c r="U390" s="58"/>
    </row>
    <row r="391" spans="3:21" ht="15" thickTop="1" x14ac:dyDescent="0.35"/>
    <row r="392" spans="3:21" x14ac:dyDescent="0.35">
      <c r="D392" t="s">
        <v>1218</v>
      </c>
      <c r="N392">
        <f>M395</f>
        <v>756.48687500000005</v>
      </c>
      <c r="O392">
        <f t="shared" ref="O392:R392" si="226">N395</f>
        <v>756.48687500000005</v>
      </c>
      <c r="P392">
        <f t="shared" si="226"/>
        <v>756.48687500000005</v>
      </c>
      <c r="Q392">
        <f t="shared" si="226"/>
        <v>0</v>
      </c>
      <c r="R392">
        <f t="shared" si="226"/>
        <v>0</v>
      </c>
    </row>
    <row r="393" spans="3:21" x14ac:dyDescent="0.35">
      <c r="D393" t="s">
        <v>1219</v>
      </c>
      <c r="I393" s="115" t="str" cm="1">
        <f t="array" ref="I393:I399">TRANSPOSE(Inputs!$I$159:$O$159)</f>
        <v>S/N</v>
      </c>
      <c r="J393" s="218">
        <v>6</v>
      </c>
      <c r="N393">
        <f>$J398*N398</f>
        <v>0</v>
      </c>
      <c r="O393">
        <f t="shared" ref="O393:R393" si="227">$J398*O398</f>
        <v>0</v>
      </c>
      <c r="P393">
        <f t="shared" si="227"/>
        <v>0</v>
      </c>
      <c r="Q393">
        <f t="shared" si="227"/>
        <v>0</v>
      </c>
      <c r="R393">
        <f t="shared" si="227"/>
        <v>0</v>
      </c>
    </row>
    <row r="394" spans="3:21" x14ac:dyDescent="0.35">
      <c r="D394" t="s">
        <v>1220</v>
      </c>
      <c r="I394" s="86" t="str">
        <v>Description</v>
      </c>
      <c r="J394" s="89" t="str">
        <f>_xlfn.XLOOKUP(J393,Inputs!$I$160:$I$168,Inputs!$J$160:$J$168)</f>
        <v>BTBRT / BT 3.250</v>
      </c>
      <c r="N394">
        <f>$J397*N399*-1</f>
        <v>0</v>
      </c>
      <c r="O394">
        <f t="shared" ref="O394:R394" si="228">$J397*O399*-1</f>
        <v>0</v>
      </c>
      <c r="P394">
        <f t="shared" si="228"/>
        <v>-756.48687500000005</v>
      </c>
      <c r="Q394">
        <f t="shared" si="228"/>
        <v>0</v>
      </c>
      <c r="R394">
        <f t="shared" si="228"/>
        <v>0</v>
      </c>
    </row>
    <row r="395" spans="3:21" x14ac:dyDescent="0.35">
      <c r="D395" t="s">
        <v>948</v>
      </c>
      <c r="I395" s="86" t="str">
        <v>Maturity Year</v>
      </c>
      <c r="J395" s="220">
        <f>_xlfn.XLOOKUP(J393,Inputs!$I$160:$I$168,Inputs!$K$160:$K$168)</f>
        <v>2029</v>
      </c>
      <c r="M395" s="67">
        <f>J397</f>
        <v>756.48687500000005</v>
      </c>
      <c r="N395" s="144">
        <f>SUM(N392:N394)</f>
        <v>756.48687500000005</v>
      </c>
      <c r="O395" s="83">
        <f t="shared" ref="O395" si="229">SUM(O392:O394)</f>
        <v>756.48687500000005</v>
      </c>
      <c r="P395" s="83">
        <f t="shared" ref="P395" si="230">SUM(P392:P394)</f>
        <v>0</v>
      </c>
      <c r="Q395" s="83">
        <f t="shared" ref="Q395" si="231">SUM(Q392:Q394)</f>
        <v>0</v>
      </c>
      <c r="R395" s="83">
        <f t="shared" ref="R395" si="232">SUM(R392:R394)</f>
        <v>0</v>
      </c>
    </row>
    <row r="396" spans="3:21" x14ac:dyDescent="0.35">
      <c r="I396" s="86" t="str">
        <v>Issue Date</v>
      </c>
      <c r="J396" s="220">
        <f>_xlfn.XLOOKUP(J393,Inputs!$I$160:$I$168,Inputs!$L$160:$L$168)</f>
        <v>0</v>
      </c>
    </row>
    <row r="397" spans="3:21" x14ac:dyDescent="0.35">
      <c r="I397" s="86" t="str">
        <v>Amount Outstanding</v>
      </c>
      <c r="J397" s="89">
        <f>_xlfn.XLOOKUP(J393,Inputs!$I$160:$I$168,Inputs!$M$160:$M$168)</f>
        <v>756.48687500000005</v>
      </c>
    </row>
    <row r="398" spans="3:21" x14ac:dyDescent="0.35">
      <c r="I398" s="86" t="str">
        <v>Issued Amount</v>
      </c>
      <c r="J398" s="89">
        <f>_xlfn.XLOOKUP(J393,Inputs!$I$160:$I$168,Inputs!$N$160:$N$168)</f>
        <v>756.48687500000005</v>
      </c>
      <c r="M398" t="s">
        <v>1223</v>
      </c>
      <c r="N398" s="223">
        <f>($J396=N$283)*1</f>
        <v>0</v>
      </c>
      <c r="O398" s="223">
        <f t="shared" ref="O398:R398" si="233">($J396=O$283)*1</f>
        <v>0</v>
      </c>
      <c r="P398" s="223">
        <f t="shared" si="233"/>
        <v>0</v>
      </c>
      <c r="Q398" s="223">
        <f t="shared" si="233"/>
        <v>0</v>
      </c>
      <c r="R398" s="223">
        <f t="shared" si="233"/>
        <v>0</v>
      </c>
    </row>
    <row r="399" spans="3:21" x14ac:dyDescent="0.35">
      <c r="I399" s="90" t="str">
        <v>Coupon</v>
      </c>
      <c r="J399" s="184">
        <f>_xlfn.XLOOKUP(J393,Inputs!$I$160:$I$168,Inputs!$O$160:$O$168)</f>
        <v>3.2500000000000001E-2</v>
      </c>
      <c r="M399" t="s">
        <v>1224</v>
      </c>
      <c r="N399" s="227">
        <f>($J395=N$283)*1</f>
        <v>0</v>
      </c>
      <c r="O399" s="227">
        <f t="shared" ref="O399:R399" si="234">($J395=O$283)*1</f>
        <v>0</v>
      </c>
      <c r="P399" s="227">
        <f t="shared" si="234"/>
        <v>1</v>
      </c>
      <c r="Q399" s="227">
        <f t="shared" si="234"/>
        <v>0</v>
      </c>
      <c r="R399" s="227">
        <f t="shared" si="234"/>
        <v>0</v>
      </c>
    </row>
    <row r="402" spans="3:21" x14ac:dyDescent="0.35">
      <c r="D402" t="s">
        <v>266</v>
      </c>
      <c r="I402" t="s">
        <v>1226</v>
      </c>
      <c r="J402" s="225">
        <f>'Cover Page'!$F$19</f>
        <v>1</v>
      </c>
      <c r="M402" t="s">
        <v>1227</v>
      </c>
      <c r="N402" s="16">
        <f>$J$322</f>
        <v>1.4999999999999999E-2</v>
      </c>
      <c r="O402" s="16">
        <f t="shared" ref="O402:R402" si="235">$J$322</f>
        <v>1.4999999999999999E-2</v>
      </c>
      <c r="P402" s="16">
        <f t="shared" si="235"/>
        <v>1.4999999999999999E-2</v>
      </c>
      <c r="Q402" s="16">
        <f t="shared" si="235"/>
        <v>1.4999999999999999E-2</v>
      </c>
      <c r="R402" s="16">
        <f t="shared" si="235"/>
        <v>1.4999999999999999E-2</v>
      </c>
    </row>
    <row r="403" spans="3:21" x14ac:dyDescent="0.35">
      <c r="M403" t="str">
        <f>"Interest Expense "&amp;J393</f>
        <v>Interest Expense 6</v>
      </c>
      <c r="N403" s="83">
        <f>IF(J402=1,AVERAGE(N392,N395)*N402,N392*N402)</f>
        <v>11.347303125</v>
      </c>
      <c r="O403" s="83">
        <f t="shared" ref="O403" si="236">IF(K402=1,AVERAGE(O392,O395)*O402,O392*O402)</f>
        <v>11.347303125</v>
      </c>
      <c r="P403" s="83">
        <f t="shared" ref="P403" si="237">IF(L402=1,AVERAGE(P392,P395)*P402,P392*P402)</f>
        <v>11.347303125</v>
      </c>
      <c r="Q403" s="83">
        <f t="shared" ref="Q403" si="238">IF(M402=1,AVERAGE(Q392,Q395)*Q402,Q392*Q402)</f>
        <v>0</v>
      </c>
      <c r="R403" s="83">
        <f t="shared" ref="R403" si="239">IF(N402=1,AVERAGE(R392,R395)*R402,R392*R402)</f>
        <v>0</v>
      </c>
    </row>
    <row r="405" spans="3:21" ht="17.5" thickBot="1" x14ac:dyDescent="0.45">
      <c r="C405" s="58" t="str">
        <f>"Debt Schedule: Part "&amp;J408</f>
        <v>Debt Schedule: Part 7</v>
      </c>
      <c r="D405" s="58"/>
      <c r="E405" s="58"/>
      <c r="F405" s="58"/>
      <c r="G405" s="58"/>
      <c r="H405" s="58"/>
      <c r="I405" s="58"/>
      <c r="J405" s="58"/>
      <c r="K405" s="58"/>
      <c r="L405" s="58"/>
      <c r="M405" s="58"/>
      <c r="N405" s="58"/>
      <c r="O405" s="58"/>
      <c r="P405" s="58"/>
      <c r="Q405" s="58"/>
      <c r="R405" s="58"/>
      <c r="S405" s="58"/>
      <c r="T405" s="58"/>
      <c r="U405" s="58"/>
    </row>
    <row r="406" spans="3:21" ht="15" thickTop="1" x14ac:dyDescent="0.35"/>
    <row r="407" spans="3:21" x14ac:dyDescent="0.35">
      <c r="D407" t="s">
        <v>1218</v>
      </c>
      <c r="N407">
        <f>M410</f>
        <v>2019.819956</v>
      </c>
      <c r="O407">
        <f t="shared" ref="O407:R407" si="240">N410</f>
        <v>2019.819956</v>
      </c>
      <c r="P407">
        <f t="shared" si="240"/>
        <v>2019.819956</v>
      </c>
      <c r="Q407">
        <f t="shared" si="240"/>
        <v>2019.819956</v>
      </c>
      <c r="R407">
        <f t="shared" si="240"/>
        <v>0</v>
      </c>
    </row>
    <row r="408" spans="3:21" x14ac:dyDescent="0.35">
      <c r="D408" t="s">
        <v>1219</v>
      </c>
      <c r="I408" s="115" t="str" cm="1">
        <f t="array" ref="I408:I414">TRANSPOSE(Inputs!$I$159:$O$159)</f>
        <v>S/N</v>
      </c>
      <c r="J408" s="218">
        <v>7</v>
      </c>
      <c r="N408">
        <f>$J413*N413</f>
        <v>0</v>
      </c>
      <c r="O408">
        <f t="shared" ref="O408:R408" si="241">$J413*O413</f>
        <v>0</v>
      </c>
      <c r="P408">
        <f t="shared" si="241"/>
        <v>0</v>
      </c>
      <c r="Q408">
        <f t="shared" si="241"/>
        <v>0</v>
      </c>
      <c r="R408">
        <f t="shared" si="241"/>
        <v>0</v>
      </c>
    </row>
    <row r="409" spans="3:21" x14ac:dyDescent="0.35">
      <c r="D409" t="s">
        <v>1220</v>
      </c>
      <c r="I409" s="86" t="str">
        <v>Description</v>
      </c>
      <c r="J409" s="89" t="str">
        <f>_xlfn.XLOOKUP(J408,Inputs!$I$160:$I$168,Inputs!$J$160:$J$168)</f>
        <v>BTBRT / BT 9.625</v>
      </c>
      <c r="N409">
        <f>$J412*N414*-1</f>
        <v>0</v>
      </c>
      <c r="O409">
        <f t="shared" ref="O409:R409" si="242">$J412*O414*-1</f>
        <v>0</v>
      </c>
      <c r="P409">
        <f t="shared" si="242"/>
        <v>0</v>
      </c>
      <c r="Q409">
        <f t="shared" si="242"/>
        <v>-2019.819956</v>
      </c>
      <c r="R409">
        <f t="shared" si="242"/>
        <v>0</v>
      </c>
    </row>
    <row r="410" spans="3:21" x14ac:dyDescent="0.35">
      <c r="D410" t="s">
        <v>948</v>
      </c>
      <c r="I410" s="86" t="str">
        <v>Maturity Year</v>
      </c>
      <c r="J410" s="220">
        <f>_xlfn.XLOOKUP(J408,Inputs!$I$160:$I$168,Inputs!$K$160:$K$168)</f>
        <v>2030</v>
      </c>
      <c r="M410" s="67">
        <f>J412</f>
        <v>2019.819956</v>
      </c>
      <c r="N410" s="144">
        <f>SUM(N407:N409)</f>
        <v>2019.819956</v>
      </c>
      <c r="O410" s="83">
        <f t="shared" ref="O410" si="243">SUM(O407:O409)</f>
        <v>2019.819956</v>
      </c>
      <c r="P410" s="83">
        <f t="shared" ref="P410" si="244">SUM(P407:P409)</f>
        <v>2019.819956</v>
      </c>
      <c r="Q410" s="83">
        <f t="shared" ref="Q410" si="245">SUM(Q407:Q409)</f>
        <v>0</v>
      </c>
      <c r="R410" s="83">
        <f t="shared" ref="R410" si="246">SUM(R407:R409)</f>
        <v>0</v>
      </c>
    </row>
    <row r="411" spans="3:21" x14ac:dyDescent="0.35">
      <c r="I411" s="86" t="str">
        <v>Issue Date</v>
      </c>
      <c r="J411" s="220">
        <f>_xlfn.XLOOKUP(J408,Inputs!$I$160:$I$168,Inputs!$L$160:$L$168)</f>
        <v>0</v>
      </c>
    </row>
    <row r="412" spans="3:21" x14ac:dyDescent="0.35">
      <c r="I412" s="86" t="str">
        <v>Amount Outstanding</v>
      </c>
      <c r="J412" s="89">
        <f>_xlfn.XLOOKUP(J408,Inputs!$I$160:$I$168,Inputs!$M$160:$M$168)</f>
        <v>2019.819956</v>
      </c>
    </row>
    <row r="413" spans="3:21" x14ac:dyDescent="0.35">
      <c r="I413" s="86" t="str">
        <v>Issued Amount</v>
      </c>
      <c r="J413" s="89">
        <f>_xlfn.XLOOKUP(J408,Inputs!$I$160:$I$168,Inputs!$N$160:$N$168)</f>
        <v>2118.1632500000001</v>
      </c>
      <c r="M413" t="s">
        <v>1223</v>
      </c>
      <c r="N413" s="223">
        <f>($J411=N$283)*1</f>
        <v>0</v>
      </c>
      <c r="O413" s="223">
        <f t="shared" ref="O413:R413" si="247">($J411=O$283)*1</f>
        <v>0</v>
      </c>
      <c r="P413" s="223">
        <f t="shared" si="247"/>
        <v>0</v>
      </c>
      <c r="Q413" s="223">
        <f t="shared" si="247"/>
        <v>0</v>
      </c>
      <c r="R413" s="223">
        <f t="shared" si="247"/>
        <v>0</v>
      </c>
    </row>
    <row r="414" spans="3:21" x14ac:dyDescent="0.35">
      <c r="I414" s="90" t="str">
        <v>Coupon</v>
      </c>
      <c r="J414" s="184">
        <f>_xlfn.XLOOKUP(J408,Inputs!$I$160:$I$168,Inputs!$O$160:$O$168)</f>
        <v>9.6250000000000002E-2</v>
      </c>
      <c r="M414" t="s">
        <v>1224</v>
      </c>
      <c r="N414" s="227">
        <f>($J410=N$283)*1</f>
        <v>0</v>
      </c>
      <c r="O414" s="227">
        <f t="shared" ref="O414:R414" si="248">($J410=O$283)*1</f>
        <v>0</v>
      </c>
      <c r="P414" s="227">
        <f t="shared" si="248"/>
        <v>0</v>
      </c>
      <c r="Q414" s="227">
        <f t="shared" si="248"/>
        <v>1</v>
      </c>
      <c r="R414" s="227">
        <f t="shared" si="248"/>
        <v>0</v>
      </c>
    </row>
    <row r="417" spans="3:21" x14ac:dyDescent="0.35">
      <c r="D417" t="s">
        <v>266</v>
      </c>
      <c r="I417" t="s">
        <v>1226</v>
      </c>
      <c r="J417" s="225">
        <f>'Cover Page'!$F$19</f>
        <v>1</v>
      </c>
      <c r="M417" t="s">
        <v>1227</v>
      </c>
      <c r="N417" s="16">
        <f>$J$322</f>
        <v>1.4999999999999999E-2</v>
      </c>
      <c r="O417" s="16">
        <f t="shared" ref="O417:R417" si="249">$J$322</f>
        <v>1.4999999999999999E-2</v>
      </c>
      <c r="P417" s="16">
        <f t="shared" si="249"/>
        <v>1.4999999999999999E-2</v>
      </c>
      <c r="Q417" s="16">
        <f t="shared" si="249"/>
        <v>1.4999999999999999E-2</v>
      </c>
      <c r="R417" s="16">
        <f t="shared" si="249"/>
        <v>1.4999999999999999E-2</v>
      </c>
    </row>
    <row r="418" spans="3:21" x14ac:dyDescent="0.35">
      <c r="M418" t="str">
        <f>"Interest Expense "&amp;J408</f>
        <v>Interest Expense 7</v>
      </c>
      <c r="N418" s="83">
        <f>IF(J417=1,AVERAGE(N407,N410)*N417,N407*N417)</f>
        <v>30.297299339999999</v>
      </c>
      <c r="O418" s="83">
        <f t="shared" ref="O418" si="250">IF(K417=1,AVERAGE(O407,O410)*O417,O407*O417)</f>
        <v>30.297299339999999</v>
      </c>
      <c r="P418" s="83">
        <f t="shared" ref="P418" si="251">IF(L417=1,AVERAGE(P407,P410)*P417,P407*P417)</f>
        <v>30.297299339999999</v>
      </c>
      <c r="Q418" s="83">
        <f t="shared" ref="Q418" si="252">IF(M417=1,AVERAGE(Q407,Q410)*Q417,Q407*Q417)</f>
        <v>30.297299339999999</v>
      </c>
      <c r="R418" s="83">
        <f t="shared" ref="R418" si="253">IF(N417=1,AVERAGE(R407,R410)*R417,R407*R417)</f>
        <v>0</v>
      </c>
    </row>
    <row r="420" spans="3:21" ht="17.5" thickBot="1" x14ac:dyDescent="0.45">
      <c r="C420" s="58" t="str">
        <f>"Debt Schedule: Part "&amp;J423</f>
        <v>Debt Schedule: Part 8</v>
      </c>
      <c r="D420" s="58"/>
      <c r="E420" s="58"/>
      <c r="F420" s="58"/>
      <c r="G420" s="58"/>
      <c r="H420" s="58"/>
      <c r="I420" s="58"/>
      <c r="J420" s="58"/>
      <c r="K420" s="58"/>
      <c r="L420" s="58"/>
      <c r="M420" s="58"/>
      <c r="N420" s="58"/>
      <c r="O420" s="58"/>
      <c r="P420" s="58"/>
      <c r="Q420" s="58"/>
      <c r="R420" s="58"/>
      <c r="S420" s="58"/>
      <c r="T420" s="58"/>
      <c r="U420" s="58"/>
    </row>
    <row r="421" spans="3:21" ht="15" thickTop="1" x14ac:dyDescent="0.35"/>
    <row r="422" spans="3:21" x14ac:dyDescent="0.35">
      <c r="D422" t="s">
        <v>1218</v>
      </c>
      <c r="N422">
        <f>M425</f>
        <v>679.08313799999996</v>
      </c>
      <c r="O422">
        <f t="shared" ref="O422:R422" si="254">N425</f>
        <v>679.08313799999996</v>
      </c>
      <c r="P422">
        <f t="shared" si="254"/>
        <v>679.08313799999996</v>
      </c>
      <c r="Q422">
        <f t="shared" si="254"/>
        <v>679.08313799999996</v>
      </c>
      <c r="R422">
        <f t="shared" si="254"/>
        <v>679.08313799999996</v>
      </c>
    </row>
    <row r="423" spans="3:21" x14ac:dyDescent="0.35">
      <c r="D423" t="s">
        <v>1219</v>
      </c>
      <c r="I423" s="115" t="str" cm="1">
        <f t="array" ref="I423:I429">TRANSPOSE(Inputs!$I$159:$O$159)</f>
        <v>S/N</v>
      </c>
      <c r="J423" s="218">
        <v>8</v>
      </c>
      <c r="N423">
        <f>$J428*N428</f>
        <v>0</v>
      </c>
      <c r="O423">
        <f t="shared" ref="O423:R423" si="255">$J428*O428</f>
        <v>0</v>
      </c>
      <c r="P423">
        <f t="shared" si="255"/>
        <v>0</v>
      </c>
      <c r="Q423">
        <f t="shared" si="255"/>
        <v>0</v>
      </c>
      <c r="R423">
        <f t="shared" si="255"/>
        <v>0</v>
      </c>
    </row>
    <row r="424" spans="3:21" x14ac:dyDescent="0.35">
      <c r="D424" t="s">
        <v>1220</v>
      </c>
      <c r="I424" s="86" t="str">
        <v>Description</v>
      </c>
      <c r="J424" s="89" t="str">
        <f>_xlfn.XLOOKUP(J423,Inputs!$I$160:$I$168,Inputs!$J$160:$J$168)</f>
        <v>BTBRT / BT 3.750</v>
      </c>
      <c r="N424">
        <f>$J427*N429*-1</f>
        <v>0</v>
      </c>
      <c r="O424">
        <f t="shared" ref="O424:R424" si="256">$J427*O429*-1</f>
        <v>0</v>
      </c>
      <c r="P424">
        <f t="shared" si="256"/>
        <v>0</v>
      </c>
      <c r="Q424">
        <f t="shared" si="256"/>
        <v>0</v>
      </c>
      <c r="R424">
        <f t="shared" si="256"/>
        <v>-679.08313799999996</v>
      </c>
    </row>
    <row r="425" spans="3:21" x14ac:dyDescent="0.35">
      <c r="D425" t="s">
        <v>948</v>
      </c>
      <c r="I425" s="86" t="str">
        <v>Maturity Year</v>
      </c>
      <c r="J425" s="220">
        <f>_xlfn.XLOOKUP(J423,Inputs!$I$160:$I$168,Inputs!$K$160:$K$168)</f>
        <v>2031</v>
      </c>
      <c r="M425" s="67">
        <f>J427</f>
        <v>679.08313799999996</v>
      </c>
      <c r="N425" s="144">
        <f>SUM(N422:N424)</f>
        <v>679.08313799999996</v>
      </c>
      <c r="O425" s="83">
        <f t="shared" ref="O425" si="257">SUM(O422:O424)</f>
        <v>679.08313799999996</v>
      </c>
      <c r="P425" s="83">
        <f t="shared" ref="P425" si="258">SUM(P422:P424)</f>
        <v>679.08313799999996</v>
      </c>
      <c r="Q425" s="83">
        <f t="shared" ref="Q425" si="259">SUM(Q422:Q424)</f>
        <v>679.08313799999996</v>
      </c>
      <c r="R425" s="83">
        <f t="shared" ref="R425" si="260">SUM(R422:R424)</f>
        <v>0</v>
      </c>
    </row>
    <row r="426" spans="3:21" x14ac:dyDescent="0.35">
      <c r="I426" s="86" t="str">
        <v>Issue Date</v>
      </c>
      <c r="J426" s="220">
        <f>_xlfn.XLOOKUP(J423,Inputs!$I$160:$I$168,Inputs!$L$160:$L$168)</f>
        <v>0</v>
      </c>
    </row>
    <row r="427" spans="3:21" x14ac:dyDescent="0.35">
      <c r="I427" s="86" t="str">
        <v>Amount Outstanding</v>
      </c>
      <c r="J427" s="89">
        <f>_xlfn.XLOOKUP(J423,Inputs!$I$160:$I$168,Inputs!$M$160:$M$168)</f>
        <v>679.08313799999996</v>
      </c>
    </row>
    <row r="428" spans="3:21" x14ac:dyDescent="0.35">
      <c r="I428" s="86" t="str">
        <v>Issued Amount</v>
      </c>
      <c r="J428" s="89">
        <f>_xlfn.XLOOKUP(J423,Inputs!$I$160:$I$168,Inputs!$N$160:$N$168)</f>
        <v>679.08313799999996</v>
      </c>
      <c r="M428" t="s">
        <v>1223</v>
      </c>
      <c r="N428" s="223">
        <f>($J426=N$283)*1</f>
        <v>0</v>
      </c>
      <c r="O428" s="223">
        <f t="shared" ref="O428:R428" si="261">($J426=O$283)*1</f>
        <v>0</v>
      </c>
      <c r="P428" s="223">
        <f t="shared" si="261"/>
        <v>0</v>
      </c>
      <c r="Q428" s="223">
        <f t="shared" si="261"/>
        <v>0</v>
      </c>
      <c r="R428" s="223">
        <f t="shared" si="261"/>
        <v>0</v>
      </c>
    </row>
    <row r="429" spans="3:21" x14ac:dyDescent="0.35">
      <c r="I429" s="90" t="str">
        <v>Coupon</v>
      </c>
      <c r="J429" s="184">
        <f>_xlfn.XLOOKUP(J423,Inputs!$I$160:$I$168,Inputs!$O$160:$O$168)</f>
        <v>3.7499999999999999E-2</v>
      </c>
      <c r="M429" t="s">
        <v>1224</v>
      </c>
      <c r="N429" s="227">
        <f>($J425=N$283)*1</f>
        <v>0</v>
      </c>
      <c r="O429" s="227">
        <f t="shared" ref="O429:R429" si="262">($J425=O$283)*1</f>
        <v>0</v>
      </c>
      <c r="P429" s="227">
        <f t="shared" si="262"/>
        <v>0</v>
      </c>
      <c r="Q429" s="227">
        <f t="shared" si="262"/>
        <v>0</v>
      </c>
      <c r="R429" s="227">
        <f t="shared" si="262"/>
        <v>1</v>
      </c>
    </row>
    <row r="432" spans="3:21" x14ac:dyDescent="0.35">
      <c r="D432" t="s">
        <v>266</v>
      </c>
      <c r="I432" t="s">
        <v>1226</v>
      </c>
      <c r="J432" s="225">
        <f>'Cover Page'!$F$19</f>
        <v>1</v>
      </c>
      <c r="M432" t="s">
        <v>1227</v>
      </c>
      <c r="N432" s="16">
        <f>$J$322</f>
        <v>1.4999999999999999E-2</v>
      </c>
      <c r="O432" s="16">
        <f t="shared" ref="O432:R432" si="263">$J$322</f>
        <v>1.4999999999999999E-2</v>
      </c>
      <c r="P432" s="16">
        <f t="shared" si="263"/>
        <v>1.4999999999999999E-2</v>
      </c>
      <c r="Q432" s="16">
        <f t="shared" si="263"/>
        <v>1.4999999999999999E-2</v>
      </c>
      <c r="R432" s="16">
        <f t="shared" si="263"/>
        <v>1.4999999999999999E-2</v>
      </c>
    </row>
    <row r="433" spans="3:21" x14ac:dyDescent="0.35">
      <c r="M433" t="str">
        <f>"Interest Expense "&amp;J423</f>
        <v>Interest Expense 8</v>
      </c>
      <c r="N433" s="83">
        <f>IF(J432=1,AVERAGE(N422,N425)*N432,N422*N432)</f>
        <v>10.186247069999999</v>
      </c>
      <c r="O433" s="83">
        <f t="shared" ref="O433" si="264">IF(K432=1,AVERAGE(O422,O425)*O432,O422*O432)</f>
        <v>10.186247069999999</v>
      </c>
      <c r="P433" s="83">
        <f t="shared" ref="P433" si="265">IF(L432=1,AVERAGE(P422,P425)*P432,P422*P432)</f>
        <v>10.186247069999999</v>
      </c>
      <c r="Q433" s="83">
        <f t="shared" ref="Q433" si="266">IF(M432=1,AVERAGE(Q422,Q425)*Q432,Q422*Q432)</f>
        <v>10.186247069999999</v>
      </c>
      <c r="R433" s="83">
        <f t="shared" ref="R433" si="267">IF(N432=1,AVERAGE(R422,R425)*R432,R422*R432)</f>
        <v>10.186247069999999</v>
      </c>
    </row>
    <row r="435" spans="3:21" ht="17.5" thickBot="1" x14ac:dyDescent="0.45">
      <c r="C435" s="58" t="str">
        <f>"Debt Schedule: Part "&amp;J438</f>
        <v>Debt Schedule: Part 9</v>
      </c>
      <c r="D435" s="58"/>
      <c r="E435" s="58"/>
      <c r="F435" s="58"/>
      <c r="G435" s="58"/>
      <c r="H435" s="58"/>
      <c r="I435" s="58"/>
      <c r="J435" s="58"/>
      <c r="K435" s="58"/>
      <c r="L435" s="58"/>
      <c r="M435" s="58"/>
      <c r="N435" s="58"/>
      <c r="O435" s="58"/>
      <c r="P435" s="58"/>
      <c r="Q435" s="58"/>
      <c r="R435" s="58"/>
      <c r="S435" s="58"/>
      <c r="T435" s="58"/>
      <c r="U435" s="58"/>
    </row>
    <row r="436" spans="3:21" ht="15" thickTop="1" x14ac:dyDescent="0.35"/>
    <row r="437" spans="3:21" x14ac:dyDescent="0.35">
      <c r="D437" t="s">
        <v>1218</v>
      </c>
      <c r="N437">
        <f>M440</f>
        <v>0</v>
      </c>
      <c r="O437">
        <f t="shared" ref="O437:R437" si="268">N440</f>
        <v>721.52583400000003</v>
      </c>
      <c r="P437">
        <f t="shared" si="268"/>
        <v>721.52583400000003</v>
      </c>
      <c r="Q437">
        <f t="shared" si="268"/>
        <v>721.52583400000003</v>
      </c>
      <c r="R437">
        <f t="shared" si="268"/>
        <v>721.52583400000003</v>
      </c>
    </row>
    <row r="438" spans="3:21" x14ac:dyDescent="0.35">
      <c r="D438" t="s">
        <v>1219</v>
      </c>
      <c r="I438" s="115" t="str" cm="1">
        <f t="array" ref="I438:I444">TRANSPOSE(Inputs!$I$159:$O$159)</f>
        <v>S/N</v>
      </c>
      <c r="J438" s="218">
        <v>9</v>
      </c>
      <c r="N438">
        <f>$J443*N443</f>
        <v>721.52583400000003</v>
      </c>
      <c r="O438">
        <f t="shared" ref="O438:R438" si="269">$J443*O443</f>
        <v>0</v>
      </c>
      <c r="P438">
        <f t="shared" si="269"/>
        <v>0</v>
      </c>
      <c r="Q438">
        <f t="shared" si="269"/>
        <v>0</v>
      </c>
      <c r="R438">
        <f t="shared" si="269"/>
        <v>0</v>
      </c>
    </row>
    <row r="439" spans="3:21" x14ac:dyDescent="0.35">
      <c r="D439" t="s">
        <v>1220</v>
      </c>
      <c r="I439" s="86" t="str">
        <v>Description</v>
      </c>
      <c r="J439" s="89" t="str">
        <f>_xlfn.XLOOKUP(J438,Inputs!$I$160:$I$168,Inputs!$J$160:$J$168)</f>
        <v>BTBTF / BT 3.875</v>
      </c>
      <c r="N439">
        <f>$J442*N444*-1</f>
        <v>0</v>
      </c>
      <c r="O439">
        <f t="shared" ref="O439:R439" si="270">$J442*O444*-1</f>
        <v>0</v>
      </c>
      <c r="P439">
        <f t="shared" si="270"/>
        <v>0</v>
      </c>
      <c r="Q439">
        <f t="shared" si="270"/>
        <v>0</v>
      </c>
      <c r="R439">
        <f t="shared" si="270"/>
        <v>-721.52583400000003</v>
      </c>
    </row>
    <row r="440" spans="3:21" x14ac:dyDescent="0.35">
      <c r="D440" t="s">
        <v>948</v>
      </c>
      <c r="I440" s="86" t="str">
        <v>Maturity Year</v>
      </c>
      <c r="J440" s="220">
        <f>_xlfn.XLOOKUP(J438,Inputs!$I$160:$I$168,Inputs!$K$160:$K$168)</f>
        <v>2031</v>
      </c>
      <c r="M440" s="75">
        <v>0</v>
      </c>
      <c r="N440" s="144">
        <f>SUM(N437:N439)</f>
        <v>721.52583400000003</v>
      </c>
      <c r="O440" s="83">
        <f t="shared" ref="O440" si="271">SUM(O437:O439)</f>
        <v>721.52583400000003</v>
      </c>
      <c r="P440" s="83">
        <f t="shared" ref="P440" si="272">SUM(P437:P439)</f>
        <v>721.52583400000003</v>
      </c>
      <c r="Q440" s="83">
        <f t="shared" ref="Q440" si="273">SUM(Q437:Q439)</f>
        <v>721.52583400000003</v>
      </c>
      <c r="R440" s="83">
        <f t="shared" ref="R440" si="274">SUM(R437:R439)</f>
        <v>0</v>
      </c>
    </row>
    <row r="441" spans="3:21" x14ac:dyDescent="0.35">
      <c r="I441" s="86" t="str">
        <v>Issue Date</v>
      </c>
      <c r="J441" s="220">
        <f>_xlfn.XLOOKUP(J438,Inputs!$I$160:$I$168,Inputs!$L$160:$L$168)</f>
        <v>2027</v>
      </c>
    </row>
    <row r="442" spans="3:21" x14ac:dyDescent="0.35">
      <c r="I442" s="86" t="str">
        <v>Amount Outstanding</v>
      </c>
      <c r="J442" s="89">
        <f>_xlfn.XLOOKUP(J438,Inputs!$I$160:$I$168,Inputs!$M$160:$M$168)</f>
        <v>721.52583400000003</v>
      </c>
    </row>
    <row r="443" spans="3:21" x14ac:dyDescent="0.35">
      <c r="I443" s="86" t="str">
        <v>Issued Amount</v>
      </c>
      <c r="J443" s="89">
        <f>_xlfn.XLOOKUP(J438,Inputs!$I$160:$I$168,Inputs!$N$160:$N$168)</f>
        <v>721.52583400000003</v>
      </c>
      <c r="M443" t="s">
        <v>1223</v>
      </c>
      <c r="N443" s="223">
        <f>($J441=N$283)*1</f>
        <v>1</v>
      </c>
      <c r="O443" s="223">
        <f t="shared" ref="O443:R443" si="275">($J441=O$283)*1</f>
        <v>0</v>
      </c>
      <c r="P443" s="223">
        <f t="shared" si="275"/>
        <v>0</v>
      </c>
      <c r="Q443" s="223">
        <f t="shared" si="275"/>
        <v>0</v>
      </c>
      <c r="R443" s="223">
        <f t="shared" si="275"/>
        <v>0</v>
      </c>
    </row>
    <row r="444" spans="3:21" x14ac:dyDescent="0.35">
      <c r="I444" s="90" t="str">
        <v>Coupon</v>
      </c>
      <c r="J444" s="184">
        <f>_xlfn.XLOOKUP(J438,Inputs!$I$160:$I$168,Inputs!$O$160:$O$168)</f>
        <v>3.875E-2</v>
      </c>
      <c r="M444" t="s">
        <v>1224</v>
      </c>
      <c r="N444" s="227">
        <f>($J440=N$283)*1</f>
        <v>0</v>
      </c>
      <c r="O444" s="227">
        <f t="shared" ref="O444:R444" si="276">($J440=O$283)*1</f>
        <v>0</v>
      </c>
      <c r="P444" s="227">
        <f t="shared" si="276"/>
        <v>0</v>
      </c>
      <c r="Q444" s="227">
        <f t="shared" si="276"/>
        <v>0</v>
      </c>
      <c r="R444" s="227">
        <f t="shared" si="276"/>
        <v>1</v>
      </c>
    </row>
    <row r="447" spans="3:21" x14ac:dyDescent="0.35">
      <c r="D447" t="s">
        <v>266</v>
      </c>
      <c r="I447" t="s">
        <v>1226</v>
      </c>
      <c r="J447" s="225">
        <f>'Cover Page'!$F$19</f>
        <v>1</v>
      </c>
      <c r="M447" t="s">
        <v>1227</v>
      </c>
      <c r="N447" s="16">
        <f>$J$322</f>
        <v>1.4999999999999999E-2</v>
      </c>
      <c r="O447" s="16">
        <f t="shared" ref="O447:R447" si="277">$J$322</f>
        <v>1.4999999999999999E-2</v>
      </c>
      <c r="P447" s="16">
        <f t="shared" si="277"/>
        <v>1.4999999999999999E-2</v>
      </c>
      <c r="Q447" s="16">
        <f t="shared" si="277"/>
        <v>1.4999999999999999E-2</v>
      </c>
      <c r="R447" s="16">
        <f t="shared" si="277"/>
        <v>1.4999999999999999E-2</v>
      </c>
    </row>
    <row r="448" spans="3:21" x14ac:dyDescent="0.35">
      <c r="M448" t="str">
        <f>"Interest Expense "&amp;J438</f>
        <v>Interest Expense 9</v>
      </c>
      <c r="N448" s="83">
        <f>IF(J447=1,AVERAGE(N437,N440)*N447,N437*N447)</f>
        <v>5.4114437549999996</v>
      </c>
      <c r="O448" s="83">
        <f t="shared" ref="O448" si="278">IF(K447=1,AVERAGE(O437,O440)*O447,O437*O447)</f>
        <v>10.822887509999999</v>
      </c>
      <c r="P448" s="83">
        <f t="shared" ref="P448" si="279">IF(L447=1,AVERAGE(P437,P440)*P447,P437*P447)</f>
        <v>10.822887509999999</v>
      </c>
      <c r="Q448" s="83">
        <f t="shared" ref="Q448" si="280">IF(M447=1,AVERAGE(Q437,Q440)*Q447,Q437*Q447)</f>
        <v>10.822887509999999</v>
      </c>
      <c r="R448" s="83">
        <f t="shared" ref="R448" si="281">IF(N447=1,AVERAGE(R437,R440)*R447,R437*R447)</f>
        <v>10.822887509999999</v>
      </c>
    </row>
    <row r="450" spans="3:18" ht="18.5" x14ac:dyDescent="0.45">
      <c r="C450" s="64" t="s">
        <v>1249</v>
      </c>
    </row>
    <row r="452" spans="3:18" x14ac:dyDescent="0.35">
      <c r="D452" s="17" t="s">
        <v>1247</v>
      </c>
      <c r="N452" s="17"/>
    </row>
    <row r="453" spans="3:18" x14ac:dyDescent="0.35">
      <c r="D453" t="s">
        <v>997</v>
      </c>
      <c r="N453">
        <f>M464</f>
        <v>359</v>
      </c>
      <c r="O453">
        <f t="shared" ref="O453:R453" ca="1" si="282">N464</f>
        <v>1358.0905344265529</v>
      </c>
      <c r="P453">
        <f t="shared" ca="1" si="282"/>
        <v>982.4473587677827</v>
      </c>
      <c r="Q453">
        <f t="shared" ca="1" si="282"/>
        <v>1032.5983830200362</v>
      </c>
      <c r="R453">
        <f t="shared" ca="1" si="282"/>
        <v>673.94703286821891</v>
      </c>
    </row>
    <row r="454" spans="3:18" x14ac:dyDescent="0.35">
      <c r="D454" t="str">
        <f>D115</f>
        <v>Operating Cashflows</v>
      </c>
      <c r="N454">
        <f ca="1">N115</f>
        <v>7066.7163507757277</v>
      </c>
      <c r="O454">
        <f ca="1">O115</f>
        <v>6815.2519065166762</v>
      </c>
      <c r="P454">
        <f ca="1">P115</f>
        <v>6913.1336891749925</v>
      </c>
      <c r="Q454">
        <f ca="1">Q115</f>
        <v>6972.6118749079751</v>
      </c>
      <c r="R454">
        <f ca="1">R115</f>
        <v>7144.5868602076544</v>
      </c>
    </row>
    <row r="455" spans="3:18" x14ac:dyDescent="0.35">
      <c r="D455" t="str">
        <f>D122</f>
        <v>Investing Cashflows</v>
      </c>
      <c r="N455">
        <f>N122</f>
        <v>-4958.7827733924387</v>
      </c>
      <c r="O455">
        <f>O122</f>
        <v>-4757.1148372400085</v>
      </c>
      <c r="P455">
        <f>P122</f>
        <v>-4563.6485018292378</v>
      </c>
      <c r="Q455">
        <f>Q122</f>
        <v>-4378.0502175834854</v>
      </c>
      <c r="R455">
        <f>R122</f>
        <v>-4200</v>
      </c>
    </row>
    <row r="456" spans="3:18" x14ac:dyDescent="0.35">
      <c r="D456" t="str">
        <f>D125</f>
        <v>New Loan Issues</v>
      </c>
      <c r="N456">
        <f t="shared" ref="N456:R457" si="283">N125</f>
        <v>721.52583400000003</v>
      </c>
      <c r="O456">
        <f t="shared" si="283"/>
        <v>0</v>
      </c>
      <c r="P456">
        <f t="shared" si="283"/>
        <v>0</v>
      </c>
      <c r="Q456">
        <f t="shared" si="283"/>
        <v>0</v>
      </c>
      <c r="R456">
        <f t="shared" si="283"/>
        <v>0</v>
      </c>
    </row>
    <row r="457" spans="3:18" x14ac:dyDescent="0.35">
      <c r="D457" t="str">
        <f>D126</f>
        <v>Loan Repayments</v>
      </c>
      <c r="N457">
        <f t="shared" si="283"/>
        <v>-976.18201099999999</v>
      </c>
      <c r="O457">
        <f t="shared" si="283"/>
        <v>-1553.9677729999999</v>
      </c>
      <c r="P457">
        <f t="shared" si="283"/>
        <v>-1393.1273169999999</v>
      </c>
      <c r="Q457">
        <f t="shared" si="283"/>
        <v>-2019.819956</v>
      </c>
      <c r="R457">
        <f t="shared" si="283"/>
        <v>-1400.608972</v>
      </c>
    </row>
    <row r="458" spans="3:18" x14ac:dyDescent="0.35">
      <c r="D458" t="str">
        <f t="shared" ref="D458:D463" si="284">D128</f>
        <v>Share Capital</v>
      </c>
      <c r="N458">
        <f t="shared" ref="N458:R463" si="285">N128</f>
        <v>0</v>
      </c>
      <c r="O458">
        <f t="shared" si="285"/>
        <v>0</v>
      </c>
      <c r="P458">
        <f t="shared" si="285"/>
        <v>0</v>
      </c>
      <c r="Q458">
        <f t="shared" si="285"/>
        <v>0</v>
      </c>
      <c r="R458">
        <f t="shared" si="285"/>
        <v>0</v>
      </c>
    </row>
    <row r="459" spans="3:18" x14ac:dyDescent="0.35">
      <c r="D459" t="str">
        <f t="shared" si="284"/>
        <v>Share Premium</v>
      </c>
      <c r="N459">
        <f t="shared" si="285"/>
        <v>0</v>
      </c>
      <c r="O459">
        <f t="shared" si="285"/>
        <v>0</v>
      </c>
      <c r="P459">
        <f t="shared" si="285"/>
        <v>0</v>
      </c>
      <c r="Q459">
        <f t="shared" si="285"/>
        <v>0</v>
      </c>
      <c r="R459">
        <f t="shared" si="285"/>
        <v>0</v>
      </c>
    </row>
    <row r="460" spans="3:18" x14ac:dyDescent="0.35">
      <c r="D460" t="str">
        <f t="shared" si="284"/>
        <v>Own Shares</v>
      </c>
      <c r="N460">
        <f t="shared" si="285"/>
        <v>0</v>
      </c>
      <c r="O460">
        <f t="shared" si="285"/>
        <v>0</v>
      </c>
      <c r="P460">
        <f t="shared" si="285"/>
        <v>0</v>
      </c>
      <c r="Q460">
        <f t="shared" si="285"/>
        <v>0</v>
      </c>
      <c r="R460">
        <f t="shared" si="285"/>
        <v>0</v>
      </c>
    </row>
    <row r="461" spans="3:18" x14ac:dyDescent="0.35">
      <c r="D461" t="str">
        <f t="shared" si="284"/>
        <v>Merger Reserves</v>
      </c>
      <c r="N461">
        <f t="shared" si="285"/>
        <v>0</v>
      </c>
      <c r="O461">
        <f t="shared" si="285"/>
        <v>0</v>
      </c>
      <c r="P461">
        <f t="shared" si="285"/>
        <v>0</v>
      </c>
      <c r="Q461">
        <f t="shared" si="285"/>
        <v>0</v>
      </c>
      <c r="R461">
        <f t="shared" si="285"/>
        <v>0</v>
      </c>
    </row>
    <row r="462" spans="3:18" x14ac:dyDescent="0.35">
      <c r="D462" t="str">
        <f t="shared" si="284"/>
        <v>Other Reserves</v>
      </c>
      <c r="N462">
        <f t="shared" si="285"/>
        <v>0</v>
      </c>
      <c r="O462">
        <f t="shared" si="285"/>
        <v>0</v>
      </c>
      <c r="P462">
        <f t="shared" si="285"/>
        <v>0</v>
      </c>
      <c r="Q462">
        <f t="shared" si="285"/>
        <v>0</v>
      </c>
      <c r="R462">
        <f t="shared" si="285"/>
        <v>0</v>
      </c>
    </row>
    <row r="463" spans="3:18" x14ac:dyDescent="0.35">
      <c r="D463" t="str">
        <f t="shared" si="284"/>
        <v>Dividends</v>
      </c>
      <c r="N463">
        <f t="shared" si="285"/>
        <v>-854.18686595673614</v>
      </c>
      <c r="O463">
        <f t="shared" si="285"/>
        <v>-879.81247193543811</v>
      </c>
      <c r="P463">
        <f t="shared" si="285"/>
        <v>-906.20684609350144</v>
      </c>
      <c r="Q463">
        <f t="shared" si="285"/>
        <v>-933.39305147630648</v>
      </c>
      <c r="R463">
        <f t="shared" si="285"/>
        <v>-961.39484302059566</v>
      </c>
    </row>
    <row r="464" spans="3:18" x14ac:dyDescent="0.35">
      <c r="D464" s="17" t="s">
        <v>1248</v>
      </c>
      <c r="M464" s="67">
        <f>M138</f>
        <v>359</v>
      </c>
      <c r="N464" s="18">
        <f ca="1">SUM(N453:N463)</f>
        <v>1358.0905344265529</v>
      </c>
      <c r="O464" s="18">
        <f t="shared" ref="O464:R464" ca="1" si="286">SUM(O453:O463)</f>
        <v>982.4473587677827</v>
      </c>
      <c r="P464" s="18">
        <f t="shared" ca="1" si="286"/>
        <v>1032.5983830200362</v>
      </c>
      <c r="Q464" s="18">
        <f t="shared" ca="1" si="286"/>
        <v>673.94703286821891</v>
      </c>
      <c r="R464" s="18">
        <f t="shared" ca="1" si="286"/>
        <v>1256.530078055278</v>
      </c>
    </row>
    <row r="465" spans="3:18" x14ac:dyDescent="0.35">
      <c r="D465" s="70" t="s">
        <v>1250</v>
      </c>
      <c r="N465" s="142"/>
      <c r="O465" s="142"/>
      <c r="P465" s="142"/>
      <c r="Q465" s="142"/>
      <c r="R465" s="142"/>
    </row>
    <row r="467" spans="3:18" x14ac:dyDescent="0.35">
      <c r="C467" s="17" t="s">
        <v>1254</v>
      </c>
    </row>
    <row r="468" spans="3:18" x14ac:dyDescent="0.35">
      <c r="D468" t="s">
        <v>997</v>
      </c>
      <c r="N468">
        <f>M470</f>
        <v>0</v>
      </c>
      <c r="O468">
        <f t="shared" ref="O468:R468" ca="1" si="287">N470</f>
        <v>0</v>
      </c>
      <c r="P468">
        <f t="shared" ca="1" si="287"/>
        <v>0</v>
      </c>
      <c r="Q468">
        <f t="shared" ca="1" si="287"/>
        <v>0</v>
      </c>
      <c r="R468">
        <f t="shared" ca="1" si="287"/>
        <v>0</v>
      </c>
    </row>
    <row r="469" spans="3:18" x14ac:dyDescent="0.35">
      <c r="D469" t="s">
        <v>996</v>
      </c>
      <c r="N469">
        <f ca="1">-MIN(N464,N468)</f>
        <v>0</v>
      </c>
      <c r="O469">
        <f t="shared" ref="O469:R469" ca="1" si="288">-MIN(O464,O468)</f>
        <v>0</v>
      </c>
      <c r="P469">
        <f t="shared" ca="1" si="288"/>
        <v>0</v>
      </c>
      <c r="Q469">
        <f t="shared" ca="1" si="288"/>
        <v>0</v>
      </c>
      <c r="R469">
        <f t="shared" ca="1" si="288"/>
        <v>0</v>
      </c>
    </row>
    <row r="470" spans="3:18" x14ac:dyDescent="0.35">
      <c r="D470" t="s">
        <v>1251</v>
      </c>
      <c r="M470" s="67">
        <f>M73</f>
        <v>0</v>
      </c>
      <c r="N470" s="144">
        <f ca="1">SUM(N468:N469)</f>
        <v>0</v>
      </c>
      <c r="O470" s="83">
        <f t="shared" ref="O470:R470" ca="1" si="289">SUM(O468:O469)</f>
        <v>0</v>
      </c>
      <c r="P470" s="83">
        <f t="shared" ca="1" si="289"/>
        <v>0</v>
      </c>
      <c r="Q470" s="83">
        <f t="shared" ca="1" si="289"/>
        <v>0</v>
      </c>
      <c r="R470" s="83">
        <f t="shared" ca="1" si="289"/>
        <v>0</v>
      </c>
    </row>
    <row r="473" spans="3:18" x14ac:dyDescent="0.35">
      <c r="C473" t="s">
        <v>1255</v>
      </c>
      <c r="D473" t="s">
        <v>1256</v>
      </c>
      <c r="E473" s="77" t="s">
        <v>711</v>
      </c>
      <c r="F473" s="152">
        <f>Inputs!F154</f>
        <v>0</v>
      </c>
      <c r="N473">
        <f>$F$473</f>
        <v>0</v>
      </c>
      <c r="O473">
        <f t="shared" ref="O473:R473" si="290">$F$473</f>
        <v>0</v>
      </c>
      <c r="P473">
        <f t="shared" si="290"/>
        <v>0</v>
      </c>
      <c r="Q473">
        <f t="shared" si="290"/>
        <v>0</v>
      </c>
      <c r="R473">
        <f t="shared" si="290"/>
        <v>0</v>
      </c>
    </row>
    <row r="474" spans="3:18" x14ac:dyDescent="0.35">
      <c r="D474" t="s">
        <v>266</v>
      </c>
      <c r="K474" t="s">
        <v>1225</v>
      </c>
      <c r="L474" s="224">
        <f>circularity</f>
        <v>1</v>
      </c>
      <c r="N474" s="83">
        <f ca="1">IF(L474=1,AVERAGE(N468,N470)*N473,N468*N473)</f>
        <v>0</v>
      </c>
      <c r="O474" s="83">
        <f t="shared" ref="O474:R474" ca="1" si="291">IF(M474=1,AVERAGE(O468,O470)*O473,O468*O473)</f>
        <v>0</v>
      </c>
      <c r="P474" s="83">
        <f t="shared" ca="1" si="291"/>
        <v>0</v>
      </c>
      <c r="Q474" s="83">
        <f t="shared" ca="1" si="291"/>
        <v>0</v>
      </c>
      <c r="R474" s="83">
        <f t="shared" ca="1" si="291"/>
        <v>0</v>
      </c>
    </row>
    <row r="477" spans="3:18" x14ac:dyDescent="0.35">
      <c r="C477" s="17" t="s">
        <v>1258</v>
      </c>
    </row>
    <row r="478" spans="3:18" x14ac:dyDescent="0.35">
      <c r="D478" t="s">
        <v>997</v>
      </c>
      <c r="N478">
        <f>M480</f>
        <v>2100</v>
      </c>
      <c r="O478">
        <f t="shared" ref="O478:R478" ca="1" si="292">N480</f>
        <v>2100</v>
      </c>
      <c r="P478">
        <f t="shared" ca="1" si="292"/>
        <v>2100</v>
      </c>
      <c r="Q478">
        <f t="shared" ca="1" si="292"/>
        <v>2100</v>
      </c>
      <c r="R478">
        <f t="shared" ca="1" si="292"/>
        <v>2100</v>
      </c>
    </row>
    <row r="479" spans="3:18" x14ac:dyDescent="0.35">
      <c r="D479" t="s">
        <v>996</v>
      </c>
      <c r="N479">
        <f ca="1">-N469</f>
        <v>0</v>
      </c>
      <c r="O479">
        <f t="shared" ref="O479:R479" ca="1" si="293">-O469</f>
        <v>0</v>
      </c>
      <c r="P479">
        <f t="shared" ca="1" si="293"/>
        <v>0</v>
      </c>
      <c r="Q479">
        <f t="shared" ca="1" si="293"/>
        <v>0</v>
      </c>
      <c r="R479">
        <f t="shared" ca="1" si="293"/>
        <v>0</v>
      </c>
    </row>
    <row r="480" spans="3:18" x14ac:dyDescent="0.35">
      <c r="D480" t="s">
        <v>1251</v>
      </c>
      <c r="M480" s="67">
        <f>Inputs!F155</f>
        <v>2100</v>
      </c>
      <c r="N480" s="144">
        <f ca="1">SUM(N478:N479)</f>
        <v>2100</v>
      </c>
      <c r="O480" s="83">
        <f t="shared" ref="O480" ca="1" si="294">SUM(O478:O479)</f>
        <v>2100</v>
      </c>
      <c r="P480" s="83">
        <f t="shared" ref="P480" ca="1" si="295">SUM(P478:P479)</f>
        <v>2100</v>
      </c>
      <c r="Q480" s="83">
        <f t="shared" ref="Q480" ca="1" si="296">SUM(Q478:Q479)</f>
        <v>2100</v>
      </c>
      <c r="R480" s="83">
        <f t="shared" ref="R480" ca="1" si="297">SUM(R478:R479)</f>
        <v>2100</v>
      </c>
    </row>
    <row r="483" spans="3:18" x14ac:dyDescent="0.35">
      <c r="C483" t="s">
        <v>1255</v>
      </c>
      <c r="D483" t="s">
        <v>1256</v>
      </c>
      <c r="E483" s="77" t="s">
        <v>711</v>
      </c>
      <c r="F483" s="152">
        <f>Inputs!F164</f>
        <v>4.2500000000000003E-2</v>
      </c>
      <c r="N483" s="16">
        <f>$F$483</f>
        <v>4.2500000000000003E-2</v>
      </c>
      <c r="O483" s="16">
        <f t="shared" ref="O483:R483" si="298">$F$483</f>
        <v>4.2500000000000003E-2</v>
      </c>
      <c r="P483" s="16">
        <f t="shared" si="298"/>
        <v>4.2500000000000003E-2</v>
      </c>
      <c r="Q483" s="16">
        <f t="shared" si="298"/>
        <v>4.2500000000000003E-2</v>
      </c>
      <c r="R483" s="16">
        <f t="shared" si="298"/>
        <v>4.2500000000000003E-2</v>
      </c>
    </row>
    <row r="484" spans="3:18" x14ac:dyDescent="0.35">
      <c r="D484" t="s">
        <v>266</v>
      </c>
      <c r="K484" t="s">
        <v>1225</v>
      </c>
      <c r="L484" s="224">
        <f>circularity</f>
        <v>1</v>
      </c>
      <c r="N484" s="83">
        <f ca="1">IF(L484=1,AVERAGE(N478,N480)*N483,N478*N483)</f>
        <v>89.25</v>
      </c>
      <c r="O484" s="83">
        <f t="shared" ref="O484" ca="1" si="299">IF(M484=1,AVERAGE(O478,O480)*O483,O478*O483)</f>
        <v>89.25</v>
      </c>
      <c r="P484" s="83">
        <f t="shared" ref="P484" ca="1" si="300">IF(N484=1,AVERAGE(P478,P480)*P483,P478*P483)</f>
        <v>89.25</v>
      </c>
      <c r="Q484" s="83">
        <f t="shared" ref="Q484" ca="1" si="301">IF(O484=1,AVERAGE(Q478,Q480)*Q483,Q478*Q483)</f>
        <v>89.25</v>
      </c>
      <c r="R484" s="83">
        <f t="shared" ref="R484" ca="1" si="302">IF(P484=1,AVERAGE(R478,R480)*R483,R478*R483)</f>
        <v>89.25</v>
      </c>
    </row>
    <row r="488" spans="3:18" x14ac:dyDescent="0.35">
      <c r="D488" s="168" t="s">
        <v>1259</v>
      </c>
      <c r="E488" s="169"/>
      <c r="F488" s="169"/>
      <c r="G488" s="169"/>
      <c r="H488" s="169"/>
      <c r="I488" s="169"/>
      <c r="J488" s="169"/>
      <c r="K488" s="169"/>
      <c r="L488" s="169"/>
      <c r="M488" s="169"/>
      <c r="N488" s="169">
        <f ca="1">N484+N474</f>
        <v>89.25</v>
      </c>
      <c r="O488" s="169">
        <f t="shared" ref="O488:R488" ca="1" si="303">O484+O474</f>
        <v>89.25</v>
      </c>
      <c r="P488" s="169">
        <f t="shared" ca="1" si="303"/>
        <v>89.25</v>
      </c>
      <c r="Q488" s="169">
        <f t="shared" ca="1" si="303"/>
        <v>89.25</v>
      </c>
      <c r="R488" s="170">
        <f t="shared" ca="1" si="303"/>
        <v>89.25</v>
      </c>
    </row>
  </sheetData>
  <conditionalFormatting sqref="C5:D5">
    <cfRule type="expression" dxfId="1" priority="1">
      <formula>bs_check&lt;&gt;0</formula>
    </cfRule>
  </conditionalFormatting>
  <pageMargins left="0.70866141732283472" right="0.70866141732283472" top="0.74803149606299213" bottom="0.74803149606299213" header="0.31496062992125984" footer="0.31496062992125984"/>
  <pageSetup scale="65" fitToHeight="0" orientation="landscape" r:id="rId1"/>
  <headerFooter>
    <oddFooter xml:space="preserve">&amp;LOpeoluwa Kuku
 H00529768
&amp;F&amp;C&amp;P of &amp;N&amp;RPrinted on &amp;D 
at &amp;D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D8736-8CF6-403F-AC74-1D10438F0249}">
  <sheetPr>
    <tabColor theme="8" tint="0.39997558519241921"/>
  </sheetPr>
  <dimension ref="A1:AK99"/>
  <sheetViews>
    <sheetView zoomScale="40" zoomScaleNormal="40" workbookViewId="0">
      <selection activeCell="A18" sqref="A18"/>
    </sheetView>
  </sheetViews>
  <sheetFormatPr defaultRowHeight="14.5" x14ac:dyDescent="0.35"/>
  <cols>
    <col min="1" max="1" width="34" customWidth="1"/>
    <col min="2" max="2" width="29.81640625" customWidth="1"/>
    <col min="3" max="3" width="16.26953125" bestFit="1" customWidth="1"/>
    <col min="4" max="4" width="17.36328125" bestFit="1" customWidth="1"/>
    <col min="5" max="5" width="20" bestFit="1" customWidth="1"/>
    <col min="6" max="6" width="17.81640625" bestFit="1" customWidth="1"/>
    <col min="7" max="7" width="13.08984375" bestFit="1" customWidth="1"/>
    <col min="8" max="8" width="10.81640625" customWidth="1"/>
    <col min="10" max="10" width="15.81640625" bestFit="1" customWidth="1"/>
    <col min="11" max="14" width="8.81640625" bestFit="1" customWidth="1"/>
    <col min="15" max="15" width="11.453125" bestFit="1" customWidth="1"/>
    <col min="20" max="21" width="8.81640625" bestFit="1" customWidth="1"/>
    <col min="22" max="22" width="9.453125" bestFit="1" customWidth="1"/>
    <col min="23" max="23" width="8.81640625" bestFit="1" customWidth="1"/>
  </cols>
  <sheetData>
    <row r="1" spans="1:32" ht="15" thickBot="1" x14ac:dyDescent="0.4">
      <c r="A1" s="330" t="s">
        <v>724</v>
      </c>
      <c r="B1" s="330"/>
      <c r="C1" s="330"/>
      <c r="D1" s="330"/>
      <c r="E1" s="330"/>
    </row>
    <row r="2" spans="1:32" ht="15" thickTop="1" x14ac:dyDescent="0.35">
      <c r="A2" s="93" t="s">
        <v>725</v>
      </c>
      <c r="B2" s="93"/>
      <c r="C2" s="94" t="s">
        <v>726</v>
      </c>
      <c r="D2" s="94" t="s">
        <v>727</v>
      </c>
      <c r="E2" s="94" t="s">
        <v>728</v>
      </c>
    </row>
    <row r="3" spans="1:32" x14ac:dyDescent="0.35">
      <c r="A3" t="s">
        <v>729</v>
      </c>
      <c r="C3" s="95">
        <v>38</v>
      </c>
      <c r="D3" s="95">
        <v>18334841467.056999</v>
      </c>
      <c r="E3" s="95">
        <v>18433184760.8009</v>
      </c>
    </row>
    <row r="4" spans="1:32" x14ac:dyDescent="0.35">
      <c r="A4" t="s">
        <v>730</v>
      </c>
      <c r="C4" s="95">
        <v>0</v>
      </c>
      <c r="D4" s="95">
        <v>0</v>
      </c>
      <c r="E4" s="95">
        <v>0</v>
      </c>
    </row>
    <row r="5" spans="1:32" x14ac:dyDescent="0.35">
      <c r="A5" t="s">
        <v>731</v>
      </c>
      <c r="C5" s="95">
        <v>0</v>
      </c>
      <c r="D5" s="95">
        <v>0</v>
      </c>
      <c r="E5" s="95">
        <v>0</v>
      </c>
    </row>
    <row r="6" spans="1:32" x14ac:dyDescent="0.35">
      <c r="A6" t="s">
        <v>732</v>
      </c>
      <c r="C6" s="95">
        <v>0</v>
      </c>
      <c r="D6" s="95">
        <v>0</v>
      </c>
      <c r="E6" s="95">
        <v>0</v>
      </c>
    </row>
    <row r="7" spans="1:32" x14ac:dyDescent="0.35">
      <c r="A7" t="s">
        <v>733</v>
      </c>
      <c r="C7" s="95">
        <v>1</v>
      </c>
      <c r="D7" s="95" t="str">
        <f>"0"</f>
        <v>0</v>
      </c>
      <c r="E7" s="95">
        <v>1782593237.0064001</v>
      </c>
    </row>
    <row r="8" spans="1:32" ht="15" thickBot="1" x14ac:dyDescent="0.4">
      <c r="A8" s="96" t="s">
        <v>585</v>
      </c>
      <c r="B8" s="96"/>
      <c r="C8" s="97">
        <v>39</v>
      </c>
      <c r="D8" s="97">
        <v>18334841467.056999</v>
      </c>
      <c r="E8" s="97">
        <v>20215777997.807301</v>
      </c>
    </row>
    <row r="9" spans="1:32" ht="15" thickTop="1" x14ac:dyDescent="0.35">
      <c r="A9" t="s">
        <v>734</v>
      </c>
      <c r="C9" s="95">
        <v>273</v>
      </c>
      <c r="D9" s="95" t="str">
        <f>"0"</f>
        <v>0</v>
      </c>
      <c r="E9" s="95">
        <v>48226041321.752998</v>
      </c>
    </row>
    <row r="13" spans="1:32" x14ac:dyDescent="0.35">
      <c r="A13" s="17" t="s">
        <v>729</v>
      </c>
      <c r="B13" s="17"/>
    </row>
    <row r="14" spans="1:32" x14ac:dyDescent="0.35">
      <c r="A14" s="331" t="s">
        <v>729</v>
      </c>
      <c r="B14" s="331"/>
      <c r="C14" s="331"/>
      <c r="D14" s="331"/>
      <c r="E14" s="331"/>
      <c r="F14" s="331"/>
      <c r="G14" s="331"/>
      <c r="H14" s="331"/>
      <c r="I14" s="331"/>
      <c r="J14" s="331"/>
      <c r="K14" s="331"/>
      <c r="L14" s="331"/>
      <c r="M14" s="331"/>
      <c r="N14" s="331"/>
      <c r="O14" s="331"/>
      <c r="P14" s="331"/>
      <c r="Q14" s="331"/>
      <c r="R14" s="331"/>
      <c r="S14" s="331"/>
      <c r="T14" s="331"/>
      <c r="U14" s="331"/>
      <c r="V14" s="331"/>
      <c r="W14" s="331"/>
      <c r="X14" s="331"/>
      <c r="Y14" s="331"/>
      <c r="Z14" s="331"/>
      <c r="AA14" s="331"/>
      <c r="AB14" s="331"/>
      <c r="AC14" s="331"/>
      <c r="AD14" s="331"/>
      <c r="AE14" s="331"/>
      <c r="AF14" s="331"/>
    </row>
    <row r="15" spans="1:32" x14ac:dyDescent="0.35">
      <c r="A15" s="98" t="s">
        <v>735</v>
      </c>
      <c r="B15" s="98"/>
      <c r="C15" s="99" t="s">
        <v>726</v>
      </c>
      <c r="D15" s="99" t="s">
        <v>736</v>
      </c>
      <c r="E15" s="99" t="s">
        <v>737</v>
      </c>
    </row>
    <row r="16" spans="1:32" x14ac:dyDescent="0.35">
      <c r="A16" s="100" t="s">
        <v>738</v>
      </c>
      <c r="B16" s="100"/>
      <c r="C16" s="101">
        <v>1</v>
      </c>
      <c r="D16" s="101">
        <v>976182010.74160004</v>
      </c>
      <c r="E16" s="101">
        <v>976182010.74160004</v>
      </c>
    </row>
    <row r="17" spans="1:37" x14ac:dyDescent="0.35">
      <c r="A17" s="102" t="s">
        <v>48</v>
      </c>
      <c r="B17" s="209" t="s">
        <v>988</v>
      </c>
      <c r="C17" s="102" t="s">
        <v>739</v>
      </c>
      <c r="D17" s="102" t="s">
        <v>740</v>
      </c>
      <c r="E17" s="103" t="s">
        <v>741</v>
      </c>
      <c r="F17" s="103" t="s">
        <v>742</v>
      </c>
      <c r="G17" s="103" t="s">
        <v>743</v>
      </c>
      <c r="H17" s="103"/>
      <c r="I17" s="102" t="s">
        <v>744</v>
      </c>
      <c r="J17" s="102" t="s">
        <v>745</v>
      </c>
      <c r="K17" s="102" t="s">
        <v>746</v>
      </c>
      <c r="L17" s="102" t="s">
        <v>747</v>
      </c>
      <c r="M17" s="102" t="s">
        <v>748</v>
      </c>
      <c r="N17" s="102" t="s">
        <v>749</v>
      </c>
      <c r="O17" s="102" t="s">
        <v>750</v>
      </c>
      <c r="P17" s="102" t="s">
        <v>751</v>
      </c>
      <c r="Q17" s="102" t="s">
        <v>752</v>
      </c>
      <c r="R17" s="102" t="s">
        <v>753</v>
      </c>
      <c r="S17" s="102" t="s">
        <v>754</v>
      </c>
      <c r="T17" s="103" t="s">
        <v>755</v>
      </c>
      <c r="U17" s="103" t="s">
        <v>756</v>
      </c>
      <c r="V17" s="103" t="s">
        <v>757</v>
      </c>
      <c r="W17" s="103" t="s">
        <v>758</v>
      </c>
      <c r="X17" s="102" t="s">
        <v>759</v>
      </c>
      <c r="Y17" s="102" t="s">
        <v>760</v>
      </c>
      <c r="Z17" s="102" t="s">
        <v>761</v>
      </c>
      <c r="AA17" s="103" t="s">
        <v>762</v>
      </c>
      <c r="AB17" s="102" t="s">
        <v>763</v>
      </c>
      <c r="AC17" s="102" t="s">
        <v>764</v>
      </c>
      <c r="AD17" s="102" t="s">
        <v>765</v>
      </c>
      <c r="AE17" s="102" t="s">
        <v>766</v>
      </c>
      <c r="AF17" s="102" t="s">
        <v>767</v>
      </c>
      <c r="AG17" s="102" t="s">
        <v>768</v>
      </c>
      <c r="AH17" s="102" t="s">
        <v>769</v>
      </c>
      <c r="AI17" s="102" t="s">
        <v>770</v>
      </c>
      <c r="AJ17" s="102" t="s">
        <v>771</v>
      </c>
      <c r="AK17" s="102" t="s">
        <v>772</v>
      </c>
    </row>
    <row r="18" spans="1:37" x14ac:dyDescent="0.35">
      <c r="A18" t="s">
        <v>773</v>
      </c>
      <c r="B18" s="112">
        <f t="shared" ref="B18:B51" si="0">E18*(AA18/100)</f>
        <v>964048068.60327005</v>
      </c>
      <c r="C18" t="s">
        <v>774</v>
      </c>
      <c r="D18" s="104">
        <v>46561</v>
      </c>
      <c r="E18" s="105">
        <v>976182011</v>
      </c>
      <c r="F18" s="105">
        <v>976182011</v>
      </c>
      <c r="G18" s="106">
        <v>1.5</v>
      </c>
      <c r="H18" s="106"/>
      <c r="I18" t="s">
        <v>775</v>
      </c>
      <c r="J18" t="s">
        <v>776</v>
      </c>
      <c r="K18" t="s">
        <v>777</v>
      </c>
      <c r="L18" t="s">
        <v>778</v>
      </c>
      <c r="M18" t="s">
        <v>779</v>
      </c>
      <c r="N18" t="s">
        <v>774</v>
      </c>
      <c r="O18" s="214">
        <v>42909</v>
      </c>
      <c r="P18" t="s">
        <v>780</v>
      </c>
      <c r="Q18" t="s">
        <v>780</v>
      </c>
      <c r="R18" t="s">
        <v>781</v>
      </c>
      <c r="S18" t="s">
        <v>782</v>
      </c>
      <c r="T18" s="107">
        <v>0.69494599999999995</v>
      </c>
      <c r="U18" s="107">
        <v>0.69770100000000002</v>
      </c>
      <c r="V18" s="107">
        <v>61.864224</v>
      </c>
      <c r="W18" s="107">
        <v>3.2781859999999998</v>
      </c>
      <c r="X18" t="s">
        <v>783</v>
      </c>
      <c r="Y18" t="s">
        <v>784</v>
      </c>
      <c r="Z18" s="104">
        <v>46561</v>
      </c>
      <c r="AA18" s="107">
        <v>98.757000000000005</v>
      </c>
      <c r="AB18" t="s">
        <v>785</v>
      </c>
      <c r="AC18" t="s">
        <v>774</v>
      </c>
      <c r="AD18" t="s">
        <v>782</v>
      </c>
      <c r="AE18" t="s">
        <v>786</v>
      </c>
      <c r="AF18" t="s">
        <v>787</v>
      </c>
      <c r="AG18" t="s">
        <v>60</v>
      </c>
      <c r="AH18" t="s">
        <v>728</v>
      </c>
      <c r="AI18" t="s">
        <v>782</v>
      </c>
      <c r="AJ18" t="s">
        <v>788</v>
      </c>
      <c r="AK18" t="s">
        <v>785</v>
      </c>
    </row>
    <row r="19" spans="1:37" x14ac:dyDescent="0.35">
      <c r="A19" t="s">
        <v>789</v>
      </c>
      <c r="B19" s="112">
        <f t="shared" si="0"/>
        <v>412920746.08728999</v>
      </c>
      <c r="C19" t="s">
        <v>774</v>
      </c>
      <c r="D19" s="104">
        <v>47022</v>
      </c>
      <c r="E19" s="105">
        <v>424426961</v>
      </c>
      <c r="F19" s="105">
        <v>424426961</v>
      </c>
      <c r="G19" s="106">
        <v>2.125</v>
      </c>
      <c r="H19" s="106"/>
      <c r="I19" t="s">
        <v>775</v>
      </c>
      <c r="J19" t="s">
        <v>776</v>
      </c>
      <c r="K19" t="s">
        <v>777</v>
      </c>
      <c r="L19" t="s">
        <v>790</v>
      </c>
      <c r="M19" t="s">
        <v>791</v>
      </c>
      <c r="N19" t="s">
        <v>774</v>
      </c>
      <c r="O19" s="214">
        <v>43369</v>
      </c>
      <c r="P19" t="s">
        <v>780</v>
      </c>
      <c r="Q19" t="s">
        <v>780</v>
      </c>
      <c r="R19" t="s">
        <v>781</v>
      </c>
      <c r="S19" t="s">
        <v>782</v>
      </c>
      <c r="T19" s="107">
        <v>1.9144289999999999</v>
      </c>
      <c r="U19" s="107">
        <v>1.91605</v>
      </c>
      <c r="V19" s="107">
        <v>48.092759999999998</v>
      </c>
      <c r="W19" s="107">
        <v>3.5741139999999998</v>
      </c>
      <c r="X19" t="s">
        <v>783</v>
      </c>
      <c r="Y19" t="s">
        <v>784</v>
      </c>
      <c r="Z19" s="104">
        <v>47022</v>
      </c>
      <c r="AA19" s="107">
        <v>97.289000000000001</v>
      </c>
      <c r="AB19" t="s">
        <v>785</v>
      </c>
      <c r="AC19" t="s">
        <v>774</v>
      </c>
      <c r="AD19" t="s">
        <v>782</v>
      </c>
      <c r="AE19" t="s">
        <v>786</v>
      </c>
      <c r="AF19" t="s">
        <v>787</v>
      </c>
      <c r="AG19" t="s">
        <v>60</v>
      </c>
      <c r="AH19" t="s">
        <v>728</v>
      </c>
      <c r="AI19" t="s">
        <v>782</v>
      </c>
      <c r="AJ19" t="s">
        <v>788</v>
      </c>
      <c r="AK19" t="s">
        <v>785</v>
      </c>
    </row>
    <row r="20" spans="1:37" x14ac:dyDescent="0.35">
      <c r="A20" t="s">
        <v>792</v>
      </c>
      <c r="B20" s="112">
        <f t="shared" si="0"/>
        <v>527286556.76331598</v>
      </c>
      <c r="C20" t="s">
        <v>774</v>
      </c>
      <c r="D20" s="104">
        <v>47091</v>
      </c>
      <c r="E20" s="105">
        <v>529540812</v>
      </c>
      <c r="F20" s="105">
        <v>529540812</v>
      </c>
      <c r="G20" s="106">
        <v>5.125</v>
      </c>
      <c r="H20" s="106"/>
      <c r="I20" t="s">
        <v>775</v>
      </c>
      <c r="J20" t="s">
        <v>793</v>
      </c>
      <c r="K20" t="s">
        <v>794</v>
      </c>
      <c r="L20" t="s">
        <v>795</v>
      </c>
      <c r="M20" t="s">
        <v>796</v>
      </c>
      <c r="N20" t="s">
        <v>797</v>
      </c>
      <c r="O20" s="214">
        <v>43438</v>
      </c>
      <c r="P20" t="s">
        <v>780</v>
      </c>
      <c r="Q20" t="s">
        <v>780</v>
      </c>
      <c r="R20" t="s">
        <v>781</v>
      </c>
      <c r="S20" t="s">
        <v>782</v>
      </c>
      <c r="T20" s="107">
        <v>1.985975</v>
      </c>
      <c r="U20" s="107">
        <v>1.923427</v>
      </c>
      <c r="V20" s="107">
        <v>45.123280000000001</v>
      </c>
      <c r="W20" s="107">
        <v>5.3325040000000001</v>
      </c>
      <c r="X20" t="s">
        <v>798</v>
      </c>
      <c r="Y20" t="s">
        <v>784</v>
      </c>
      <c r="Z20" s="104">
        <v>47091</v>
      </c>
      <c r="AA20" s="107">
        <v>99.574299999999994</v>
      </c>
      <c r="AB20" t="s">
        <v>785</v>
      </c>
      <c r="AC20" t="s">
        <v>774</v>
      </c>
      <c r="AD20" t="s">
        <v>782</v>
      </c>
      <c r="AE20" t="s">
        <v>799</v>
      </c>
      <c r="AF20" t="s">
        <v>774</v>
      </c>
      <c r="AG20" t="s">
        <v>60</v>
      </c>
      <c r="AH20" t="s">
        <v>728</v>
      </c>
      <c r="AI20" t="s">
        <v>782</v>
      </c>
      <c r="AJ20" t="s">
        <v>788</v>
      </c>
      <c r="AK20" t="s">
        <v>785</v>
      </c>
    </row>
    <row r="21" spans="1:37" x14ac:dyDescent="0.35">
      <c r="A21" t="s">
        <v>800</v>
      </c>
      <c r="B21" s="112">
        <f t="shared" si="0"/>
        <v>604458000</v>
      </c>
      <c r="C21" t="s">
        <v>774</v>
      </c>
      <c r="D21" s="104">
        <v>47094</v>
      </c>
      <c r="E21" s="105">
        <v>600000000</v>
      </c>
      <c r="F21" s="105">
        <v>600000000</v>
      </c>
      <c r="G21" s="106">
        <v>5.75</v>
      </c>
      <c r="H21" s="106"/>
      <c r="I21" t="s">
        <v>775</v>
      </c>
      <c r="J21" t="s">
        <v>776</v>
      </c>
      <c r="K21" t="s">
        <v>801</v>
      </c>
      <c r="L21" t="s">
        <v>802</v>
      </c>
      <c r="M21" t="s">
        <v>803</v>
      </c>
      <c r="N21" t="s">
        <v>774</v>
      </c>
      <c r="O21" s="214">
        <v>36298</v>
      </c>
      <c r="P21" t="s">
        <v>780</v>
      </c>
      <c r="Q21" t="s">
        <v>780</v>
      </c>
      <c r="R21" t="s">
        <v>804</v>
      </c>
      <c r="S21" t="s">
        <v>782</v>
      </c>
      <c r="T21" s="107">
        <v>1.955589</v>
      </c>
      <c r="U21" s="107">
        <v>1.955589</v>
      </c>
      <c r="V21" s="107">
        <v>41.297924000000002</v>
      </c>
      <c r="W21" s="107">
        <v>5.2969720000000002</v>
      </c>
      <c r="X21" t="s">
        <v>783</v>
      </c>
      <c r="Y21" t="s">
        <v>784</v>
      </c>
      <c r="Z21" s="104">
        <v>47094</v>
      </c>
      <c r="AA21" s="107">
        <v>100.74299999999999</v>
      </c>
      <c r="AB21" t="s">
        <v>785</v>
      </c>
      <c r="AC21" t="s">
        <v>774</v>
      </c>
      <c r="AD21" t="s">
        <v>782</v>
      </c>
      <c r="AE21" t="s">
        <v>786</v>
      </c>
      <c r="AF21" t="s">
        <v>774</v>
      </c>
      <c r="AG21" t="s">
        <v>60</v>
      </c>
      <c r="AH21" t="s">
        <v>728</v>
      </c>
      <c r="AI21" t="s">
        <v>782</v>
      </c>
      <c r="AJ21" t="s">
        <v>788</v>
      </c>
      <c r="AK21" t="s">
        <v>785</v>
      </c>
    </row>
    <row r="22" spans="1:37" x14ac:dyDescent="0.35">
      <c r="A22" t="s">
        <v>805</v>
      </c>
      <c r="B22" s="112">
        <f t="shared" si="0"/>
        <v>588567722.22458005</v>
      </c>
      <c r="C22" t="s">
        <v>774</v>
      </c>
      <c r="D22" s="104">
        <v>47373</v>
      </c>
      <c r="E22" s="105">
        <v>636640442</v>
      </c>
      <c r="F22" s="105">
        <v>636640442</v>
      </c>
      <c r="G22" s="106">
        <v>1.125</v>
      </c>
      <c r="H22" s="106"/>
      <c r="I22" t="s">
        <v>775</v>
      </c>
      <c r="J22" t="s">
        <v>776</v>
      </c>
      <c r="K22" t="s">
        <v>777</v>
      </c>
      <c r="L22" t="s">
        <v>806</v>
      </c>
      <c r="M22" t="s">
        <v>807</v>
      </c>
      <c r="N22" t="s">
        <v>774</v>
      </c>
      <c r="O22" s="214">
        <v>43720</v>
      </c>
      <c r="P22" t="s">
        <v>780</v>
      </c>
      <c r="Q22" t="s">
        <v>780</v>
      </c>
      <c r="R22" t="s">
        <v>781</v>
      </c>
      <c r="S22" t="s">
        <v>782</v>
      </c>
      <c r="T22" s="107">
        <v>2.8409070000000001</v>
      </c>
      <c r="U22" s="107">
        <v>2.842622</v>
      </c>
      <c r="V22" s="107">
        <v>75.767184</v>
      </c>
      <c r="W22" s="107">
        <v>3.9002219999999999</v>
      </c>
      <c r="X22" t="s">
        <v>783</v>
      </c>
      <c r="Y22" t="s">
        <v>784</v>
      </c>
      <c r="Z22" s="104">
        <v>47373</v>
      </c>
      <c r="AA22" s="107">
        <v>92.448999999999998</v>
      </c>
      <c r="AB22" t="s">
        <v>785</v>
      </c>
      <c r="AC22" t="s">
        <v>774</v>
      </c>
      <c r="AD22" t="s">
        <v>782</v>
      </c>
      <c r="AE22" t="s">
        <v>786</v>
      </c>
      <c r="AF22" t="s">
        <v>787</v>
      </c>
      <c r="AG22" t="s">
        <v>60</v>
      </c>
      <c r="AH22" t="s">
        <v>728</v>
      </c>
      <c r="AI22" t="s">
        <v>782</v>
      </c>
      <c r="AJ22" t="s">
        <v>788</v>
      </c>
      <c r="AK22" t="s">
        <v>785</v>
      </c>
    </row>
    <row r="23" spans="1:37" x14ac:dyDescent="0.35">
      <c r="A23" t="s">
        <v>808</v>
      </c>
      <c r="B23" s="112">
        <f t="shared" si="0"/>
        <v>706810651.3793751</v>
      </c>
      <c r="C23" t="s">
        <v>774</v>
      </c>
      <c r="D23" s="104">
        <v>47430</v>
      </c>
      <c r="E23" s="105">
        <v>756486875</v>
      </c>
      <c r="F23" s="105">
        <v>756486875</v>
      </c>
      <c r="G23" s="106">
        <v>3.25</v>
      </c>
      <c r="H23" s="106"/>
      <c r="I23" t="s">
        <v>775</v>
      </c>
      <c r="J23" t="s">
        <v>793</v>
      </c>
      <c r="K23" t="s">
        <v>794</v>
      </c>
      <c r="L23" t="s">
        <v>809</v>
      </c>
      <c r="M23" t="s">
        <v>810</v>
      </c>
      <c r="N23" t="s">
        <v>811</v>
      </c>
      <c r="O23" s="214">
        <v>43777</v>
      </c>
      <c r="P23" t="s">
        <v>780</v>
      </c>
      <c r="Q23" t="s">
        <v>780</v>
      </c>
      <c r="R23" t="s">
        <v>781</v>
      </c>
      <c r="S23" t="s">
        <v>782</v>
      </c>
      <c r="T23" s="107">
        <v>2.8382589999999999</v>
      </c>
      <c r="U23" s="107">
        <v>2.8396430000000001</v>
      </c>
      <c r="V23" s="107">
        <v>61.982311000000003</v>
      </c>
      <c r="W23" s="107">
        <v>5.5931839999999999</v>
      </c>
      <c r="X23" t="s">
        <v>798</v>
      </c>
      <c r="Y23" t="s">
        <v>784</v>
      </c>
      <c r="Z23" s="104">
        <v>47430</v>
      </c>
      <c r="AA23" s="107">
        <v>93.433300000000003</v>
      </c>
      <c r="AB23" t="s">
        <v>785</v>
      </c>
      <c r="AC23" t="s">
        <v>774</v>
      </c>
      <c r="AD23" t="s">
        <v>782</v>
      </c>
      <c r="AE23" t="s">
        <v>812</v>
      </c>
      <c r="AF23" t="s">
        <v>774</v>
      </c>
      <c r="AG23" t="s">
        <v>60</v>
      </c>
      <c r="AH23" t="s">
        <v>728</v>
      </c>
      <c r="AI23" t="s">
        <v>782</v>
      </c>
      <c r="AJ23" t="s">
        <v>788</v>
      </c>
      <c r="AK23" t="s">
        <v>785</v>
      </c>
    </row>
    <row r="24" spans="1:37" x14ac:dyDescent="0.35">
      <c r="A24" t="s">
        <v>813</v>
      </c>
      <c r="B24" s="112">
        <f t="shared" si="0"/>
        <v>2291938179.7521439</v>
      </c>
      <c r="C24" t="s">
        <v>774</v>
      </c>
      <c r="D24" s="104">
        <v>47832</v>
      </c>
      <c r="E24" s="122">
        <v>2019819956</v>
      </c>
      <c r="F24" s="122">
        <v>2118163250</v>
      </c>
      <c r="G24" s="106">
        <v>9.625</v>
      </c>
      <c r="H24" s="106"/>
      <c r="I24" t="s">
        <v>814</v>
      </c>
      <c r="J24" t="s">
        <v>793</v>
      </c>
      <c r="K24" t="s">
        <v>794</v>
      </c>
      <c r="L24" t="s">
        <v>815</v>
      </c>
      <c r="M24" t="s">
        <v>816</v>
      </c>
      <c r="N24" t="s">
        <v>817</v>
      </c>
      <c r="O24" s="214">
        <v>36872</v>
      </c>
      <c r="P24" t="s">
        <v>780</v>
      </c>
      <c r="Q24" t="s">
        <v>780</v>
      </c>
      <c r="R24" t="s">
        <v>781</v>
      </c>
      <c r="S24" t="s">
        <v>782</v>
      </c>
      <c r="T24" s="107">
        <v>3.4023810000000001</v>
      </c>
      <c r="U24" s="107">
        <v>3.4023810000000001</v>
      </c>
      <c r="V24" s="107">
        <v>92.610566000000006</v>
      </c>
      <c r="W24" s="107">
        <v>5.9422059999999997</v>
      </c>
      <c r="X24" t="s">
        <v>798</v>
      </c>
      <c r="Y24" t="s">
        <v>784</v>
      </c>
      <c r="Z24" s="104">
        <v>47833</v>
      </c>
      <c r="AA24" s="107">
        <v>113.47239999999999</v>
      </c>
      <c r="AB24" t="s">
        <v>785</v>
      </c>
      <c r="AC24" t="s">
        <v>774</v>
      </c>
      <c r="AD24" t="s">
        <v>782</v>
      </c>
      <c r="AE24" t="s">
        <v>799</v>
      </c>
      <c r="AF24" t="s">
        <v>774</v>
      </c>
      <c r="AG24" t="s">
        <v>60</v>
      </c>
      <c r="AH24" t="s">
        <v>728</v>
      </c>
      <c r="AI24" t="s">
        <v>782</v>
      </c>
      <c r="AJ24" t="s">
        <v>788</v>
      </c>
      <c r="AK24" t="s">
        <v>785</v>
      </c>
    </row>
    <row r="25" spans="1:37" x14ac:dyDescent="0.35">
      <c r="A25" t="s">
        <v>818</v>
      </c>
      <c r="B25" s="112">
        <f t="shared" si="0"/>
        <v>668937635.91828001</v>
      </c>
      <c r="C25" t="s">
        <v>774</v>
      </c>
      <c r="D25" s="104">
        <v>47981</v>
      </c>
      <c r="E25" s="105">
        <v>679083138</v>
      </c>
      <c r="F25" s="105">
        <v>679083138</v>
      </c>
      <c r="G25" s="106">
        <v>3.75</v>
      </c>
      <c r="H25" s="106"/>
      <c r="I25" t="s">
        <v>775</v>
      </c>
      <c r="J25" t="s">
        <v>776</v>
      </c>
      <c r="K25" t="s">
        <v>777</v>
      </c>
      <c r="L25" t="s">
        <v>819</v>
      </c>
      <c r="M25" t="s">
        <v>820</v>
      </c>
      <c r="N25" t="s">
        <v>774</v>
      </c>
      <c r="O25" s="214">
        <v>44970</v>
      </c>
      <c r="P25" t="s">
        <v>780</v>
      </c>
      <c r="Q25" t="s">
        <v>780</v>
      </c>
      <c r="R25" t="s">
        <v>781</v>
      </c>
      <c r="S25" t="s">
        <v>782</v>
      </c>
      <c r="T25" s="107">
        <v>4.163538</v>
      </c>
      <c r="U25" s="107">
        <v>4.1039979999999998</v>
      </c>
      <c r="V25" s="107">
        <v>85.933942999999999</v>
      </c>
      <c r="W25" s="107">
        <v>4.1088380000000004</v>
      </c>
      <c r="X25" t="s">
        <v>783</v>
      </c>
      <c r="Y25" t="s">
        <v>784</v>
      </c>
      <c r="Z25" s="104">
        <v>47981</v>
      </c>
      <c r="AA25" s="107">
        <v>98.506</v>
      </c>
      <c r="AB25" t="s">
        <v>785</v>
      </c>
      <c r="AC25" t="s">
        <v>774</v>
      </c>
      <c r="AD25" t="s">
        <v>782</v>
      </c>
      <c r="AE25" t="s">
        <v>786</v>
      </c>
      <c r="AF25" t="s">
        <v>787</v>
      </c>
      <c r="AG25" t="s">
        <v>60</v>
      </c>
      <c r="AH25" t="s">
        <v>728</v>
      </c>
      <c r="AI25" t="s">
        <v>782</v>
      </c>
      <c r="AJ25" t="s">
        <v>788</v>
      </c>
      <c r="AK25" t="s">
        <v>785</v>
      </c>
    </row>
    <row r="26" spans="1:37" x14ac:dyDescent="0.35">
      <c r="A26" t="s">
        <v>821</v>
      </c>
      <c r="B26" s="112">
        <f t="shared" si="0"/>
        <v>445335000</v>
      </c>
      <c r="C26" t="s">
        <v>774</v>
      </c>
      <c r="D26" s="104">
        <v>48173</v>
      </c>
      <c r="E26" s="105">
        <v>500000000</v>
      </c>
      <c r="F26" s="105">
        <v>500000000</v>
      </c>
      <c r="G26" s="106">
        <v>3.125</v>
      </c>
      <c r="H26" s="106">
        <f>(G26/100*B26)/1000000</f>
        <v>13.916718749999999</v>
      </c>
      <c r="I26" t="s">
        <v>775</v>
      </c>
      <c r="J26" t="s">
        <v>776</v>
      </c>
      <c r="K26" t="s">
        <v>801</v>
      </c>
      <c r="L26" t="s">
        <v>822</v>
      </c>
      <c r="M26" t="s">
        <v>823</v>
      </c>
      <c r="N26" t="s">
        <v>774</v>
      </c>
      <c r="O26" s="214">
        <v>43060</v>
      </c>
      <c r="P26" t="s">
        <v>780</v>
      </c>
      <c r="Q26" t="s">
        <v>780</v>
      </c>
      <c r="R26" t="s">
        <v>781</v>
      </c>
      <c r="S26" t="s">
        <v>782</v>
      </c>
      <c r="T26" s="107">
        <v>4.5239070000000003</v>
      </c>
      <c r="U26" s="107">
        <v>4.5234110000000003</v>
      </c>
      <c r="V26" s="107">
        <v>56.596280999999998</v>
      </c>
      <c r="W26" s="107">
        <v>5.5618040000000004</v>
      </c>
      <c r="X26" t="s">
        <v>783</v>
      </c>
      <c r="Y26" t="s">
        <v>784</v>
      </c>
      <c r="Z26" s="104">
        <v>48173</v>
      </c>
      <c r="AA26" s="107">
        <v>89.066999999999993</v>
      </c>
      <c r="AB26" t="s">
        <v>785</v>
      </c>
      <c r="AC26" t="s">
        <v>774</v>
      </c>
      <c r="AD26" t="s">
        <v>782</v>
      </c>
      <c r="AE26" t="s">
        <v>786</v>
      </c>
      <c r="AF26" t="s">
        <v>787</v>
      </c>
      <c r="AG26" t="s">
        <v>60</v>
      </c>
      <c r="AH26" t="s">
        <v>728</v>
      </c>
      <c r="AI26" t="s">
        <v>782</v>
      </c>
      <c r="AJ26" t="s">
        <v>788</v>
      </c>
      <c r="AK26" t="s">
        <v>785</v>
      </c>
    </row>
    <row r="27" spans="1:37" x14ac:dyDescent="0.35">
      <c r="A27" t="s">
        <v>824</v>
      </c>
      <c r="B27" s="112">
        <f t="shared" si="0"/>
        <v>681163678.84604001</v>
      </c>
      <c r="C27" t="s">
        <v>774</v>
      </c>
      <c r="D27" s="104">
        <v>48255</v>
      </c>
      <c r="E27" s="105">
        <v>721525834</v>
      </c>
      <c r="F27" s="105">
        <v>721525834</v>
      </c>
      <c r="G27" s="106">
        <v>3.125</v>
      </c>
      <c r="H27" s="106">
        <f t="shared" ref="H27:H51" si="1">(G27/100*B27)/1000000</f>
        <v>21.286364963938752</v>
      </c>
      <c r="I27" t="s">
        <v>775</v>
      </c>
      <c r="J27" t="s">
        <v>776</v>
      </c>
      <c r="K27" t="s">
        <v>777</v>
      </c>
      <c r="L27" t="s">
        <v>825</v>
      </c>
      <c r="M27" t="s">
        <v>826</v>
      </c>
      <c r="N27" t="s">
        <v>774</v>
      </c>
      <c r="O27" s="214">
        <v>45699</v>
      </c>
      <c r="P27" t="s">
        <v>780</v>
      </c>
      <c r="Q27" t="s">
        <v>780</v>
      </c>
      <c r="R27" t="s">
        <v>781</v>
      </c>
      <c r="S27" t="s">
        <v>782</v>
      </c>
      <c r="T27" s="107">
        <v>4.7887579999999996</v>
      </c>
      <c r="U27" s="107">
        <v>4.7769649999999997</v>
      </c>
      <c r="V27" s="107">
        <v>102.471661</v>
      </c>
      <c r="W27" s="107">
        <v>4.3154630000000003</v>
      </c>
      <c r="X27" t="s">
        <v>783</v>
      </c>
      <c r="Y27" t="s">
        <v>784</v>
      </c>
      <c r="Z27" s="104">
        <v>48255</v>
      </c>
      <c r="AA27" s="107">
        <v>94.406000000000006</v>
      </c>
      <c r="AB27" t="s">
        <v>785</v>
      </c>
      <c r="AC27" t="s">
        <v>774</v>
      </c>
      <c r="AD27" t="s">
        <v>782</v>
      </c>
      <c r="AE27" t="s">
        <v>786</v>
      </c>
      <c r="AF27" t="s">
        <v>827</v>
      </c>
      <c r="AG27" t="s">
        <v>60</v>
      </c>
      <c r="AH27" t="s">
        <v>728</v>
      </c>
      <c r="AI27" t="s">
        <v>782</v>
      </c>
      <c r="AJ27" t="s">
        <v>788</v>
      </c>
      <c r="AK27" t="s">
        <v>785</v>
      </c>
    </row>
    <row r="28" spans="1:37" x14ac:dyDescent="0.35">
      <c r="A28" t="s">
        <v>828</v>
      </c>
      <c r="B28" s="112">
        <f t="shared" si="0"/>
        <v>402772697.44977999</v>
      </c>
      <c r="C28" t="s">
        <v>774</v>
      </c>
      <c r="D28" s="104">
        <v>48456</v>
      </c>
      <c r="E28" s="105">
        <v>424426961</v>
      </c>
      <c r="F28" s="105">
        <v>424426961</v>
      </c>
      <c r="G28" s="106">
        <v>3.375</v>
      </c>
      <c r="H28" s="106">
        <f t="shared" si="1"/>
        <v>13.593578538930075</v>
      </c>
      <c r="I28" t="s">
        <v>775</v>
      </c>
      <c r="J28" t="s">
        <v>776</v>
      </c>
      <c r="K28" t="s">
        <v>777</v>
      </c>
      <c r="L28" t="s">
        <v>829</v>
      </c>
      <c r="M28" t="s">
        <v>830</v>
      </c>
      <c r="N28" t="s">
        <v>774</v>
      </c>
      <c r="O28" s="214">
        <v>44803</v>
      </c>
      <c r="P28" t="s">
        <v>780</v>
      </c>
      <c r="Q28" t="s">
        <v>780</v>
      </c>
      <c r="R28" t="s">
        <v>781</v>
      </c>
      <c r="S28" t="s">
        <v>782</v>
      </c>
      <c r="T28" s="107">
        <v>5.2931949999999999</v>
      </c>
      <c r="U28" s="107">
        <v>5.2711230000000002</v>
      </c>
      <c r="V28" s="107">
        <v>105.264506</v>
      </c>
      <c r="W28" s="107">
        <v>4.374098</v>
      </c>
      <c r="X28" t="s">
        <v>783</v>
      </c>
      <c r="Y28" t="s">
        <v>784</v>
      </c>
      <c r="Z28" s="104">
        <v>48456</v>
      </c>
      <c r="AA28" s="107">
        <v>94.897999999999996</v>
      </c>
      <c r="AB28" t="s">
        <v>785</v>
      </c>
      <c r="AC28" t="s">
        <v>774</v>
      </c>
      <c r="AD28" t="s">
        <v>782</v>
      </c>
      <c r="AE28" t="s">
        <v>786</v>
      </c>
      <c r="AF28" t="s">
        <v>787</v>
      </c>
      <c r="AG28" t="s">
        <v>60</v>
      </c>
      <c r="AH28" t="s">
        <v>728</v>
      </c>
      <c r="AI28" t="s">
        <v>782</v>
      </c>
      <c r="AJ28" t="s">
        <v>788</v>
      </c>
      <c r="AK28" t="s">
        <v>785</v>
      </c>
    </row>
    <row r="29" spans="1:37" x14ac:dyDescent="0.35">
      <c r="A29" t="s">
        <v>831</v>
      </c>
      <c r="B29" s="112">
        <f t="shared" si="0"/>
        <v>682419133.79719996</v>
      </c>
      <c r="C29" t="s">
        <v>774</v>
      </c>
      <c r="D29" s="104">
        <v>48535</v>
      </c>
      <c r="E29" s="105">
        <v>721525834</v>
      </c>
      <c r="F29" s="105">
        <v>721525834</v>
      </c>
      <c r="G29" s="106">
        <v>3.375</v>
      </c>
      <c r="H29" s="106">
        <f t="shared" si="1"/>
        <v>23.031645765655497</v>
      </c>
      <c r="I29" t="s">
        <v>775</v>
      </c>
      <c r="J29" t="s">
        <v>776</v>
      </c>
      <c r="K29" t="s">
        <v>777</v>
      </c>
      <c r="L29" t="s">
        <v>832</v>
      </c>
      <c r="M29" t="s">
        <v>833</v>
      </c>
      <c r="N29" t="s">
        <v>774</v>
      </c>
      <c r="O29" s="214">
        <v>45978</v>
      </c>
      <c r="P29" t="s">
        <v>780</v>
      </c>
      <c r="Q29" t="s">
        <v>780</v>
      </c>
      <c r="R29" t="s">
        <v>781</v>
      </c>
      <c r="S29" t="s">
        <v>782</v>
      </c>
      <c r="T29" s="107">
        <v>5.3210280000000001</v>
      </c>
      <c r="U29" s="107">
        <v>5.3048010000000003</v>
      </c>
      <c r="V29" s="107">
        <v>106.826387</v>
      </c>
      <c r="W29" s="107">
        <v>4.4043239999999999</v>
      </c>
      <c r="X29" t="s">
        <v>783</v>
      </c>
      <c r="Y29" t="s">
        <v>784</v>
      </c>
      <c r="Z29" s="104">
        <v>48535</v>
      </c>
      <c r="AA29" s="107">
        <v>94.58</v>
      </c>
      <c r="AB29" t="s">
        <v>785</v>
      </c>
      <c r="AC29" t="s">
        <v>774</v>
      </c>
      <c r="AD29" t="s">
        <v>782</v>
      </c>
      <c r="AE29" t="s">
        <v>786</v>
      </c>
      <c r="AF29" t="s">
        <v>827</v>
      </c>
      <c r="AG29" t="s">
        <v>60</v>
      </c>
      <c r="AH29" t="s">
        <v>728</v>
      </c>
      <c r="AI29" t="s">
        <v>782</v>
      </c>
      <c r="AJ29" t="s">
        <v>834</v>
      </c>
      <c r="AK29" t="s">
        <v>785</v>
      </c>
    </row>
    <row r="30" spans="1:37" x14ac:dyDescent="0.35">
      <c r="A30" t="s">
        <v>835</v>
      </c>
      <c r="B30" s="112">
        <f t="shared" si="0"/>
        <v>712824232.44195998</v>
      </c>
      <c r="C30" t="s">
        <v>774</v>
      </c>
      <c r="D30" s="104">
        <v>48585</v>
      </c>
      <c r="E30" s="105">
        <v>721525834</v>
      </c>
      <c r="F30" s="105">
        <v>721525834</v>
      </c>
      <c r="G30" s="106">
        <v>4.25</v>
      </c>
      <c r="H30" s="106">
        <f t="shared" si="1"/>
        <v>30.2950298787833</v>
      </c>
      <c r="I30" t="s">
        <v>775</v>
      </c>
      <c r="J30" t="s">
        <v>776</v>
      </c>
      <c r="K30" t="s">
        <v>777</v>
      </c>
      <c r="L30" t="s">
        <v>836</v>
      </c>
      <c r="M30" t="s">
        <v>837</v>
      </c>
      <c r="N30" t="s">
        <v>774</v>
      </c>
      <c r="O30" s="214">
        <v>45175</v>
      </c>
      <c r="P30" t="s">
        <v>780</v>
      </c>
      <c r="Q30" t="s">
        <v>780</v>
      </c>
      <c r="R30" t="s">
        <v>781</v>
      </c>
      <c r="S30" t="s">
        <v>782</v>
      </c>
      <c r="T30" s="107">
        <v>5.322946</v>
      </c>
      <c r="U30" s="107">
        <v>5.2689760000000003</v>
      </c>
      <c r="V30" s="107">
        <v>112.285179</v>
      </c>
      <c r="W30" s="107">
        <v>4.4721950000000001</v>
      </c>
      <c r="X30" t="s">
        <v>783</v>
      </c>
      <c r="Y30" t="s">
        <v>784</v>
      </c>
      <c r="Z30" s="104">
        <v>48585</v>
      </c>
      <c r="AA30" s="107">
        <v>98.793999999999997</v>
      </c>
      <c r="AB30" t="s">
        <v>785</v>
      </c>
      <c r="AC30" t="s">
        <v>774</v>
      </c>
      <c r="AD30" t="s">
        <v>782</v>
      </c>
      <c r="AE30" t="s">
        <v>786</v>
      </c>
      <c r="AF30" t="s">
        <v>787</v>
      </c>
      <c r="AG30" t="s">
        <v>60</v>
      </c>
      <c r="AH30" t="s">
        <v>728</v>
      </c>
      <c r="AI30" t="s">
        <v>782</v>
      </c>
      <c r="AJ30" t="s">
        <v>788</v>
      </c>
      <c r="AK30" t="s">
        <v>785</v>
      </c>
    </row>
    <row r="31" spans="1:37" x14ac:dyDescent="0.35">
      <c r="A31" t="s">
        <v>838</v>
      </c>
      <c r="B31" s="112">
        <f t="shared" si="0"/>
        <v>73882257.27455999</v>
      </c>
      <c r="C31" t="s">
        <v>774</v>
      </c>
      <c r="D31" s="104">
        <v>48639</v>
      </c>
      <c r="E31" s="105">
        <v>78928976</v>
      </c>
      <c r="F31" s="105">
        <v>78928976</v>
      </c>
      <c r="G31" s="106">
        <v>4.71</v>
      </c>
      <c r="H31" s="106">
        <f t="shared" si="1"/>
        <v>3.4798543176317756</v>
      </c>
      <c r="I31" t="s">
        <v>775</v>
      </c>
      <c r="J31" t="s">
        <v>776</v>
      </c>
      <c r="K31" t="s">
        <v>839</v>
      </c>
      <c r="L31" t="s">
        <v>840</v>
      </c>
      <c r="M31" t="s">
        <v>841</v>
      </c>
      <c r="N31" t="s">
        <v>774</v>
      </c>
      <c r="O31" s="214">
        <v>45901</v>
      </c>
      <c r="P31" t="s">
        <v>780</v>
      </c>
      <c r="Q31" t="s">
        <v>842</v>
      </c>
      <c r="R31" t="s">
        <v>781</v>
      </c>
      <c r="S31" t="s">
        <v>782</v>
      </c>
      <c r="T31" s="107">
        <v>4.4767150000000004</v>
      </c>
      <c r="U31" s="107">
        <v>6.0523879999999997</v>
      </c>
      <c r="V31" s="107">
        <v>98.427008000000001</v>
      </c>
      <c r="W31" s="107">
        <v>5.7433839999999998</v>
      </c>
      <c r="X31" t="s">
        <v>783</v>
      </c>
      <c r="Y31" t="s">
        <v>784</v>
      </c>
      <c r="Z31" s="104">
        <v>48639</v>
      </c>
      <c r="AA31" s="107">
        <v>93.605999999999995</v>
      </c>
      <c r="AB31" t="s">
        <v>785</v>
      </c>
      <c r="AC31" t="s">
        <v>774</v>
      </c>
      <c r="AD31" t="s">
        <v>782</v>
      </c>
      <c r="AE31" t="s">
        <v>843</v>
      </c>
      <c r="AF31" t="s">
        <v>787</v>
      </c>
      <c r="AG31" t="s">
        <v>60</v>
      </c>
      <c r="AH31" t="s">
        <v>728</v>
      </c>
      <c r="AI31" t="s">
        <v>782</v>
      </c>
      <c r="AJ31" t="s">
        <v>788</v>
      </c>
      <c r="AK31" t="s">
        <v>785</v>
      </c>
    </row>
    <row r="32" spans="1:37" x14ac:dyDescent="0.35">
      <c r="A32" t="s">
        <v>844</v>
      </c>
      <c r="B32" s="112">
        <f t="shared" si="0"/>
        <v>282648300</v>
      </c>
      <c r="C32" t="s">
        <v>774</v>
      </c>
      <c r="D32" s="104">
        <v>48755</v>
      </c>
      <c r="E32" s="105">
        <v>330000000</v>
      </c>
      <c r="F32" s="105">
        <v>330000000</v>
      </c>
      <c r="G32" s="106">
        <v>3.64</v>
      </c>
      <c r="H32" s="106">
        <f t="shared" si="1"/>
        <v>10.288398120000002</v>
      </c>
      <c r="I32" t="s">
        <v>775</v>
      </c>
      <c r="J32" t="s">
        <v>776</v>
      </c>
      <c r="K32" t="s">
        <v>801</v>
      </c>
      <c r="L32" t="s">
        <v>845</v>
      </c>
      <c r="M32" t="s">
        <v>846</v>
      </c>
      <c r="N32" t="s">
        <v>774</v>
      </c>
      <c r="O32" s="214">
        <v>43276</v>
      </c>
      <c r="P32" t="s">
        <v>780</v>
      </c>
      <c r="Q32" t="s">
        <v>780</v>
      </c>
      <c r="R32" t="s">
        <v>781</v>
      </c>
      <c r="S32" t="s">
        <v>782</v>
      </c>
      <c r="T32" s="107">
        <v>5.7719550000000002</v>
      </c>
      <c r="U32" s="107">
        <v>5.7691460000000001</v>
      </c>
      <c r="V32" s="107">
        <v>101.763957</v>
      </c>
      <c r="W32" s="107">
        <v>6.2273120000000004</v>
      </c>
      <c r="X32" t="s">
        <v>783</v>
      </c>
      <c r="Y32" t="s">
        <v>784</v>
      </c>
      <c r="Z32" s="104">
        <v>48757</v>
      </c>
      <c r="AA32" s="107">
        <v>85.650999999999996</v>
      </c>
      <c r="AB32" t="s">
        <v>785</v>
      </c>
      <c r="AC32" t="s">
        <v>774</v>
      </c>
      <c r="AD32" t="s">
        <v>782</v>
      </c>
      <c r="AE32" t="s">
        <v>786</v>
      </c>
      <c r="AF32" t="s">
        <v>787</v>
      </c>
      <c r="AG32" t="s">
        <v>60</v>
      </c>
      <c r="AH32" t="s">
        <v>728</v>
      </c>
      <c r="AI32" t="s">
        <v>782</v>
      </c>
      <c r="AJ32" t="s">
        <v>788</v>
      </c>
      <c r="AK32" t="s">
        <v>785</v>
      </c>
    </row>
    <row r="33" spans="1:37" x14ac:dyDescent="0.35">
      <c r="A33" t="s">
        <v>847</v>
      </c>
      <c r="B33" s="112">
        <f t="shared" si="0"/>
        <v>300088800</v>
      </c>
      <c r="C33" t="s">
        <v>774</v>
      </c>
      <c r="D33" s="104">
        <v>48755</v>
      </c>
      <c r="E33" s="105">
        <v>330000000</v>
      </c>
      <c r="F33" s="105">
        <v>330000000</v>
      </c>
      <c r="G33" s="106">
        <v>1.613</v>
      </c>
      <c r="H33" s="106">
        <f t="shared" si="1"/>
        <v>4.8404323439999999</v>
      </c>
      <c r="I33" t="s">
        <v>775</v>
      </c>
      <c r="J33" t="s">
        <v>776</v>
      </c>
      <c r="K33" t="s">
        <v>801</v>
      </c>
      <c r="L33" t="s">
        <v>848</v>
      </c>
      <c r="M33" t="s">
        <v>849</v>
      </c>
      <c r="N33" t="s">
        <v>774</v>
      </c>
      <c r="O33" s="214">
        <v>43276</v>
      </c>
      <c r="P33" t="s">
        <v>780</v>
      </c>
      <c r="Q33" t="s">
        <v>780</v>
      </c>
      <c r="R33" t="s">
        <v>781</v>
      </c>
      <c r="S33" t="s">
        <v>850</v>
      </c>
      <c r="T33" s="107">
        <v>6.2745199999999999</v>
      </c>
      <c r="U33" s="107">
        <v>6.2459889999999998</v>
      </c>
      <c r="V33" s="107">
        <v>-212.13423299999999</v>
      </c>
      <c r="W33" s="107">
        <v>3.1055830000000002</v>
      </c>
      <c r="X33" t="s">
        <v>783</v>
      </c>
      <c r="Y33" t="s">
        <v>784</v>
      </c>
      <c r="Z33" s="104">
        <v>48757</v>
      </c>
      <c r="AA33" s="107">
        <v>90.936000000000007</v>
      </c>
      <c r="AB33" t="s">
        <v>785</v>
      </c>
      <c r="AC33" t="s">
        <v>774</v>
      </c>
      <c r="AD33" t="s">
        <v>782</v>
      </c>
      <c r="AE33" t="s">
        <v>786</v>
      </c>
      <c r="AF33" t="s">
        <v>787</v>
      </c>
      <c r="AG33" t="s">
        <v>60</v>
      </c>
      <c r="AH33" t="s">
        <v>728</v>
      </c>
      <c r="AI33" t="s">
        <v>782</v>
      </c>
      <c r="AJ33" t="s">
        <v>788</v>
      </c>
      <c r="AK33" t="s">
        <v>785</v>
      </c>
    </row>
    <row r="34" spans="1:37" x14ac:dyDescent="0.35">
      <c r="A34" t="s">
        <v>851</v>
      </c>
      <c r="B34" s="112">
        <f t="shared" si="0"/>
        <v>726957353.62307</v>
      </c>
      <c r="C34" t="s">
        <v>774</v>
      </c>
      <c r="D34" s="104">
        <v>48964</v>
      </c>
      <c r="E34" s="105">
        <v>759724261</v>
      </c>
      <c r="F34" s="105">
        <v>759724261</v>
      </c>
      <c r="G34" s="106">
        <v>3.875</v>
      </c>
      <c r="H34" s="106">
        <f t="shared" si="1"/>
        <v>28.16959745289396</v>
      </c>
      <c r="I34" t="s">
        <v>775</v>
      </c>
      <c r="J34" t="s">
        <v>776</v>
      </c>
      <c r="K34" t="s">
        <v>777</v>
      </c>
      <c r="L34" t="s">
        <v>852</v>
      </c>
      <c r="M34" t="s">
        <v>853</v>
      </c>
      <c r="N34" t="s">
        <v>774</v>
      </c>
      <c r="O34" s="214">
        <v>45463</v>
      </c>
      <c r="P34" t="s">
        <v>780</v>
      </c>
      <c r="Q34" t="s">
        <v>780</v>
      </c>
      <c r="R34" t="s">
        <v>781</v>
      </c>
      <c r="S34" t="s">
        <v>782</v>
      </c>
      <c r="T34" s="107">
        <v>6.1490320000000001</v>
      </c>
      <c r="U34" s="107">
        <v>6.098211</v>
      </c>
      <c r="V34" s="107">
        <v>117.272171</v>
      </c>
      <c r="W34" s="107">
        <v>4.5815089999999996</v>
      </c>
      <c r="X34" t="s">
        <v>783</v>
      </c>
      <c r="Y34" t="s">
        <v>784</v>
      </c>
      <c r="Z34" s="104">
        <v>48964</v>
      </c>
      <c r="AA34" s="107">
        <v>95.686999999999998</v>
      </c>
      <c r="AB34" t="s">
        <v>785</v>
      </c>
      <c r="AC34" t="s">
        <v>774</v>
      </c>
      <c r="AD34" t="s">
        <v>782</v>
      </c>
      <c r="AE34" t="s">
        <v>786</v>
      </c>
      <c r="AF34" t="s">
        <v>787</v>
      </c>
      <c r="AG34" t="s">
        <v>60</v>
      </c>
      <c r="AH34" t="s">
        <v>854</v>
      </c>
      <c r="AI34" t="s">
        <v>782</v>
      </c>
      <c r="AJ34" t="s">
        <v>788</v>
      </c>
      <c r="AK34" t="s">
        <v>785</v>
      </c>
    </row>
    <row r="35" spans="1:37" s="112" customFormat="1" x14ac:dyDescent="0.35">
      <c r="A35" s="112" t="s">
        <v>855</v>
      </c>
      <c r="B35" s="112">
        <f t="shared" si="0"/>
        <v>688018174.26903999</v>
      </c>
      <c r="C35" s="112" t="s">
        <v>774</v>
      </c>
      <c r="D35" s="121">
        <v>49097</v>
      </c>
      <c r="E35" s="122">
        <v>721525834</v>
      </c>
      <c r="F35" s="122">
        <v>721525834</v>
      </c>
      <c r="G35" s="123">
        <v>3.875</v>
      </c>
      <c r="H35" s="106">
        <f t="shared" si="1"/>
        <v>26.660704252925299</v>
      </c>
      <c r="I35" s="112" t="s">
        <v>775</v>
      </c>
      <c r="J35" s="112" t="s">
        <v>776</v>
      </c>
      <c r="K35" s="112" t="s">
        <v>777</v>
      </c>
      <c r="L35" s="112" t="s">
        <v>856</v>
      </c>
      <c r="M35" s="112" t="s">
        <v>857</v>
      </c>
      <c r="N35" s="112" t="s">
        <v>774</v>
      </c>
      <c r="O35" s="215">
        <v>46175</v>
      </c>
      <c r="P35" s="112" t="s">
        <v>780</v>
      </c>
      <c r="Q35" s="112" t="s">
        <v>780</v>
      </c>
      <c r="R35" s="112" t="s">
        <v>781</v>
      </c>
      <c r="S35" s="112" t="s">
        <v>782</v>
      </c>
      <c r="T35" s="124">
        <v>6.506005</v>
      </c>
      <c r="U35" s="124">
        <v>6.4540459999999999</v>
      </c>
      <c r="V35" s="124">
        <v>118.767456</v>
      </c>
      <c r="W35" s="124">
        <v>4.605721</v>
      </c>
      <c r="X35" s="112" t="s">
        <v>783</v>
      </c>
      <c r="Y35" s="112" t="s">
        <v>784</v>
      </c>
      <c r="Z35" s="121">
        <v>49097</v>
      </c>
      <c r="AA35" s="124">
        <v>95.355999999999995</v>
      </c>
      <c r="AB35" s="112" t="s">
        <v>785</v>
      </c>
      <c r="AC35" s="112" t="s">
        <v>774</v>
      </c>
      <c r="AD35" s="112" t="s">
        <v>782</v>
      </c>
      <c r="AE35" s="112" t="s">
        <v>786</v>
      </c>
      <c r="AF35" s="112" t="s">
        <v>827</v>
      </c>
      <c r="AG35" s="112" t="s">
        <v>60</v>
      </c>
      <c r="AH35" s="112" t="s">
        <v>728</v>
      </c>
      <c r="AI35" s="112" t="s">
        <v>782</v>
      </c>
      <c r="AJ35" s="112" t="s">
        <v>834</v>
      </c>
      <c r="AK35" s="112" t="s">
        <v>785</v>
      </c>
    </row>
    <row r="36" spans="1:37" x14ac:dyDescent="0.35">
      <c r="A36" t="s">
        <v>858</v>
      </c>
      <c r="B36" s="112">
        <f t="shared" si="0"/>
        <v>557939799.5390799</v>
      </c>
      <c r="C36" t="s">
        <v>774</v>
      </c>
      <c r="D36" s="104">
        <v>49312</v>
      </c>
      <c r="E36" s="105">
        <v>594197746</v>
      </c>
      <c r="F36" s="105">
        <v>594197746</v>
      </c>
      <c r="G36" s="106">
        <v>3.75</v>
      </c>
      <c r="H36" s="106">
        <f t="shared" si="1"/>
        <v>20.922742482715496</v>
      </c>
      <c r="I36" t="s">
        <v>775</v>
      </c>
      <c r="J36" t="s">
        <v>776</v>
      </c>
      <c r="K36" t="s">
        <v>777</v>
      </c>
      <c r="L36" t="s">
        <v>859</v>
      </c>
      <c r="M36" t="s">
        <v>860</v>
      </c>
      <c r="N36" t="s">
        <v>774</v>
      </c>
      <c r="O36" s="214">
        <v>45811</v>
      </c>
      <c r="P36" t="s">
        <v>780</v>
      </c>
      <c r="Q36" t="s">
        <v>780</v>
      </c>
      <c r="R36" t="s">
        <v>781</v>
      </c>
      <c r="S36" t="s">
        <v>782</v>
      </c>
      <c r="T36" s="107">
        <v>6.835356</v>
      </c>
      <c r="U36" s="107">
        <v>6.8055640000000004</v>
      </c>
      <c r="V36" s="107">
        <v>121.18100200000001</v>
      </c>
      <c r="W36" s="107">
        <v>4.6561269999999997</v>
      </c>
      <c r="X36" t="s">
        <v>783</v>
      </c>
      <c r="Y36" t="s">
        <v>784</v>
      </c>
      <c r="Z36" s="104">
        <v>49312</v>
      </c>
      <c r="AA36" s="107">
        <v>93.897999999999996</v>
      </c>
      <c r="AB36" t="s">
        <v>785</v>
      </c>
      <c r="AC36" t="s">
        <v>774</v>
      </c>
      <c r="AD36" t="s">
        <v>782</v>
      </c>
      <c r="AE36" t="s">
        <v>786</v>
      </c>
      <c r="AF36" t="s">
        <v>787</v>
      </c>
      <c r="AG36" t="s">
        <v>60</v>
      </c>
      <c r="AH36" t="s">
        <v>728</v>
      </c>
      <c r="AI36" t="s">
        <v>782</v>
      </c>
      <c r="AJ36" t="s">
        <v>788</v>
      </c>
      <c r="AK36" t="s">
        <v>785</v>
      </c>
    </row>
    <row r="37" spans="1:37" x14ac:dyDescent="0.35">
      <c r="A37" t="s">
        <v>861</v>
      </c>
      <c r="B37" s="112">
        <f t="shared" si="0"/>
        <v>494204999.99999994</v>
      </c>
      <c r="C37" t="s">
        <v>774</v>
      </c>
      <c r="D37" s="104">
        <v>50214</v>
      </c>
      <c r="E37" s="105">
        <v>500000000</v>
      </c>
      <c r="F37" s="105">
        <v>500000000</v>
      </c>
      <c r="G37" s="106">
        <v>6.375</v>
      </c>
      <c r="H37" s="106">
        <f t="shared" si="1"/>
        <v>31.505568749999995</v>
      </c>
      <c r="I37" t="s">
        <v>775</v>
      </c>
      <c r="J37" t="s">
        <v>776</v>
      </c>
      <c r="K37" t="s">
        <v>801</v>
      </c>
      <c r="L37" t="s">
        <v>862</v>
      </c>
      <c r="M37" t="s">
        <v>863</v>
      </c>
      <c r="N37" t="s">
        <v>774</v>
      </c>
      <c r="O37" s="214">
        <v>39254</v>
      </c>
      <c r="P37" t="s">
        <v>780</v>
      </c>
      <c r="Q37" t="s">
        <v>780</v>
      </c>
      <c r="R37" t="s">
        <v>781</v>
      </c>
      <c r="S37" t="s">
        <v>782</v>
      </c>
      <c r="T37" s="107">
        <v>7.6781870000000003</v>
      </c>
      <c r="U37" s="107">
        <v>7.6765150000000002</v>
      </c>
      <c r="V37" s="107">
        <v>94.159347999999994</v>
      </c>
      <c r="W37" s="107">
        <v>6.4202180000000002</v>
      </c>
      <c r="X37" t="s">
        <v>783</v>
      </c>
      <c r="Y37" t="s">
        <v>784</v>
      </c>
      <c r="Z37" s="104">
        <v>50214</v>
      </c>
      <c r="AA37" s="107">
        <v>98.840999999999994</v>
      </c>
      <c r="AB37" t="s">
        <v>785</v>
      </c>
      <c r="AC37" t="s">
        <v>774</v>
      </c>
      <c r="AD37" t="s">
        <v>782</v>
      </c>
      <c r="AE37" t="s">
        <v>786</v>
      </c>
      <c r="AF37" t="s">
        <v>787</v>
      </c>
      <c r="AG37" t="s">
        <v>60</v>
      </c>
      <c r="AH37" t="s">
        <v>728</v>
      </c>
      <c r="AI37" t="s">
        <v>782</v>
      </c>
      <c r="AJ37" t="s">
        <v>788</v>
      </c>
      <c r="AK37" t="s">
        <v>785</v>
      </c>
    </row>
    <row r="38" spans="1:37" x14ac:dyDescent="0.35">
      <c r="A38" t="s">
        <v>864</v>
      </c>
      <c r="B38" s="112">
        <f t="shared" si="0"/>
        <v>246114000</v>
      </c>
      <c r="C38" t="s">
        <v>774</v>
      </c>
      <c r="D38" s="104">
        <v>50946</v>
      </c>
      <c r="E38" s="105">
        <v>330000000</v>
      </c>
      <c r="F38" s="105">
        <v>330000000</v>
      </c>
      <c r="G38" s="106">
        <v>3.883</v>
      </c>
      <c r="H38" s="106">
        <f t="shared" si="1"/>
        <v>9.5566066200000002</v>
      </c>
      <c r="I38" t="s">
        <v>775</v>
      </c>
      <c r="J38" t="s">
        <v>776</v>
      </c>
      <c r="K38" t="s">
        <v>801</v>
      </c>
      <c r="L38" t="s">
        <v>865</v>
      </c>
      <c r="M38" t="s">
        <v>866</v>
      </c>
      <c r="N38" t="s">
        <v>774</v>
      </c>
      <c r="O38" s="214">
        <v>43276</v>
      </c>
      <c r="P38" t="s">
        <v>780</v>
      </c>
      <c r="Q38" t="s">
        <v>780</v>
      </c>
      <c r="R38" t="s">
        <v>781</v>
      </c>
      <c r="S38" t="s">
        <v>782</v>
      </c>
      <c r="T38" s="107">
        <v>9.3605319999999992</v>
      </c>
      <c r="U38" s="107">
        <v>9.3065669999999994</v>
      </c>
      <c r="V38" s="107">
        <v>118.226314</v>
      </c>
      <c r="W38" s="107">
        <v>6.8394690000000002</v>
      </c>
      <c r="X38" t="s">
        <v>783</v>
      </c>
      <c r="Y38" t="s">
        <v>784</v>
      </c>
      <c r="Z38" s="104">
        <v>50948</v>
      </c>
      <c r="AA38" s="107">
        <v>74.58</v>
      </c>
      <c r="AB38" t="s">
        <v>785</v>
      </c>
      <c r="AC38" t="s">
        <v>774</v>
      </c>
      <c r="AD38" t="s">
        <v>782</v>
      </c>
      <c r="AE38" t="s">
        <v>786</v>
      </c>
      <c r="AF38" t="s">
        <v>787</v>
      </c>
      <c r="AG38" t="s">
        <v>60</v>
      </c>
      <c r="AH38" t="s">
        <v>728</v>
      </c>
      <c r="AI38" t="s">
        <v>782</v>
      </c>
      <c r="AJ38" t="s">
        <v>788</v>
      </c>
      <c r="AK38" t="s">
        <v>785</v>
      </c>
    </row>
    <row r="39" spans="1:37" x14ac:dyDescent="0.35">
      <c r="A39" t="s">
        <v>867</v>
      </c>
      <c r="B39" s="112">
        <f t="shared" si="0"/>
        <v>259000500.00000003</v>
      </c>
      <c r="C39" t="s">
        <v>774</v>
      </c>
      <c r="D39" s="104">
        <v>50946</v>
      </c>
      <c r="E39" s="105">
        <v>330000000</v>
      </c>
      <c r="F39" s="105">
        <v>330000000</v>
      </c>
      <c r="G39" s="106">
        <v>1.7390000000000001</v>
      </c>
      <c r="H39" s="106">
        <f t="shared" si="1"/>
        <v>4.504018695000001</v>
      </c>
      <c r="I39" t="s">
        <v>775</v>
      </c>
      <c r="J39" t="s">
        <v>776</v>
      </c>
      <c r="K39" t="s">
        <v>801</v>
      </c>
      <c r="L39" t="s">
        <v>868</v>
      </c>
      <c r="M39" t="s">
        <v>869</v>
      </c>
      <c r="N39" t="s">
        <v>774</v>
      </c>
      <c r="O39" s="214">
        <v>43276</v>
      </c>
      <c r="P39" t="s">
        <v>780</v>
      </c>
      <c r="Q39" t="s">
        <v>780</v>
      </c>
      <c r="R39" t="s">
        <v>781</v>
      </c>
      <c r="S39" t="s">
        <v>850</v>
      </c>
      <c r="T39" s="107">
        <v>11.04228</v>
      </c>
      <c r="U39" s="107">
        <v>11.013187</v>
      </c>
      <c r="V39" s="107">
        <v>-183.53791000000001</v>
      </c>
      <c r="W39" s="107">
        <v>3.8814929999999999</v>
      </c>
      <c r="X39" t="s">
        <v>783</v>
      </c>
      <c r="Y39" t="s">
        <v>784</v>
      </c>
      <c r="Z39" s="104">
        <v>50948</v>
      </c>
      <c r="AA39" s="107">
        <v>78.484999999999999</v>
      </c>
      <c r="AB39" t="s">
        <v>785</v>
      </c>
      <c r="AC39" t="s">
        <v>774</v>
      </c>
      <c r="AD39" t="s">
        <v>782</v>
      </c>
      <c r="AE39" t="s">
        <v>786</v>
      </c>
      <c r="AF39" t="s">
        <v>787</v>
      </c>
      <c r="AG39" t="s">
        <v>60</v>
      </c>
      <c r="AH39" t="s">
        <v>728</v>
      </c>
      <c r="AI39" t="s">
        <v>782</v>
      </c>
      <c r="AJ39" t="s">
        <v>788</v>
      </c>
      <c r="AK39" t="s">
        <v>785</v>
      </c>
    </row>
    <row r="40" spans="1:37" x14ac:dyDescent="0.35">
      <c r="A40" t="s">
        <v>870</v>
      </c>
      <c r="B40" s="112">
        <f t="shared" si="0"/>
        <v>401904000</v>
      </c>
      <c r="C40" t="s">
        <v>774</v>
      </c>
      <c r="D40" s="104">
        <v>51545</v>
      </c>
      <c r="E40" s="105">
        <v>450000000</v>
      </c>
      <c r="F40" s="105">
        <v>450000000</v>
      </c>
      <c r="G40" s="106">
        <v>5.75</v>
      </c>
      <c r="H40" s="106">
        <f t="shared" si="1"/>
        <v>23.109480000000001</v>
      </c>
      <c r="I40" t="s">
        <v>775</v>
      </c>
      <c r="J40" t="s">
        <v>776</v>
      </c>
      <c r="K40" t="s">
        <v>801</v>
      </c>
      <c r="L40" t="s">
        <v>871</v>
      </c>
      <c r="M40" t="s">
        <v>872</v>
      </c>
      <c r="N40" t="s">
        <v>774</v>
      </c>
      <c r="O40" s="214">
        <v>44970</v>
      </c>
      <c r="P40" t="s">
        <v>780</v>
      </c>
      <c r="Q40" t="s">
        <v>780</v>
      </c>
      <c r="R40" t="s">
        <v>781</v>
      </c>
      <c r="S40" t="s">
        <v>782</v>
      </c>
      <c r="T40" s="107">
        <v>9.1788910000000001</v>
      </c>
      <c r="U40" s="107">
        <v>9.0726600000000008</v>
      </c>
      <c r="V40" s="107">
        <v>113.32749099999999</v>
      </c>
      <c r="W40" s="107">
        <v>6.8285169999999997</v>
      </c>
      <c r="X40" t="s">
        <v>783</v>
      </c>
      <c r="Y40" t="s">
        <v>784</v>
      </c>
      <c r="Z40" s="104">
        <v>51545</v>
      </c>
      <c r="AA40" s="107">
        <v>89.311999999999998</v>
      </c>
      <c r="AB40" t="s">
        <v>785</v>
      </c>
      <c r="AC40" t="s">
        <v>774</v>
      </c>
      <c r="AD40" t="s">
        <v>782</v>
      </c>
      <c r="AE40" t="s">
        <v>786</v>
      </c>
      <c r="AF40" t="s">
        <v>787</v>
      </c>
      <c r="AG40" t="s">
        <v>60</v>
      </c>
      <c r="AH40" t="s">
        <v>854</v>
      </c>
      <c r="AI40" t="s">
        <v>782</v>
      </c>
      <c r="AJ40" t="s">
        <v>788</v>
      </c>
      <c r="AK40" t="s">
        <v>785</v>
      </c>
    </row>
    <row r="41" spans="1:37" x14ac:dyDescent="0.35">
      <c r="A41" t="s">
        <v>873</v>
      </c>
      <c r="B41" s="112">
        <f t="shared" si="0"/>
        <v>307335000</v>
      </c>
      <c r="C41" t="s">
        <v>774</v>
      </c>
      <c r="D41" s="104">
        <v>51838</v>
      </c>
      <c r="E41" s="105">
        <v>350000000</v>
      </c>
      <c r="F41" s="105">
        <v>350000000</v>
      </c>
      <c r="G41" s="106">
        <v>5.625</v>
      </c>
      <c r="H41" s="106">
        <f t="shared" si="1"/>
        <v>17.287593749999999</v>
      </c>
      <c r="I41" t="s">
        <v>775</v>
      </c>
      <c r="J41" t="s">
        <v>776</v>
      </c>
      <c r="K41" t="s">
        <v>801</v>
      </c>
      <c r="L41" t="s">
        <v>874</v>
      </c>
      <c r="M41" t="s">
        <v>875</v>
      </c>
      <c r="N41" t="s">
        <v>774</v>
      </c>
      <c r="O41" s="214">
        <v>45538</v>
      </c>
      <c r="P41" t="s">
        <v>780</v>
      </c>
      <c r="Q41" t="s">
        <v>780</v>
      </c>
      <c r="R41" t="s">
        <v>781</v>
      </c>
      <c r="S41" t="s">
        <v>782</v>
      </c>
      <c r="T41" s="107">
        <v>9.4075589999999991</v>
      </c>
      <c r="U41" s="107">
        <v>9.2893519999999992</v>
      </c>
      <c r="V41" s="107">
        <v>110.300034</v>
      </c>
      <c r="W41" s="107">
        <v>6.8316679999999996</v>
      </c>
      <c r="X41" t="s">
        <v>783</v>
      </c>
      <c r="Y41" t="s">
        <v>784</v>
      </c>
      <c r="Z41" s="104">
        <v>51838</v>
      </c>
      <c r="AA41" s="107">
        <v>87.81</v>
      </c>
      <c r="AB41" t="s">
        <v>785</v>
      </c>
      <c r="AC41" t="s">
        <v>774</v>
      </c>
      <c r="AD41" t="s">
        <v>782</v>
      </c>
      <c r="AE41" t="s">
        <v>786</v>
      </c>
      <c r="AF41" t="s">
        <v>787</v>
      </c>
      <c r="AG41" t="s">
        <v>60</v>
      </c>
      <c r="AH41" t="s">
        <v>728</v>
      </c>
      <c r="AI41" t="s">
        <v>782</v>
      </c>
      <c r="AJ41" t="s">
        <v>788</v>
      </c>
      <c r="AK41" t="s">
        <v>785</v>
      </c>
    </row>
    <row r="42" spans="1:37" x14ac:dyDescent="0.35">
      <c r="A42" t="s">
        <v>876</v>
      </c>
      <c r="B42" s="112">
        <f t="shared" si="0"/>
        <v>239193400</v>
      </c>
      <c r="C42" t="s">
        <v>774</v>
      </c>
      <c r="D42" s="104">
        <v>52042</v>
      </c>
      <c r="E42" s="105">
        <v>340000000</v>
      </c>
      <c r="F42" s="105">
        <v>340000000</v>
      </c>
      <c r="G42" s="106">
        <v>3.9239999999999999</v>
      </c>
      <c r="H42" s="106">
        <f t="shared" si="1"/>
        <v>9.3859490159999996</v>
      </c>
      <c r="I42" t="s">
        <v>775</v>
      </c>
      <c r="J42" t="s">
        <v>776</v>
      </c>
      <c r="K42" t="s">
        <v>801</v>
      </c>
      <c r="L42" t="s">
        <v>877</v>
      </c>
      <c r="M42" t="s">
        <v>878</v>
      </c>
      <c r="N42" t="s">
        <v>774</v>
      </c>
      <c r="O42" s="214">
        <v>43276</v>
      </c>
      <c r="P42" t="s">
        <v>780</v>
      </c>
      <c r="Q42" t="s">
        <v>780</v>
      </c>
      <c r="R42" t="s">
        <v>781</v>
      </c>
      <c r="S42" t="s">
        <v>782</v>
      </c>
      <c r="T42" s="107">
        <v>10.655987</v>
      </c>
      <c r="U42" s="107">
        <v>10.551786</v>
      </c>
      <c r="V42" s="107">
        <v>120.79616900000001</v>
      </c>
      <c r="W42" s="107">
        <v>6.9928970000000001</v>
      </c>
      <c r="X42" t="s">
        <v>783</v>
      </c>
      <c r="Y42" t="s">
        <v>784</v>
      </c>
      <c r="Z42" s="104">
        <v>52042</v>
      </c>
      <c r="AA42" s="107">
        <v>70.350999999999999</v>
      </c>
      <c r="AB42" t="s">
        <v>785</v>
      </c>
      <c r="AC42" t="s">
        <v>774</v>
      </c>
      <c r="AD42" t="s">
        <v>782</v>
      </c>
      <c r="AE42" t="s">
        <v>786</v>
      </c>
      <c r="AF42" t="s">
        <v>787</v>
      </c>
      <c r="AG42" t="s">
        <v>60</v>
      </c>
      <c r="AH42" t="s">
        <v>728</v>
      </c>
      <c r="AI42" t="s">
        <v>782</v>
      </c>
      <c r="AJ42" t="s">
        <v>788</v>
      </c>
      <c r="AK42" t="s">
        <v>785</v>
      </c>
    </row>
    <row r="43" spans="1:37" x14ac:dyDescent="0.35">
      <c r="A43" t="s">
        <v>879</v>
      </c>
      <c r="B43" s="112">
        <f t="shared" si="0"/>
        <v>247656000.00000003</v>
      </c>
      <c r="C43" t="s">
        <v>774</v>
      </c>
      <c r="D43" s="104">
        <v>52042</v>
      </c>
      <c r="E43" s="105">
        <v>340000000</v>
      </c>
      <c r="F43" s="105">
        <v>340000000</v>
      </c>
      <c r="G43" s="106">
        <v>1.774</v>
      </c>
      <c r="H43" s="106">
        <f t="shared" si="1"/>
        <v>4.3934174400000003</v>
      </c>
      <c r="I43" t="s">
        <v>775</v>
      </c>
      <c r="J43" t="s">
        <v>776</v>
      </c>
      <c r="K43" t="s">
        <v>801</v>
      </c>
      <c r="L43" t="s">
        <v>880</v>
      </c>
      <c r="M43" t="s">
        <v>881</v>
      </c>
      <c r="N43" t="s">
        <v>774</v>
      </c>
      <c r="O43" s="214">
        <v>43276</v>
      </c>
      <c r="P43" t="s">
        <v>780</v>
      </c>
      <c r="Q43" t="s">
        <v>780</v>
      </c>
      <c r="R43" t="s">
        <v>781</v>
      </c>
      <c r="S43" t="s">
        <v>850</v>
      </c>
      <c r="T43" s="107">
        <v>13.091628</v>
      </c>
      <c r="U43" s="107">
        <v>13.034254000000001</v>
      </c>
      <c r="V43" s="107">
        <v>-174.53169199999999</v>
      </c>
      <c r="W43" s="107">
        <v>4.1201739999999996</v>
      </c>
      <c r="X43" t="s">
        <v>783</v>
      </c>
      <c r="Y43" t="s">
        <v>784</v>
      </c>
      <c r="Z43" s="104">
        <v>52042</v>
      </c>
      <c r="AA43" s="107">
        <v>72.84</v>
      </c>
      <c r="AB43" t="s">
        <v>785</v>
      </c>
      <c r="AC43" t="s">
        <v>774</v>
      </c>
      <c r="AD43" t="s">
        <v>782</v>
      </c>
      <c r="AE43" t="s">
        <v>786</v>
      </c>
      <c r="AF43" t="s">
        <v>787</v>
      </c>
      <c r="AG43" t="s">
        <v>60</v>
      </c>
      <c r="AH43" t="s">
        <v>728</v>
      </c>
      <c r="AI43" t="s">
        <v>782</v>
      </c>
      <c r="AJ43" t="s">
        <v>788</v>
      </c>
      <c r="AK43" t="s">
        <v>785</v>
      </c>
    </row>
    <row r="44" spans="1:37" x14ac:dyDescent="0.35">
      <c r="A44" t="s">
        <v>882</v>
      </c>
      <c r="B44" s="112">
        <f t="shared" si="0"/>
        <v>0</v>
      </c>
      <c r="C44" t="s">
        <v>774</v>
      </c>
      <c r="D44" s="104">
        <v>52279</v>
      </c>
      <c r="E44" s="105">
        <v>47909238</v>
      </c>
      <c r="F44" s="105">
        <v>47909238</v>
      </c>
      <c r="G44" s="106">
        <v>2.08</v>
      </c>
      <c r="H44" s="106">
        <f t="shared" si="1"/>
        <v>0</v>
      </c>
      <c r="I44" t="s">
        <v>775</v>
      </c>
      <c r="J44" t="s">
        <v>776</v>
      </c>
      <c r="K44" t="s">
        <v>883</v>
      </c>
      <c r="L44" t="s">
        <v>884</v>
      </c>
      <c r="M44" t="s">
        <v>885</v>
      </c>
      <c r="N44" t="s">
        <v>774</v>
      </c>
      <c r="O44" s="214">
        <v>44974</v>
      </c>
      <c r="P44" t="s">
        <v>780</v>
      </c>
      <c r="Q44" t="s">
        <v>780</v>
      </c>
      <c r="R44" t="s">
        <v>781</v>
      </c>
      <c r="S44" t="s">
        <v>782</v>
      </c>
      <c r="T44" s="107">
        <v>0</v>
      </c>
      <c r="U44" s="107">
        <v>0</v>
      </c>
      <c r="V44" s="107">
        <v>0</v>
      </c>
      <c r="W44" s="107">
        <v>0</v>
      </c>
      <c r="X44" t="s">
        <v>774</v>
      </c>
      <c r="Y44" t="s">
        <v>774</v>
      </c>
      <c r="Z44" s="104" t="s">
        <v>774</v>
      </c>
      <c r="AA44" s="107">
        <v>0</v>
      </c>
      <c r="AB44" t="s">
        <v>785</v>
      </c>
      <c r="AC44" t="s">
        <v>774</v>
      </c>
      <c r="AD44" t="s">
        <v>782</v>
      </c>
      <c r="AE44" t="s">
        <v>786</v>
      </c>
      <c r="AF44" t="s">
        <v>787</v>
      </c>
      <c r="AG44" t="s">
        <v>60</v>
      </c>
      <c r="AH44" t="s">
        <v>728</v>
      </c>
      <c r="AI44" t="s">
        <v>782</v>
      </c>
      <c r="AJ44" t="s">
        <v>788</v>
      </c>
      <c r="AK44" t="s">
        <v>785</v>
      </c>
    </row>
    <row r="45" spans="1:37" x14ac:dyDescent="0.35">
      <c r="A45" t="s">
        <v>886</v>
      </c>
      <c r="B45" s="112">
        <f t="shared" si="0"/>
        <v>157375000</v>
      </c>
      <c r="C45" t="s">
        <v>774</v>
      </c>
      <c r="D45" s="104">
        <v>54017</v>
      </c>
      <c r="E45" s="105">
        <v>250000000</v>
      </c>
      <c r="F45" s="105">
        <v>250000000</v>
      </c>
      <c r="G45" s="106">
        <v>3.625</v>
      </c>
      <c r="H45" s="106">
        <f t="shared" si="1"/>
        <v>5.7048437500000002</v>
      </c>
      <c r="I45" t="s">
        <v>775</v>
      </c>
      <c r="J45" t="s">
        <v>776</v>
      </c>
      <c r="K45" t="s">
        <v>801</v>
      </c>
      <c r="L45" t="s">
        <v>887</v>
      </c>
      <c r="M45" t="s">
        <v>888</v>
      </c>
      <c r="N45" t="s">
        <v>774</v>
      </c>
      <c r="O45" s="214">
        <v>43060</v>
      </c>
      <c r="P45" t="s">
        <v>780</v>
      </c>
      <c r="Q45" t="s">
        <v>780</v>
      </c>
      <c r="R45" t="s">
        <v>781</v>
      </c>
      <c r="S45" t="s">
        <v>782</v>
      </c>
      <c r="T45" s="107">
        <v>12.269888</v>
      </c>
      <c r="U45" s="107">
        <v>12.05606</v>
      </c>
      <c r="V45" s="107">
        <v>95.987440000000007</v>
      </c>
      <c r="W45" s="107">
        <v>6.9270230000000002</v>
      </c>
      <c r="X45" t="s">
        <v>783</v>
      </c>
      <c r="Y45" t="s">
        <v>784</v>
      </c>
      <c r="Z45" s="104">
        <v>54017</v>
      </c>
      <c r="AA45" s="107">
        <v>62.95</v>
      </c>
      <c r="AB45" t="s">
        <v>785</v>
      </c>
      <c r="AC45" t="s">
        <v>774</v>
      </c>
      <c r="AD45" t="s">
        <v>782</v>
      </c>
      <c r="AE45" t="s">
        <v>786</v>
      </c>
      <c r="AF45" t="s">
        <v>787</v>
      </c>
      <c r="AG45" t="s">
        <v>60</v>
      </c>
      <c r="AH45" t="s">
        <v>728</v>
      </c>
      <c r="AI45" t="s">
        <v>782</v>
      </c>
      <c r="AJ45" t="s">
        <v>788</v>
      </c>
      <c r="AK45" t="s">
        <v>785</v>
      </c>
    </row>
    <row r="46" spans="1:37" x14ac:dyDescent="0.35">
      <c r="A46" t="s">
        <v>889</v>
      </c>
      <c r="B46" s="112">
        <f t="shared" si="0"/>
        <v>263635675.58900002</v>
      </c>
      <c r="C46" t="s">
        <v>774</v>
      </c>
      <c r="D46" s="104">
        <v>54735</v>
      </c>
      <c r="E46" s="105">
        <v>378243437</v>
      </c>
      <c r="F46" s="105">
        <v>378243437</v>
      </c>
      <c r="G46" s="106">
        <v>4.25</v>
      </c>
      <c r="H46" s="106">
        <f t="shared" si="1"/>
        <v>11.204516212532502</v>
      </c>
      <c r="I46" t="s">
        <v>775</v>
      </c>
      <c r="J46" t="s">
        <v>793</v>
      </c>
      <c r="K46" t="s">
        <v>794</v>
      </c>
      <c r="L46" t="s">
        <v>890</v>
      </c>
      <c r="M46" t="s">
        <v>891</v>
      </c>
      <c r="N46" t="s">
        <v>892</v>
      </c>
      <c r="O46" s="214">
        <v>43777</v>
      </c>
      <c r="P46" t="s">
        <v>780</v>
      </c>
      <c r="Q46" t="s">
        <v>780</v>
      </c>
      <c r="R46" t="s">
        <v>781</v>
      </c>
      <c r="S46" t="s">
        <v>782</v>
      </c>
      <c r="T46" s="107">
        <v>12.414799</v>
      </c>
      <c r="U46" s="107">
        <v>12.200219000000001</v>
      </c>
      <c r="V46" s="107">
        <v>117.355468</v>
      </c>
      <c r="W46" s="107">
        <v>6.889723</v>
      </c>
      <c r="X46" t="s">
        <v>798</v>
      </c>
      <c r="Y46" t="s">
        <v>784</v>
      </c>
      <c r="Z46" s="104">
        <v>54735</v>
      </c>
      <c r="AA46" s="107">
        <v>69.7</v>
      </c>
      <c r="AB46" t="s">
        <v>785</v>
      </c>
      <c r="AC46" t="s">
        <v>774</v>
      </c>
      <c r="AD46" t="s">
        <v>782</v>
      </c>
      <c r="AE46" t="s">
        <v>812</v>
      </c>
      <c r="AF46" t="s">
        <v>774</v>
      </c>
      <c r="AG46" t="s">
        <v>60</v>
      </c>
      <c r="AH46" t="s">
        <v>728</v>
      </c>
      <c r="AI46" t="s">
        <v>782</v>
      </c>
      <c r="AJ46" t="s">
        <v>788</v>
      </c>
      <c r="AK46" t="s">
        <v>785</v>
      </c>
    </row>
    <row r="47" spans="1:37" x14ac:dyDescent="0.35">
      <c r="A47" t="s">
        <v>893</v>
      </c>
      <c r="B47" s="112">
        <f t="shared" si="0"/>
        <v>635475389.99113989</v>
      </c>
      <c r="C47" t="s">
        <v>774</v>
      </c>
      <c r="D47" s="104">
        <v>56525</v>
      </c>
      <c r="E47" s="105">
        <v>636640442</v>
      </c>
      <c r="F47" s="105">
        <v>636640442</v>
      </c>
      <c r="G47" s="106">
        <v>5.125</v>
      </c>
      <c r="H47" s="106">
        <f t="shared" si="1"/>
        <v>32.56811373704592</v>
      </c>
      <c r="I47" t="s">
        <v>894</v>
      </c>
      <c r="J47" t="s">
        <v>776</v>
      </c>
      <c r="K47" t="s">
        <v>777</v>
      </c>
      <c r="L47" t="s">
        <v>895</v>
      </c>
      <c r="M47" t="s">
        <v>896</v>
      </c>
      <c r="N47" t="s">
        <v>774</v>
      </c>
      <c r="O47" s="214">
        <v>45385</v>
      </c>
      <c r="P47" t="s">
        <v>897</v>
      </c>
      <c r="Q47" t="s">
        <v>897</v>
      </c>
      <c r="R47" t="s">
        <v>781</v>
      </c>
      <c r="S47" t="s">
        <v>782</v>
      </c>
      <c r="T47" s="107">
        <v>2.314254</v>
      </c>
      <c r="U47" s="107">
        <v>2.5521340000000001</v>
      </c>
      <c r="V47" s="107">
        <v>204.34252699999999</v>
      </c>
      <c r="W47" s="107">
        <v>5.1921549999999996</v>
      </c>
      <c r="X47" t="s">
        <v>783</v>
      </c>
      <c r="Y47" t="s">
        <v>898</v>
      </c>
      <c r="Z47" s="104">
        <v>47394</v>
      </c>
      <c r="AA47" s="107">
        <v>99.816999999999993</v>
      </c>
      <c r="AB47" t="s">
        <v>785</v>
      </c>
      <c r="AC47" t="s">
        <v>774</v>
      </c>
      <c r="AD47" t="s">
        <v>782</v>
      </c>
      <c r="AE47" t="s">
        <v>786</v>
      </c>
      <c r="AF47" t="s">
        <v>787</v>
      </c>
      <c r="AG47" t="s">
        <v>60</v>
      </c>
      <c r="AH47" t="s">
        <v>728</v>
      </c>
      <c r="AI47" t="s">
        <v>782</v>
      </c>
      <c r="AJ47" t="s">
        <v>788</v>
      </c>
      <c r="AK47" t="s">
        <v>785</v>
      </c>
    </row>
    <row r="48" spans="1:37" x14ac:dyDescent="0.35">
      <c r="A48" t="s">
        <v>899</v>
      </c>
      <c r="B48" s="112">
        <f t="shared" si="0"/>
        <v>390848000</v>
      </c>
      <c r="C48" t="s">
        <v>774</v>
      </c>
      <c r="D48" s="104">
        <v>56951</v>
      </c>
      <c r="E48" s="105">
        <v>400000000</v>
      </c>
      <c r="F48" s="105">
        <v>400000000</v>
      </c>
      <c r="G48" s="106">
        <v>6.375</v>
      </c>
      <c r="H48" s="106">
        <f t="shared" si="1"/>
        <v>24.91656</v>
      </c>
      <c r="I48" t="s">
        <v>894</v>
      </c>
      <c r="J48" t="s">
        <v>776</v>
      </c>
      <c r="K48" t="s">
        <v>801</v>
      </c>
      <c r="L48" t="s">
        <v>900</v>
      </c>
      <c r="M48" t="s">
        <v>901</v>
      </c>
      <c r="N48" t="s">
        <v>774</v>
      </c>
      <c r="O48" s="214">
        <v>45811</v>
      </c>
      <c r="P48" t="s">
        <v>897</v>
      </c>
      <c r="Q48" t="s">
        <v>897</v>
      </c>
      <c r="R48" t="s">
        <v>902</v>
      </c>
      <c r="S48" t="s">
        <v>782</v>
      </c>
      <c r="T48" s="107">
        <v>2.9373689999999999</v>
      </c>
      <c r="U48" s="107">
        <v>3.2753999999999999</v>
      </c>
      <c r="V48" s="107">
        <v>208.791527</v>
      </c>
      <c r="W48" s="107">
        <v>7.020492</v>
      </c>
      <c r="X48" t="s">
        <v>783</v>
      </c>
      <c r="Y48" t="s">
        <v>898</v>
      </c>
      <c r="Z48" s="104">
        <v>47820</v>
      </c>
      <c r="AA48" s="107">
        <v>97.712000000000003</v>
      </c>
      <c r="AB48" t="s">
        <v>785</v>
      </c>
      <c r="AC48" t="s">
        <v>774</v>
      </c>
      <c r="AD48" t="s">
        <v>782</v>
      </c>
      <c r="AE48" t="s">
        <v>786</v>
      </c>
      <c r="AF48" t="s">
        <v>787</v>
      </c>
      <c r="AG48" t="s">
        <v>60</v>
      </c>
      <c r="AH48" t="s">
        <v>728</v>
      </c>
      <c r="AI48" t="s">
        <v>782</v>
      </c>
      <c r="AJ48" t="s">
        <v>788</v>
      </c>
      <c r="AK48" t="s">
        <v>785</v>
      </c>
    </row>
    <row r="49" spans="1:37" x14ac:dyDescent="0.35">
      <c r="A49" t="s">
        <v>903</v>
      </c>
      <c r="B49" s="112">
        <f t="shared" si="0"/>
        <v>352063317.50804502</v>
      </c>
      <c r="C49" t="s">
        <v>774</v>
      </c>
      <c r="D49" s="104">
        <v>66438</v>
      </c>
      <c r="E49" s="105">
        <v>378243437</v>
      </c>
      <c r="F49" s="105">
        <v>378243437</v>
      </c>
      <c r="G49" s="106">
        <v>4.875</v>
      </c>
      <c r="H49" s="106">
        <f t="shared" si="1"/>
        <v>17.163086728517193</v>
      </c>
      <c r="I49" t="s">
        <v>894</v>
      </c>
      <c r="J49" t="s">
        <v>793</v>
      </c>
      <c r="K49" t="s">
        <v>794</v>
      </c>
      <c r="L49" t="s">
        <v>904</v>
      </c>
      <c r="M49" t="s">
        <v>905</v>
      </c>
      <c r="N49" t="s">
        <v>906</v>
      </c>
      <c r="O49" s="214">
        <v>44523</v>
      </c>
      <c r="P49" t="s">
        <v>907</v>
      </c>
      <c r="Q49" t="s">
        <v>908</v>
      </c>
      <c r="R49" t="s">
        <v>902</v>
      </c>
      <c r="S49" t="s">
        <v>782</v>
      </c>
      <c r="T49" s="107">
        <v>4.0210119999999998</v>
      </c>
      <c r="U49" s="107">
        <v>4.1626010000000004</v>
      </c>
      <c r="V49" s="107">
        <v>149.62954199999999</v>
      </c>
      <c r="W49" s="107">
        <v>7.9759229999999999</v>
      </c>
      <c r="X49" t="s">
        <v>798</v>
      </c>
      <c r="Y49" t="s">
        <v>784</v>
      </c>
      <c r="Z49" s="104">
        <v>66439</v>
      </c>
      <c r="AA49" s="107">
        <v>93.078500000000005</v>
      </c>
      <c r="AB49" t="s">
        <v>785</v>
      </c>
      <c r="AC49" t="s">
        <v>774</v>
      </c>
      <c r="AD49" t="s">
        <v>782</v>
      </c>
      <c r="AE49" t="s">
        <v>812</v>
      </c>
      <c r="AF49" t="s">
        <v>774</v>
      </c>
      <c r="AG49" t="s">
        <v>60</v>
      </c>
      <c r="AH49" t="s">
        <v>728</v>
      </c>
      <c r="AI49" t="s">
        <v>782</v>
      </c>
      <c r="AJ49" t="s">
        <v>788</v>
      </c>
      <c r="AK49" t="s">
        <v>785</v>
      </c>
    </row>
    <row r="50" spans="1:37" x14ac:dyDescent="0.35">
      <c r="A50" t="s">
        <v>909</v>
      </c>
      <c r="B50" s="112">
        <f t="shared" si="0"/>
        <v>370741734.91397899</v>
      </c>
      <c r="C50" t="s">
        <v>774</v>
      </c>
      <c r="D50" s="104">
        <v>66438</v>
      </c>
      <c r="E50" s="105">
        <v>378243437</v>
      </c>
      <c r="F50" s="105">
        <v>378243437</v>
      </c>
      <c r="G50" s="106">
        <v>4.25</v>
      </c>
      <c r="H50" s="106">
        <f t="shared" si="1"/>
        <v>15.756523733844109</v>
      </c>
      <c r="I50" t="s">
        <v>894</v>
      </c>
      <c r="J50" t="s">
        <v>793</v>
      </c>
      <c r="K50" t="s">
        <v>794</v>
      </c>
      <c r="L50" t="s">
        <v>910</v>
      </c>
      <c r="M50" t="s">
        <v>911</v>
      </c>
      <c r="N50" t="s">
        <v>912</v>
      </c>
      <c r="O50" s="214">
        <v>44523</v>
      </c>
      <c r="P50" t="s">
        <v>897</v>
      </c>
      <c r="Q50" t="s">
        <v>897</v>
      </c>
      <c r="R50" t="s">
        <v>902</v>
      </c>
      <c r="S50" t="s">
        <v>782</v>
      </c>
      <c r="T50" s="107">
        <v>3.8039619999999998</v>
      </c>
      <c r="U50" s="107">
        <v>0.119295</v>
      </c>
      <c r="V50" s="107">
        <v>1620.317675</v>
      </c>
      <c r="W50" s="107">
        <v>7.2859249999999998</v>
      </c>
      <c r="X50" t="s">
        <v>798</v>
      </c>
      <c r="Y50" t="s">
        <v>784</v>
      </c>
      <c r="Z50" s="104">
        <v>66439</v>
      </c>
      <c r="AA50" s="107">
        <v>98.0167</v>
      </c>
      <c r="AB50" t="s">
        <v>785</v>
      </c>
      <c r="AC50" t="s">
        <v>774</v>
      </c>
      <c r="AD50" t="s">
        <v>782</v>
      </c>
      <c r="AE50" t="s">
        <v>812</v>
      </c>
      <c r="AF50" t="s">
        <v>774</v>
      </c>
      <c r="AG50" t="s">
        <v>60</v>
      </c>
      <c r="AH50" t="s">
        <v>728</v>
      </c>
      <c r="AI50" t="s">
        <v>782</v>
      </c>
      <c r="AJ50" t="s">
        <v>788</v>
      </c>
      <c r="AK50" t="s">
        <v>785</v>
      </c>
    </row>
    <row r="51" spans="1:37" x14ac:dyDescent="0.35">
      <c r="A51" t="s">
        <v>913</v>
      </c>
      <c r="B51" s="112">
        <f t="shared" si="0"/>
        <v>725781000.00000012</v>
      </c>
      <c r="C51" t="s">
        <v>774</v>
      </c>
      <c r="D51" s="104">
        <v>67195</v>
      </c>
      <c r="E51" s="105">
        <v>700000000</v>
      </c>
      <c r="F51" s="105">
        <v>700000000</v>
      </c>
      <c r="G51" s="106">
        <v>8.375</v>
      </c>
      <c r="H51" s="106">
        <f t="shared" si="1"/>
        <v>60.784158750000017</v>
      </c>
      <c r="I51" t="s">
        <v>894</v>
      </c>
      <c r="J51" t="s">
        <v>776</v>
      </c>
      <c r="K51" t="s">
        <v>801</v>
      </c>
      <c r="L51" t="s">
        <v>914</v>
      </c>
      <c r="M51" t="s">
        <v>915</v>
      </c>
      <c r="N51" t="s">
        <v>774</v>
      </c>
      <c r="O51" s="214">
        <v>45097</v>
      </c>
      <c r="P51" t="s">
        <v>907</v>
      </c>
      <c r="Q51" t="s">
        <v>908</v>
      </c>
      <c r="R51" t="s">
        <v>902</v>
      </c>
      <c r="S51" t="s">
        <v>782</v>
      </c>
      <c r="T51" s="107">
        <v>1.821671</v>
      </c>
      <c r="U51" s="107">
        <v>1.7169829999999999</v>
      </c>
      <c r="V51" s="107">
        <v>136.943916</v>
      </c>
      <c r="W51" s="107">
        <v>6.3154969999999997</v>
      </c>
      <c r="X51" t="s">
        <v>783</v>
      </c>
      <c r="Y51" t="s">
        <v>898</v>
      </c>
      <c r="Z51" s="104">
        <v>47016</v>
      </c>
      <c r="AA51" s="107">
        <v>103.68300000000001</v>
      </c>
      <c r="AB51" t="s">
        <v>785</v>
      </c>
      <c r="AC51" t="s">
        <v>774</v>
      </c>
      <c r="AD51" t="s">
        <v>782</v>
      </c>
      <c r="AE51" t="s">
        <v>786</v>
      </c>
      <c r="AF51" t="s">
        <v>787</v>
      </c>
      <c r="AG51" t="s">
        <v>60</v>
      </c>
      <c r="AH51" t="s">
        <v>728</v>
      </c>
      <c r="AI51" t="s">
        <v>782</v>
      </c>
      <c r="AJ51" t="s">
        <v>788</v>
      </c>
      <c r="AK51" t="s">
        <v>785</v>
      </c>
    </row>
    <row r="52" spans="1:37" x14ac:dyDescent="0.35">
      <c r="A52" s="108" t="s">
        <v>585</v>
      </c>
      <c r="B52" s="132">
        <f>SUM(B18:B51)</f>
        <v>17410345005.971149</v>
      </c>
      <c r="C52" s="109">
        <v>38</v>
      </c>
      <c r="E52" s="109">
        <v>18334841467.056999</v>
      </c>
      <c r="F52" s="109">
        <v>18433184760.8009</v>
      </c>
      <c r="G52" s="112">
        <f>AVERAGE(G18:G51)</f>
        <v>4.0878823529411763</v>
      </c>
      <c r="H52" s="123">
        <f>SUM(H26:H51)</f>
        <v>464.32550405041388</v>
      </c>
      <c r="W52" s="112">
        <f>AVERAGE(W18:W51)</f>
        <v>5.2527917647058811</v>
      </c>
    </row>
    <row r="53" spans="1:37" x14ac:dyDescent="0.35">
      <c r="A53" t="s">
        <v>758</v>
      </c>
      <c r="B53" s="210">
        <f>AVERAGE(W18:W51)/100</f>
        <v>5.252791764705881E-2</v>
      </c>
    </row>
    <row r="55" spans="1:37" x14ac:dyDescent="0.35">
      <c r="A55" s="17" t="s">
        <v>733</v>
      </c>
      <c r="B55" s="17"/>
    </row>
    <row r="56" spans="1:37" x14ac:dyDescent="0.35">
      <c r="A56" s="98" t="s">
        <v>750</v>
      </c>
      <c r="B56" s="98"/>
      <c r="C56" s="98" t="s">
        <v>916</v>
      </c>
      <c r="D56" s="99" t="s">
        <v>917</v>
      </c>
      <c r="E56" s="99" t="s">
        <v>918</v>
      </c>
    </row>
    <row r="57" spans="1:37" x14ac:dyDescent="0.35">
      <c r="A57" s="110" t="s">
        <v>919</v>
      </c>
      <c r="B57" s="110"/>
      <c r="C57" s="110" t="s">
        <v>920</v>
      </c>
      <c r="D57" s="101">
        <v>1782593237.00734</v>
      </c>
      <c r="E57" s="110">
        <v>1</v>
      </c>
    </row>
    <row r="58" spans="1:37" x14ac:dyDescent="0.35">
      <c r="A58" s="102" t="s">
        <v>921</v>
      </c>
      <c r="B58" s="102"/>
      <c r="C58" s="102" t="s">
        <v>740</v>
      </c>
      <c r="D58" s="103" t="s">
        <v>922</v>
      </c>
      <c r="E58" s="102" t="s">
        <v>923</v>
      </c>
      <c r="F58" s="102" t="s">
        <v>746</v>
      </c>
      <c r="G58" s="102" t="s">
        <v>750</v>
      </c>
      <c r="H58" s="102"/>
      <c r="I58" s="102" t="s">
        <v>748</v>
      </c>
      <c r="J58" s="102" t="s">
        <v>924</v>
      </c>
      <c r="K58" s="103" t="s">
        <v>925</v>
      </c>
      <c r="L58" s="103" t="s">
        <v>926</v>
      </c>
      <c r="M58" s="103" t="s">
        <v>927</v>
      </c>
      <c r="N58" s="103" t="s">
        <v>928</v>
      </c>
      <c r="O58" s="103" t="s">
        <v>929</v>
      </c>
    </row>
    <row r="59" spans="1:37" x14ac:dyDescent="0.35">
      <c r="A59" t="s">
        <v>930</v>
      </c>
      <c r="C59" s="104">
        <v>47513</v>
      </c>
      <c r="D59" s="105">
        <v>1782593237</v>
      </c>
      <c r="E59" t="s">
        <v>60</v>
      </c>
      <c r="F59" t="s">
        <v>931</v>
      </c>
      <c r="G59" s="104">
        <v>45687</v>
      </c>
      <c r="H59" s="104"/>
      <c r="I59" t="s">
        <v>774</v>
      </c>
      <c r="J59" t="s">
        <v>774</v>
      </c>
      <c r="K59" s="111">
        <v>0</v>
      </c>
      <c r="L59" s="111">
        <v>0</v>
      </c>
      <c r="M59" s="111">
        <v>0</v>
      </c>
      <c r="N59" s="111">
        <v>0</v>
      </c>
      <c r="O59" s="111">
        <v>0</v>
      </c>
    </row>
    <row r="60" spans="1:37" x14ac:dyDescent="0.35">
      <c r="A60" s="108" t="s">
        <v>585</v>
      </c>
      <c r="B60" s="108"/>
      <c r="C60" s="109"/>
      <c r="D60" s="109">
        <v>1782593237.0064001</v>
      </c>
      <c r="E60" s="109">
        <v>1</v>
      </c>
    </row>
    <row r="64" spans="1:37" x14ac:dyDescent="0.35">
      <c r="A64" s="332" t="s">
        <v>1103</v>
      </c>
      <c r="B64" s="332"/>
      <c r="C64" s="332"/>
      <c r="D64" s="332"/>
      <c r="E64" s="332"/>
      <c r="F64" s="332"/>
      <c r="G64" s="332"/>
      <c r="H64" s="332"/>
      <c r="I64" s="332"/>
      <c r="J64" s="332"/>
    </row>
    <row r="65" spans="1:10" x14ac:dyDescent="0.35">
      <c r="A65" s="202" t="s">
        <v>48</v>
      </c>
      <c r="B65" s="203" t="s">
        <v>1104</v>
      </c>
      <c r="C65" s="203" t="s">
        <v>1105</v>
      </c>
      <c r="D65" s="203" t="s">
        <v>744</v>
      </c>
      <c r="E65" s="203" t="s">
        <v>740</v>
      </c>
      <c r="F65" s="203" t="s">
        <v>746</v>
      </c>
      <c r="G65" s="203" t="s">
        <v>1106</v>
      </c>
      <c r="H65" s="203"/>
      <c r="I65" s="203" t="s">
        <v>1107</v>
      </c>
      <c r="J65" s="203" t="s">
        <v>1108</v>
      </c>
    </row>
    <row r="66" spans="1:10" x14ac:dyDescent="0.35">
      <c r="A66" s="204" t="s">
        <v>1109</v>
      </c>
      <c r="B66" s="205">
        <v>1015</v>
      </c>
      <c r="C66" s="205" t="s">
        <v>1110</v>
      </c>
      <c r="D66" s="205" t="s">
        <v>1111</v>
      </c>
      <c r="E66" s="205" t="s">
        <v>1112</v>
      </c>
      <c r="F66" s="205" t="s">
        <v>82</v>
      </c>
      <c r="G66" s="205" t="s">
        <v>1111</v>
      </c>
      <c r="H66" s="205"/>
      <c r="I66" s="205" t="s">
        <v>1111</v>
      </c>
      <c r="J66" s="205" t="s">
        <v>1111</v>
      </c>
    </row>
    <row r="67" spans="1:10" x14ac:dyDescent="0.35">
      <c r="A67" s="204" t="s">
        <v>1113</v>
      </c>
      <c r="B67" s="205">
        <v>441</v>
      </c>
      <c r="C67" s="205" t="s">
        <v>1114</v>
      </c>
      <c r="D67" s="205" t="s">
        <v>1111</v>
      </c>
      <c r="E67" s="205" t="s">
        <v>1115</v>
      </c>
      <c r="F67" s="205" t="s">
        <v>82</v>
      </c>
      <c r="G67" s="205" t="s">
        <v>1111</v>
      </c>
      <c r="H67" s="205"/>
      <c r="I67" s="205" t="s">
        <v>1111</v>
      </c>
      <c r="J67" s="205" t="s">
        <v>1111</v>
      </c>
    </row>
    <row r="68" spans="1:10" x14ac:dyDescent="0.35">
      <c r="A68" s="204" t="s">
        <v>1116</v>
      </c>
      <c r="B68" s="205">
        <v>538</v>
      </c>
      <c r="C68" s="205" t="s">
        <v>1117</v>
      </c>
      <c r="D68" s="205" t="s">
        <v>1111</v>
      </c>
      <c r="E68" s="205" t="s">
        <v>1118</v>
      </c>
      <c r="F68" s="205" t="s">
        <v>82</v>
      </c>
      <c r="G68" s="205" t="s">
        <v>1111</v>
      </c>
      <c r="H68" s="205"/>
      <c r="I68" s="205" t="s">
        <v>1111</v>
      </c>
      <c r="J68" s="205" t="s">
        <v>1111</v>
      </c>
    </row>
    <row r="69" spans="1:10" x14ac:dyDescent="0.35">
      <c r="A69" s="204" t="s">
        <v>1119</v>
      </c>
      <c r="B69" s="205">
        <v>638</v>
      </c>
      <c r="C69" s="205" t="s">
        <v>1120</v>
      </c>
      <c r="D69" s="205" t="s">
        <v>1111</v>
      </c>
      <c r="E69" s="205" t="s">
        <v>1118</v>
      </c>
      <c r="F69" s="205" t="s">
        <v>82</v>
      </c>
      <c r="G69" s="205" t="s">
        <v>1111</v>
      </c>
      <c r="H69" s="205"/>
      <c r="I69" s="205" t="s">
        <v>1111</v>
      </c>
      <c r="J69" s="205" t="s">
        <v>1111</v>
      </c>
    </row>
    <row r="70" spans="1:10" x14ac:dyDescent="0.35">
      <c r="A70" s="204" t="s">
        <v>1121</v>
      </c>
      <c r="B70" s="205">
        <v>656</v>
      </c>
      <c r="C70" s="205" t="s">
        <v>1122</v>
      </c>
      <c r="D70" s="205" t="s">
        <v>1111</v>
      </c>
      <c r="E70" s="205" t="s">
        <v>1123</v>
      </c>
      <c r="F70" s="205" t="s">
        <v>82</v>
      </c>
      <c r="G70" s="205" t="s">
        <v>1111</v>
      </c>
      <c r="H70" s="205"/>
      <c r="I70" s="205" t="s">
        <v>1111</v>
      </c>
      <c r="J70" s="205" t="s">
        <v>1111</v>
      </c>
    </row>
    <row r="71" spans="1:10" x14ac:dyDescent="0.35">
      <c r="A71" s="204" t="s">
        <v>1124</v>
      </c>
      <c r="B71" s="205">
        <v>765</v>
      </c>
      <c r="C71" s="205" t="s">
        <v>1125</v>
      </c>
      <c r="D71" s="205" t="s">
        <v>1111</v>
      </c>
      <c r="E71" s="205" t="s">
        <v>1126</v>
      </c>
      <c r="F71" s="205" t="s">
        <v>82</v>
      </c>
      <c r="G71" s="205" t="s">
        <v>1111</v>
      </c>
      <c r="H71" s="205"/>
      <c r="I71" s="205" t="s">
        <v>1111</v>
      </c>
      <c r="J71" s="205" t="s">
        <v>1111</v>
      </c>
    </row>
    <row r="72" spans="1:10" x14ac:dyDescent="0.35">
      <c r="A72" s="204" t="s">
        <v>1127</v>
      </c>
      <c r="B72" s="205">
        <v>2078</v>
      </c>
      <c r="C72" s="205" t="s">
        <v>1128</v>
      </c>
      <c r="D72" s="205" t="s">
        <v>1111</v>
      </c>
      <c r="E72" s="205" t="s">
        <v>1129</v>
      </c>
      <c r="F72" s="205" t="s">
        <v>82</v>
      </c>
      <c r="G72" s="205" t="s">
        <v>1111</v>
      </c>
      <c r="H72" s="205"/>
      <c r="I72" s="205" t="s">
        <v>1111</v>
      </c>
      <c r="J72" s="205" t="s">
        <v>1111</v>
      </c>
    </row>
    <row r="73" spans="1:10" x14ac:dyDescent="0.35">
      <c r="A73" s="204" t="s">
        <v>1130</v>
      </c>
      <c r="B73" s="206">
        <v>720</v>
      </c>
      <c r="C73" s="205" t="s">
        <v>1131</v>
      </c>
      <c r="D73" s="205" t="s">
        <v>1111</v>
      </c>
      <c r="E73" s="205" t="s">
        <v>1132</v>
      </c>
      <c r="F73" s="205" t="s">
        <v>82</v>
      </c>
      <c r="G73" s="205" t="s">
        <v>1111</v>
      </c>
      <c r="H73" s="205"/>
      <c r="I73" s="205" t="s">
        <v>1111</v>
      </c>
      <c r="J73" s="205" t="s">
        <v>1111</v>
      </c>
    </row>
    <row r="74" spans="1:10" x14ac:dyDescent="0.35">
      <c r="A74" s="204" t="s">
        <v>1133</v>
      </c>
      <c r="B74" s="206">
        <v>504</v>
      </c>
      <c r="C74" s="205" t="s">
        <v>1134</v>
      </c>
      <c r="D74" s="205" t="s">
        <v>1111</v>
      </c>
      <c r="E74" s="205" t="s">
        <v>1132</v>
      </c>
      <c r="F74" s="205" t="s">
        <v>82</v>
      </c>
      <c r="G74" s="205" t="s">
        <v>1111</v>
      </c>
      <c r="H74" s="205"/>
      <c r="I74" s="205" t="s">
        <v>1111</v>
      </c>
      <c r="J74" s="205" t="s">
        <v>1111</v>
      </c>
    </row>
    <row r="75" spans="1:10" x14ac:dyDescent="0.35">
      <c r="A75" s="204" t="s">
        <v>1135</v>
      </c>
      <c r="B75" s="206">
        <v>443</v>
      </c>
      <c r="C75" s="205" t="s">
        <v>1136</v>
      </c>
      <c r="D75" s="205" t="s">
        <v>1111</v>
      </c>
      <c r="E75" s="205" t="s">
        <v>1137</v>
      </c>
      <c r="F75" s="205" t="s">
        <v>82</v>
      </c>
      <c r="G75" s="205" t="s">
        <v>1111</v>
      </c>
      <c r="H75" s="205"/>
      <c r="I75" s="205" t="s">
        <v>1111</v>
      </c>
      <c r="J75" s="205" t="s">
        <v>1111</v>
      </c>
    </row>
    <row r="76" spans="1:10" x14ac:dyDescent="0.35">
      <c r="A76" s="204" t="s">
        <v>1138</v>
      </c>
      <c r="B76" s="206">
        <v>339</v>
      </c>
      <c r="C76" s="205" t="s">
        <v>1139</v>
      </c>
      <c r="D76" s="205" t="s">
        <v>1111</v>
      </c>
      <c r="E76" s="205" t="s">
        <v>1140</v>
      </c>
      <c r="F76" s="205" t="s">
        <v>82</v>
      </c>
      <c r="G76" s="205" t="s">
        <v>1111</v>
      </c>
      <c r="H76" s="205"/>
      <c r="I76" s="205" t="s">
        <v>1111</v>
      </c>
      <c r="J76" s="205" t="s">
        <v>1111</v>
      </c>
    </row>
    <row r="77" spans="1:10" x14ac:dyDescent="0.35">
      <c r="A77" s="204" t="s">
        <v>1141</v>
      </c>
      <c r="B77" s="206">
        <v>417</v>
      </c>
      <c r="C77" s="205" t="s">
        <v>1142</v>
      </c>
      <c r="D77" s="205" t="s">
        <v>1111</v>
      </c>
      <c r="E77" s="205" t="s">
        <v>1140</v>
      </c>
      <c r="F77" s="205" t="s">
        <v>82</v>
      </c>
      <c r="G77" s="205" t="s">
        <v>1111</v>
      </c>
      <c r="H77" s="205"/>
      <c r="I77" s="205" t="s">
        <v>1111</v>
      </c>
      <c r="J77" s="205" t="s">
        <v>1111</v>
      </c>
    </row>
    <row r="78" spans="1:10" x14ac:dyDescent="0.35">
      <c r="A78" s="204" t="s">
        <v>1143</v>
      </c>
      <c r="B78" s="206">
        <v>523</v>
      </c>
      <c r="C78" s="205" t="s">
        <v>1144</v>
      </c>
      <c r="D78" s="205" t="s">
        <v>1111</v>
      </c>
      <c r="E78" s="205" t="s">
        <v>1145</v>
      </c>
      <c r="F78" s="205" t="s">
        <v>82</v>
      </c>
      <c r="G78" s="205" t="s">
        <v>1111</v>
      </c>
      <c r="H78" s="205"/>
      <c r="I78" s="205" t="s">
        <v>1111</v>
      </c>
      <c r="J78" s="205" t="s">
        <v>1111</v>
      </c>
    </row>
    <row r="79" spans="1:10" x14ac:dyDescent="0.35">
      <c r="A79" s="204" t="s">
        <v>1146</v>
      </c>
      <c r="B79" s="206">
        <v>340</v>
      </c>
      <c r="C79" s="205" t="s">
        <v>1147</v>
      </c>
      <c r="D79" s="205" t="s">
        <v>1111</v>
      </c>
      <c r="E79" s="205" t="s">
        <v>1148</v>
      </c>
      <c r="F79" s="205" t="s">
        <v>82</v>
      </c>
      <c r="G79" s="205" t="s">
        <v>1111</v>
      </c>
      <c r="H79" s="205"/>
      <c r="I79" s="205" t="s">
        <v>1111</v>
      </c>
      <c r="J79" s="205" t="s">
        <v>1111</v>
      </c>
    </row>
    <row r="80" spans="1:10" x14ac:dyDescent="0.35">
      <c r="A80" s="204" t="s">
        <v>1149</v>
      </c>
      <c r="B80" s="206">
        <v>417</v>
      </c>
      <c r="C80" s="205" t="s">
        <v>1150</v>
      </c>
      <c r="D80" s="205" t="s">
        <v>1111</v>
      </c>
      <c r="E80" s="205" t="s">
        <v>1148</v>
      </c>
      <c r="F80" s="205" t="s">
        <v>82</v>
      </c>
      <c r="G80" s="205" t="s">
        <v>1111</v>
      </c>
      <c r="H80" s="205"/>
      <c r="I80" s="205" t="s">
        <v>1111</v>
      </c>
      <c r="J80" s="205" t="s">
        <v>1111</v>
      </c>
    </row>
    <row r="81" spans="1:10" x14ac:dyDescent="0.35">
      <c r="A81" s="204" t="s">
        <v>1151</v>
      </c>
      <c r="B81" s="206">
        <v>435</v>
      </c>
      <c r="C81" s="205" t="s">
        <v>1120</v>
      </c>
      <c r="D81" s="205" t="s">
        <v>1111</v>
      </c>
      <c r="E81" s="205" t="s">
        <v>1152</v>
      </c>
      <c r="F81" s="205" t="s">
        <v>82</v>
      </c>
      <c r="G81" s="205" t="s">
        <v>1111</v>
      </c>
      <c r="H81" s="205"/>
      <c r="I81" s="205" t="s">
        <v>1111</v>
      </c>
      <c r="J81" s="205" t="s">
        <v>1111</v>
      </c>
    </row>
    <row r="82" spans="1:10" x14ac:dyDescent="0.35">
      <c r="A82" s="204" t="s">
        <v>1153</v>
      </c>
      <c r="B82" s="206">
        <v>350</v>
      </c>
      <c r="C82" s="205" t="s">
        <v>1154</v>
      </c>
      <c r="D82" s="205" t="s">
        <v>1111</v>
      </c>
      <c r="E82" s="205" t="s">
        <v>1155</v>
      </c>
      <c r="F82" s="205" t="s">
        <v>82</v>
      </c>
      <c r="G82" s="205" t="s">
        <v>1111</v>
      </c>
      <c r="H82" s="205"/>
      <c r="I82" s="205" t="s">
        <v>1111</v>
      </c>
      <c r="J82" s="205" t="s">
        <v>1111</v>
      </c>
    </row>
    <row r="83" spans="1:10" x14ac:dyDescent="0.35">
      <c r="A83" s="204" t="s">
        <v>1156</v>
      </c>
      <c r="B83" s="206">
        <v>430</v>
      </c>
      <c r="C83" s="205" t="s">
        <v>1157</v>
      </c>
      <c r="D83" s="205" t="s">
        <v>1111</v>
      </c>
      <c r="E83" s="205" t="s">
        <v>1155</v>
      </c>
      <c r="F83" s="205" t="s">
        <v>82</v>
      </c>
      <c r="G83" s="205" t="s">
        <v>1111</v>
      </c>
      <c r="H83" s="205"/>
      <c r="I83" s="205" t="s">
        <v>1111</v>
      </c>
      <c r="J83" s="205" t="s">
        <v>1111</v>
      </c>
    </row>
    <row r="84" spans="1:10" x14ac:dyDescent="0.35">
      <c r="A84" s="204" t="s">
        <v>1158</v>
      </c>
      <c r="B84" s="206">
        <v>48</v>
      </c>
      <c r="C84" s="205" t="s">
        <v>1159</v>
      </c>
      <c r="D84" s="205" t="s">
        <v>1111</v>
      </c>
      <c r="E84" s="205" t="s">
        <v>1160</v>
      </c>
      <c r="F84" s="205" t="s">
        <v>82</v>
      </c>
      <c r="G84" s="205" t="s">
        <v>1111</v>
      </c>
      <c r="H84" s="205"/>
      <c r="I84" s="205" t="s">
        <v>1111</v>
      </c>
      <c r="J84" s="205" t="s">
        <v>1111</v>
      </c>
    </row>
    <row r="85" spans="1:10" x14ac:dyDescent="0.35">
      <c r="A85" s="204" t="s">
        <v>1161</v>
      </c>
      <c r="B85" s="206">
        <v>251</v>
      </c>
      <c r="C85" s="205" t="s">
        <v>1162</v>
      </c>
      <c r="D85" s="205" t="s">
        <v>1111</v>
      </c>
      <c r="E85" s="205" t="s">
        <v>1163</v>
      </c>
      <c r="F85" s="205" t="s">
        <v>82</v>
      </c>
      <c r="G85" s="205" t="s">
        <v>1111</v>
      </c>
      <c r="H85" s="205"/>
      <c r="I85" s="205" t="s">
        <v>1111</v>
      </c>
      <c r="J85" s="205" t="s">
        <v>1111</v>
      </c>
    </row>
    <row r="86" spans="1:10" x14ac:dyDescent="0.35">
      <c r="A86" s="204" t="s">
        <v>1164</v>
      </c>
      <c r="B86" s="206">
        <v>383</v>
      </c>
      <c r="C86" s="205" t="s">
        <v>1165</v>
      </c>
      <c r="D86" s="205" t="s">
        <v>1111</v>
      </c>
      <c r="E86" s="205" t="s">
        <v>1166</v>
      </c>
      <c r="F86" s="205" t="s">
        <v>82</v>
      </c>
      <c r="G86" s="205" t="s">
        <v>1111</v>
      </c>
      <c r="H86" s="205"/>
      <c r="I86" s="205" t="s">
        <v>1111</v>
      </c>
      <c r="J86" s="205" t="s">
        <v>1111</v>
      </c>
    </row>
    <row r="87" spans="1:10" x14ac:dyDescent="0.35">
      <c r="A87" s="204" t="s">
        <v>1167</v>
      </c>
      <c r="B87" s="206">
        <v>380</v>
      </c>
      <c r="C87" s="205" t="s">
        <v>1165</v>
      </c>
      <c r="D87" s="205" t="s">
        <v>1111</v>
      </c>
      <c r="E87" s="205" t="s">
        <v>1168</v>
      </c>
      <c r="F87" s="205" t="s">
        <v>82</v>
      </c>
      <c r="G87" s="205" t="s">
        <v>1111</v>
      </c>
      <c r="H87" s="205"/>
      <c r="I87" s="205" t="s">
        <v>1111</v>
      </c>
      <c r="J87" s="205" t="s">
        <v>1111</v>
      </c>
    </row>
    <row r="88" spans="1:10" x14ac:dyDescent="0.35">
      <c r="A88" s="204" t="s">
        <v>1169</v>
      </c>
      <c r="B88" s="206">
        <v>384</v>
      </c>
      <c r="C88" s="205" t="s">
        <v>1170</v>
      </c>
      <c r="D88" s="205" t="s">
        <v>1111</v>
      </c>
      <c r="E88" s="205" t="s">
        <v>1168</v>
      </c>
      <c r="F88" s="205" t="s">
        <v>82</v>
      </c>
      <c r="G88" s="205" t="s">
        <v>1111</v>
      </c>
      <c r="H88" s="205"/>
      <c r="I88" s="205" t="s">
        <v>1111</v>
      </c>
      <c r="J88" s="205" t="s">
        <v>1111</v>
      </c>
    </row>
    <row r="89" spans="1:10" x14ac:dyDescent="0.35">
      <c r="A89" s="204" t="s">
        <v>1171</v>
      </c>
      <c r="B89" s="206">
        <v>743</v>
      </c>
      <c r="C89" s="205" t="s">
        <v>1165</v>
      </c>
      <c r="D89" s="205" t="s">
        <v>1111</v>
      </c>
      <c r="E89" s="205" t="s">
        <v>1172</v>
      </c>
      <c r="F89" s="205" t="s">
        <v>82</v>
      </c>
      <c r="G89" s="205" t="s">
        <v>1111</v>
      </c>
      <c r="H89" s="205"/>
      <c r="I89" s="205" t="s">
        <v>1111</v>
      </c>
      <c r="J89" s="205" t="s">
        <v>1111</v>
      </c>
    </row>
    <row r="90" spans="1:10" x14ac:dyDescent="0.35">
      <c r="A90" s="204" t="s">
        <v>1173</v>
      </c>
      <c r="B90" s="206">
        <v>713</v>
      </c>
      <c r="C90" s="205" t="s">
        <v>1174</v>
      </c>
      <c r="D90" s="205" t="s">
        <v>1111</v>
      </c>
      <c r="E90" s="205" t="s">
        <v>1175</v>
      </c>
      <c r="F90" s="205" t="s">
        <v>82</v>
      </c>
      <c r="G90" s="205" t="s">
        <v>1111</v>
      </c>
      <c r="H90" s="205"/>
      <c r="I90" s="205" t="s">
        <v>1111</v>
      </c>
      <c r="J90" s="205" t="s">
        <v>1111</v>
      </c>
    </row>
    <row r="91" spans="1:10" x14ac:dyDescent="0.35">
      <c r="A91" s="204" t="s">
        <v>1176</v>
      </c>
      <c r="B91" s="206">
        <v>740</v>
      </c>
      <c r="C91" s="205" t="s">
        <v>1134</v>
      </c>
      <c r="D91" s="205" t="s">
        <v>1111</v>
      </c>
      <c r="E91" s="205" t="s">
        <v>1177</v>
      </c>
      <c r="F91" s="205" t="s">
        <v>82</v>
      </c>
      <c r="G91" s="205" t="s">
        <v>1111</v>
      </c>
      <c r="H91" s="205"/>
      <c r="I91" s="205" t="s">
        <v>1111</v>
      </c>
      <c r="J91" s="205" t="s">
        <v>1111</v>
      </c>
    </row>
    <row r="92" spans="1:10" x14ac:dyDescent="0.35">
      <c r="A92" s="204" t="s">
        <v>1178</v>
      </c>
      <c r="B92" s="206">
        <v>784</v>
      </c>
      <c r="C92" s="205" t="s">
        <v>1179</v>
      </c>
      <c r="D92" s="205" t="s">
        <v>1111</v>
      </c>
      <c r="E92" s="205" t="s">
        <v>1180</v>
      </c>
      <c r="F92" s="205" t="s">
        <v>82</v>
      </c>
      <c r="G92" s="205" t="s">
        <v>1111</v>
      </c>
      <c r="H92" s="205"/>
      <c r="I92" s="205" t="s">
        <v>1111</v>
      </c>
      <c r="J92" s="205" t="s">
        <v>1111</v>
      </c>
    </row>
    <row r="93" spans="1:10" x14ac:dyDescent="0.35">
      <c r="A93" s="204" t="s">
        <v>1181</v>
      </c>
      <c r="B93" s="206">
        <v>342</v>
      </c>
      <c r="C93" s="205" t="s">
        <v>1182</v>
      </c>
      <c r="D93" s="205" t="s">
        <v>1111</v>
      </c>
      <c r="E93" s="205" t="s">
        <v>1183</v>
      </c>
      <c r="F93" s="205" t="s">
        <v>82</v>
      </c>
      <c r="G93" s="205" t="s">
        <v>1111</v>
      </c>
      <c r="H93" s="205"/>
      <c r="I93" s="205" t="s">
        <v>1111</v>
      </c>
      <c r="J93" s="205" t="s">
        <v>1111</v>
      </c>
    </row>
    <row r="94" spans="1:10" x14ac:dyDescent="0.35">
      <c r="A94" s="204" t="s">
        <v>1184</v>
      </c>
      <c r="B94" s="206">
        <v>667</v>
      </c>
      <c r="C94" s="205" t="s">
        <v>1117</v>
      </c>
      <c r="D94" s="205" t="s">
        <v>1111</v>
      </c>
      <c r="E94" s="205" t="s">
        <v>1185</v>
      </c>
      <c r="F94" s="205" t="s">
        <v>82</v>
      </c>
      <c r="G94" s="205" t="s">
        <v>1111</v>
      </c>
      <c r="H94" s="205"/>
      <c r="I94" s="205" t="s">
        <v>1111</v>
      </c>
      <c r="J94" s="205" t="s">
        <v>1111</v>
      </c>
    </row>
    <row r="95" spans="1:10" x14ac:dyDescent="0.35">
      <c r="A95" s="204" t="s">
        <v>1186</v>
      </c>
      <c r="B95" s="206">
        <v>747</v>
      </c>
      <c r="C95" s="205" t="s">
        <v>1136</v>
      </c>
      <c r="D95" s="205" t="s">
        <v>1111</v>
      </c>
      <c r="E95" s="205" t="s">
        <v>1187</v>
      </c>
      <c r="F95" s="205" t="s">
        <v>82</v>
      </c>
      <c r="G95" s="205" t="s">
        <v>1111</v>
      </c>
      <c r="H95" s="205"/>
      <c r="I95" s="205" t="s">
        <v>1111</v>
      </c>
      <c r="J95" s="205" t="s">
        <v>1111</v>
      </c>
    </row>
    <row r="96" spans="1:10" x14ac:dyDescent="0.35">
      <c r="A96" s="204" t="s">
        <v>1188</v>
      </c>
      <c r="B96" s="206">
        <v>589</v>
      </c>
      <c r="C96" s="205" t="s">
        <v>1131</v>
      </c>
      <c r="D96" s="205" t="s">
        <v>1111</v>
      </c>
      <c r="E96" s="205" t="s">
        <v>1189</v>
      </c>
      <c r="F96" s="205" t="s">
        <v>82</v>
      </c>
      <c r="G96" s="205" t="s">
        <v>1111</v>
      </c>
      <c r="H96" s="205"/>
      <c r="I96" s="205" t="s">
        <v>1111</v>
      </c>
      <c r="J96" s="205" t="s">
        <v>1111</v>
      </c>
    </row>
    <row r="97" spans="1:10" x14ac:dyDescent="0.35">
      <c r="A97" s="204" t="s">
        <v>1190</v>
      </c>
      <c r="B97" s="206">
        <v>78</v>
      </c>
      <c r="C97" s="205" t="s">
        <v>1191</v>
      </c>
      <c r="D97" s="205" t="s">
        <v>1111</v>
      </c>
      <c r="E97" s="205" t="s">
        <v>1192</v>
      </c>
      <c r="F97" s="205" t="s">
        <v>82</v>
      </c>
      <c r="G97" s="205" t="s">
        <v>1111</v>
      </c>
      <c r="H97" s="205"/>
      <c r="I97" s="205" t="s">
        <v>1111</v>
      </c>
      <c r="J97" s="205" t="s">
        <v>1111</v>
      </c>
    </row>
    <row r="98" spans="1:10" x14ac:dyDescent="0.35">
      <c r="A98" s="204" t="s">
        <v>1193</v>
      </c>
      <c r="B98" s="206">
        <v>405</v>
      </c>
      <c r="C98" s="205" t="s">
        <v>1144</v>
      </c>
      <c r="D98" s="205" t="s">
        <v>1111</v>
      </c>
      <c r="E98" s="205" t="s">
        <v>1194</v>
      </c>
      <c r="F98" s="205" t="s">
        <v>82</v>
      </c>
      <c r="G98" s="205" t="s">
        <v>1111</v>
      </c>
      <c r="H98" s="205"/>
      <c r="I98" s="205" t="s">
        <v>1111</v>
      </c>
      <c r="J98" s="205" t="s">
        <v>1111</v>
      </c>
    </row>
    <row r="99" spans="1:10" x14ac:dyDescent="0.35">
      <c r="B99">
        <f>SUM(B66:B98)</f>
        <v>18303</v>
      </c>
    </row>
  </sheetData>
  <mergeCells count="3">
    <mergeCell ref="A1:E1"/>
    <mergeCell ref="A14:AF14"/>
    <mergeCell ref="A64:J6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0AEDA-589A-4B43-A360-B8740C4952F0}">
  <sheetPr>
    <tabColor theme="8" tint="0.39997558519241921"/>
  </sheetPr>
  <dimension ref="A1:K331"/>
  <sheetViews>
    <sheetView zoomScale="55" zoomScaleNormal="55" workbookViewId="0"/>
  </sheetViews>
  <sheetFormatPr defaultRowHeight="14.5" outlineLevelRow="1" x14ac:dyDescent="0.35"/>
  <cols>
    <col min="1" max="1" width="9.1796875" bestFit="1" customWidth="1"/>
    <col min="2" max="2" width="85.7265625" customWidth="1"/>
    <col min="3" max="3" width="12.453125" bestFit="1" customWidth="1"/>
    <col min="4" max="8" width="15.7265625" customWidth="1"/>
    <col min="10" max="11" width="14.1796875" bestFit="1" customWidth="1"/>
    <col min="12" max="13" width="11.7265625" bestFit="1" customWidth="1"/>
  </cols>
  <sheetData>
    <row r="1" spans="2:10" ht="15" customHeight="1" thickBot="1" x14ac:dyDescent="0.4">
      <c r="B1" s="26" t="s">
        <v>270</v>
      </c>
      <c r="C1" s="26"/>
      <c r="D1" s="27"/>
      <c r="E1" s="27"/>
      <c r="F1" s="27"/>
      <c r="G1" s="27"/>
      <c r="H1" s="27"/>
    </row>
    <row r="2" spans="2:10" ht="15" customHeight="1" thickTop="1" x14ac:dyDescent="0.35">
      <c r="B2" s="28" t="s">
        <v>57</v>
      </c>
      <c r="C2" s="28"/>
      <c r="D2" s="29" t="s">
        <v>58</v>
      </c>
      <c r="J2" t="str">
        <f ca="1">"Balance Sheet Check: "&amp;IF(bs_check=0,"Balanced as all things should be","Error!!!")</f>
        <v>Balance Sheet Check: Balanced as all things should be</v>
      </c>
    </row>
    <row r="3" spans="2:10" x14ac:dyDescent="0.35">
      <c r="B3" s="28" t="s">
        <v>59</v>
      </c>
      <c r="C3" s="28"/>
      <c r="D3" s="28" t="s">
        <v>60</v>
      </c>
    </row>
    <row r="4" spans="2:10" x14ac:dyDescent="0.35">
      <c r="B4" s="28" t="s">
        <v>61</v>
      </c>
      <c r="C4" s="28"/>
      <c r="D4" s="28" t="s">
        <v>60</v>
      </c>
    </row>
    <row r="5" spans="2:10" x14ac:dyDescent="0.35">
      <c r="B5" s="28" t="s">
        <v>62</v>
      </c>
      <c r="C5" s="28"/>
      <c r="D5" s="28" t="s">
        <v>63</v>
      </c>
    </row>
    <row r="6" spans="2:10" x14ac:dyDescent="0.35">
      <c r="B6" s="28" t="s">
        <v>64</v>
      </c>
      <c r="C6" s="28"/>
      <c r="D6" s="28" t="s">
        <v>65</v>
      </c>
    </row>
    <row r="7" spans="2:10" x14ac:dyDescent="0.35">
      <c r="B7" s="28" t="s">
        <v>66</v>
      </c>
      <c r="C7" s="28"/>
      <c r="D7" s="28" t="s">
        <v>67</v>
      </c>
    </row>
    <row r="8" spans="2:10" x14ac:dyDescent="0.35">
      <c r="B8" s="28" t="s">
        <v>68</v>
      </c>
      <c r="C8" s="28"/>
      <c r="D8" s="28" t="s">
        <v>69</v>
      </c>
    </row>
    <row r="9" spans="2:10" x14ac:dyDescent="0.35">
      <c r="B9" s="28" t="s">
        <v>70</v>
      </c>
      <c r="C9" s="28"/>
      <c r="D9" s="28" t="s">
        <v>71</v>
      </c>
    </row>
    <row r="10" spans="2:10" x14ac:dyDescent="0.35">
      <c r="B10" s="28" t="s">
        <v>72</v>
      </c>
      <c r="C10" s="28"/>
      <c r="D10" s="30">
        <v>46298.750750925901</v>
      </c>
    </row>
    <row r="11" spans="2:10" x14ac:dyDescent="0.35">
      <c r="B11" s="31" t="s">
        <v>73</v>
      </c>
      <c r="C11" s="31"/>
      <c r="D11" s="32" t="s">
        <v>74</v>
      </c>
      <c r="E11" s="32" t="s">
        <v>75</v>
      </c>
      <c r="F11" s="32" t="s">
        <v>76</v>
      </c>
      <c r="G11" s="32" t="s">
        <v>77</v>
      </c>
      <c r="H11" s="32" t="s">
        <v>78</v>
      </c>
    </row>
    <row r="12" spans="2:10" ht="15" customHeight="1" outlineLevel="1" x14ac:dyDescent="0.35">
      <c r="B12" s="33" t="s">
        <v>79</v>
      </c>
      <c r="C12" s="33"/>
      <c r="D12" s="34">
        <v>46112</v>
      </c>
      <c r="E12" s="34">
        <v>45747</v>
      </c>
      <c r="F12" s="34">
        <v>45382</v>
      </c>
      <c r="G12" s="34">
        <v>45016</v>
      </c>
      <c r="H12" s="34">
        <v>44651</v>
      </c>
    </row>
    <row r="13" spans="2:10" ht="15" customHeight="1" outlineLevel="1" x14ac:dyDescent="0.35">
      <c r="B13" s="33" t="s">
        <v>80</v>
      </c>
      <c r="C13" s="33"/>
      <c r="D13" s="34">
        <v>46112</v>
      </c>
      <c r="E13" s="34">
        <v>45747</v>
      </c>
      <c r="F13" s="34">
        <v>45382</v>
      </c>
      <c r="G13" s="34">
        <v>45016</v>
      </c>
      <c r="H13" s="34">
        <v>44651</v>
      </c>
    </row>
    <row r="14" spans="2:10" ht="15" customHeight="1" outlineLevel="1" x14ac:dyDescent="0.35">
      <c r="B14" s="33" t="s">
        <v>81</v>
      </c>
      <c r="C14" s="33"/>
      <c r="D14" s="35" t="s">
        <v>82</v>
      </c>
      <c r="E14" s="35" t="s">
        <v>82</v>
      </c>
      <c r="F14" s="35" t="s">
        <v>82</v>
      </c>
      <c r="G14" s="35" t="s">
        <v>82</v>
      </c>
      <c r="H14" s="35" t="s">
        <v>82</v>
      </c>
    </row>
    <row r="15" spans="2:10" ht="15" customHeight="1" outlineLevel="1" x14ac:dyDescent="0.35">
      <c r="B15" s="33" t="s">
        <v>83</v>
      </c>
      <c r="C15" s="33"/>
      <c r="D15" s="35" t="s">
        <v>271</v>
      </c>
      <c r="E15" s="35" t="s">
        <v>271</v>
      </c>
      <c r="F15" s="35" t="s">
        <v>271</v>
      </c>
      <c r="G15" s="35" t="s">
        <v>271</v>
      </c>
      <c r="H15" s="35" t="s">
        <v>271</v>
      </c>
    </row>
    <row r="17" spans="2:10" x14ac:dyDescent="0.35">
      <c r="B17" s="36" t="s">
        <v>272</v>
      </c>
      <c r="C17" s="36"/>
      <c r="D17" s="31"/>
      <c r="E17" s="31"/>
      <c r="F17" s="31"/>
      <c r="G17" s="31"/>
      <c r="H17" s="31"/>
    </row>
    <row r="18" spans="2:10" x14ac:dyDescent="0.35">
      <c r="B18" s="36" t="s">
        <v>86</v>
      </c>
      <c r="C18" s="36"/>
      <c r="D18" s="37" t="s">
        <v>87</v>
      </c>
      <c r="E18" s="37" t="s">
        <v>88</v>
      </c>
      <c r="F18" s="37" t="s">
        <v>89</v>
      </c>
      <c r="G18" s="37" t="s">
        <v>90</v>
      </c>
      <c r="H18" s="37" t="s">
        <v>91</v>
      </c>
    </row>
    <row r="19" spans="2:10" ht="15" customHeight="1" x14ac:dyDescent="0.35">
      <c r="B19" s="38" t="s">
        <v>273</v>
      </c>
      <c r="C19" s="38"/>
      <c r="D19" s="39"/>
      <c r="E19" s="39"/>
      <c r="F19" s="39"/>
      <c r="G19" s="39"/>
      <c r="H19" s="39"/>
    </row>
    <row r="20" spans="2:10" ht="15" customHeight="1" x14ac:dyDescent="0.35">
      <c r="B20" s="52" t="s">
        <v>274</v>
      </c>
      <c r="C20" s="52"/>
      <c r="D20" s="275">
        <v>1718</v>
      </c>
      <c r="E20" s="275">
        <v>2814</v>
      </c>
      <c r="F20" s="275">
        <v>2780</v>
      </c>
      <c r="G20" s="275">
        <v>3940</v>
      </c>
      <c r="H20" s="275">
        <v>3456</v>
      </c>
      <c r="J20" t="str">
        <f>B20</f>
        <v>Cash &amp; Short-Term Investments</v>
      </c>
    </row>
    <row r="21" spans="2:10" ht="15" customHeight="1" x14ac:dyDescent="0.35">
      <c r="B21" s="42" t="s">
        <v>275</v>
      </c>
      <c r="C21" s="42"/>
      <c r="D21" s="275">
        <v>236</v>
      </c>
      <c r="E21" s="275">
        <v>183</v>
      </c>
      <c r="F21" s="275">
        <v>414</v>
      </c>
      <c r="G21" s="275">
        <v>392</v>
      </c>
      <c r="H21" s="275">
        <v>777</v>
      </c>
    </row>
    <row r="22" spans="2:10" ht="15" customHeight="1" x14ac:dyDescent="0.35">
      <c r="B22" s="42" t="s">
        <v>276</v>
      </c>
      <c r="C22" s="42"/>
      <c r="D22" s="275">
        <v>1482</v>
      </c>
      <c r="E22" s="275">
        <v>2631</v>
      </c>
      <c r="F22" s="275">
        <v>2366</v>
      </c>
      <c r="G22" s="275">
        <v>3548</v>
      </c>
      <c r="H22" s="275">
        <v>2679</v>
      </c>
    </row>
    <row r="23" spans="2:10" ht="15" customHeight="1" x14ac:dyDescent="0.35">
      <c r="B23" s="40" t="s">
        <v>277</v>
      </c>
      <c r="C23" s="40"/>
      <c r="D23" s="276">
        <v>68</v>
      </c>
      <c r="E23" s="275">
        <v>130</v>
      </c>
      <c r="F23" s="276">
        <v>50</v>
      </c>
      <c r="G23" s="276">
        <v>82</v>
      </c>
      <c r="H23" s="276">
        <v>88</v>
      </c>
    </row>
    <row r="24" spans="2:10" ht="15" customHeight="1" x14ac:dyDescent="0.35">
      <c r="B24" s="40" t="s">
        <v>278</v>
      </c>
      <c r="C24" s="40"/>
      <c r="D24" s="275">
        <v>3463</v>
      </c>
      <c r="E24" s="275">
        <v>3630</v>
      </c>
      <c r="F24" s="275">
        <v>4429</v>
      </c>
      <c r="G24" s="275">
        <v>4138</v>
      </c>
      <c r="H24" s="275">
        <v>3815</v>
      </c>
    </row>
    <row r="25" spans="2:10" ht="15" customHeight="1" x14ac:dyDescent="0.35">
      <c r="B25" s="42" t="s">
        <v>279</v>
      </c>
      <c r="C25" s="42">
        <f>D25</f>
        <v>1442</v>
      </c>
      <c r="D25" s="275">
        <v>1442</v>
      </c>
      <c r="E25" s="275">
        <v>1490</v>
      </c>
      <c r="F25" s="275">
        <v>1899</v>
      </c>
      <c r="G25" s="275">
        <v>1395</v>
      </c>
      <c r="H25" s="275">
        <v>1339</v>
      </c>
    </row>
    <row r="26" spans="2:10" ht="15" customHeight="1" x14ac:dyDescent="0.35">
      <c r="B26" s="44" t="s">
        <v>280</v>
      </c>
      <c r="C26" s="44"/>
      <c r="D26" s="275">
        <v>1601</v>
      </c>
      <c r="E26" s="275">
        <v>1661</v>
      </c>
      <c r="F26" s="275">
        <v>2068</v>
      </c>
      <c r="G26" s="275">
        <v>1563</v>
      </c>
      <c r="H26" s="275">
        <v>1562</v>
      </c>
    </row>
    <row r="27" spans="2:10" ht="15" customHeight="1" x14ac:dyDescent="0.35">
      <c r="B27" s="44" t="s">
        <v>281</v>
      </c>
      <c r="C27" s="44"/>
      <c r="D27" s="275">
        <v>159</v>
      </c>
      <c r="E27" s="275">
        <v>171</v>
      </c>
      <c r="F27" s="275">
        <v>169</v>
      </c>
      <c r="G27" s="275">
        <v>168</v>
      </c>
      <c r="H27" s="275">
        <v>223</v>
      </c>
    </row>
    <row r="28" spans="2:10" ht="15" customHeight="1" x14ac:dyDescent="0.35">
      <c r="B28" s="42" t="s">
        <v>282</v>
      </c>
      <c r="C28" s="42"/>
      <c r="D28" s="275">
        <v>433</v>
      </c>
      <c r="E28" s="275">
        <v>355</v>
      </c>
      <c r="F28" s="275">
        <v>423</v>
      </c>
      <c r="G28" s="275">
        <v>427</v>
      </c>
      <c r="H28" s="275">
        <v>496</v>
      </c>
    </row>
    <row r="29" spans="2:10" ht="15" customHeight="1" x14ac:dyDescent="0.35">
      <c r="B29" s="42" t="s">
        <v>283</v>
      </c>
      <c r="C29" s="42">
        <f>D29</f>
        <v>1588</v>
      </c>
      <c r="D29" s="275">
        <v>1588</v>
      </c>
      <c r="E29" s="275">
        <v>1785</v>
      </c>
      <c r="F29" s="275">
        <v>2107</v>
      </c>
      <c r="G29" s="275">
        <v>2316</v>
      </c>
      <c r="H29" s="275">
        <v>1980</v>
      </c>
    </row>
    <row r="30" spans="2:10" ht="15" customHeight="1" x14ac:dyDescent="0.35">
      <c r="B30" s="52" t="s">
        <v>284</v>
      </c>
      <c r="C30" s="40"/>
      <c r="D30" s="275">
        <v>366</v>
      </c>
      <c r="E30" s="275">
        <v>331</v>
      </c>
      <c r="F30" s="275">
        <v>409</v>
      </c>
      <c r="G30" s="275">
        <v>349</v>
      </c>
      <c r="H30" s="275">
        <v>300</v>
      </c>
      <c r="J30" t="str">
        <f>B30</f>
        <v>Inventories - Total</v>
      </c>
    </row>
    <row r="31" spans="2:10" ht="15" customHeight="1" x14ac:dyDescent="0.35">
      <c r="B31" s="40" t="s">
        <v>285</v>
      </c>
      <c r="C31" s="40"/>
      <c r="D31" s="275">
        <v>636</v>
      </c>
      <c r="E31" s="275">
        <v>613</v>
      </c>
      <c r="F31" s="275">
        <v>586</v>
      </c>
      <c r="G31" s="275">
        <v>545</v>
      </c>
      <c r="H31" s="275">
        <v>523</v>
      </c>
    </row>
    <row r="32" spans="2:10" ht="15" customHeight="1" x14ac:dyDescent="0.35">
      <c r="B32" s="40" t="s">
        <v>286</v>
      </c>
      <c r="C32" s="40"/>
      <c r="D32" s="277">
        <v>0</v>
      </c>
      <c r="E32" s="275">
        <v>245</v>
      </c>
      <c r="F32" s="277">
        <v>0</v>
      </c>
      <c r="G32" s="276">
        <v>21</v>
      </c>
      <c r="H32" s="276">
        <v>80</v>
      </c>
    </row>
    <row r="33" spans="2:8" ht="15" customHeight="1" x14ac:dyDescent="0.35">
      <c r="B33" s="40" t="s">
        <v>287</v>
      </c>
      <c r="C33" s="40"/>
      <c r="D33" s="275">
        <v>864</v>
      </c>
      <c r="E33" s="275">
        <v>609</v>
      </c>
      <c r="F33" s="275">
        <v>465</v>
      </c>
      <c r="G33" s="275">
        <v>382</v>
      </c>
      <c r="H33" s="275">
        <v>646</v>
      </c>
    </row>
    <row r="34" spans="2:8" ht="15" customHeight="1" x14ac:dyDescent="0.35">
      <c r="B34" s="42" t="s">
        <v>288</v>
      </c>
      <c r="C34" s="42"/>
      <c r="D34" s="275">
        <v>459</v>
      </c>
      <c r="E34" s="275">
        <v>415</v>
      </c>
      <c r="F34" s="275">
        <v>383</v>
      </c>
      <c r="G34" s="275">
        <v>369</v>
      </c>
      <c r="H34" s="275">
        <v>336</v>
      </c>
    </row>
    <row r="35" spans="2:8" ht="15" customHeight="1" x14ac:dyDescent="0.35">
      <c r="B35" s="42" t="s">
        <v>289</v>
      </c>
      <c r="C35" s="42"/>
      <c r="D35" s="275">
        <v>123</v>
      </c>
      <c r="E35" s="276">
        <v>33</v>
      </c>
      <c r="F35" s="277"/>
      <c r="G35" s="277"/>
      <c r="H35" s="277"/>
    </row>
    <row r="36" spans="2:8" ht="15" customHeight="1" x14ac:dyDescent="0.35">
      <c r="B36" s="42" t="s">
        <v>290</v>
      </c>
      <c r="C36" s="42"/>
      <c r="D36" s="275">
        <v>282</v>
      </c>
      <c r="E36" s="275">
        <v>161</v>
      </c>
      <c r="F36" s="276">
        <v>82</v>
      </c>
      <c r="G36" s="276">
        <v>13</v>
      </c>
      <c r="H36" s="275">
        <v>310</v>
      </c>
    </row>
    <row r="37" spans="2:8" ht="15" customHeight="1" x14ac:dyDescent="0.35">
      <c r="B37" s="43" t="s">
        <v>291</v>
      </c>
      <c r="C37" s="43"/>
      <c r="D37" s="275">
        <v>7115</v>
      </c>
      <c r="E37" s="275">
        <v>8372</v>
      </c>
      <c r="F37" s="275">
        <v>8719</v>
      </c>
      <c r="G37" s="275">
        <v>9457</v>
      </c>
      <c r="H37" s="275">
        <v>8908</v>
      </c>
    </row>
    <row r="38" spans="2:8" ht="15" customHeight="1" x14ac:dyDescent="0.35">
      <c r="B38" s="38" t="s">
        <v>292</v>
      </c>
      <c r="C38" s="38"/>
      <c r="D38" s="279"/>
      <c r="E38" s="279"/>
      <c r="F38" s="279"/>
      <c r="G38" s="279"/>
      <c r="H38" s="279"/>
    </row>
    <row r="39" spans="2:8" ht="15" customHeight="1" x14ac:dyDescent="0.35">
      <c r="B39" s="40" t="s">
        <v>293</v>
      </c>
      <c r="C39" s="40"/>
      <c r="D39" s="276">
        <v>20</v>
      </c>
      <c r="E39" s="276">
        <v>17</v>
      </c>
      <c r="F39" s="276">
        <v>29</v>
      </c>
      <c r="G39" s="276">
        <v>29</v>
      </c>
      <c r="H39" s="276">
        <v>34</v>
      </c>
    </row>
    <row r="40" spans="2:8" ht="15" customHeight="1" x14ac:dyDescent="0.35">
      <c r="B40" s="42" t="s">
        <v>294</v>
      </c>
      <c r="C40" s="42"/>
      <c r="D40" s="276">
        <v>20</v>
      </c>
      <c r="E40" s="276">
        <v>17</v>
      </c>
      <c r="F40" s="276">
        <v>29</v>
      </c>
      <c r="G40" s="276">
        <v>29</v>
      </c>
      <c r="H40" s="276">
        <v>34</v>
      </c>
    </row>
    <row r="41" spans="2:8" ht="15" customHeight="1" x14ac:dyDescent="0.35">
      <c r="B41" s="40" t="s">
        <v>295</v>
      </c>
      <c r="C41" s="40"/>
      <c r="D41" s="276">
        <v>4</v>
      </c>
      <c r="E41" s="275">
        <v>486</v>
      </c>
      <c r="F41" s="275">
        <v>758</v>
      </c>
      <c r="G41" s="275">
        <v>901</v>
      </c>
      <c r="H41" s="276">
        <v>5</v>
      </c>
    </row>
    <row r="42" spans="2:8" ht="15" customHeight="1" x14ac:dyDescent="0.35">
      <c r="B42" s="40" t="s">
        <v>296</v>
      </c>
      <c r="C42" s="40"/>
      <c r="D42" s="275">
        <v>456</v>
      </c>
      <c r="E42" s="275">
        <v>397</v>
      </c>
      <c r="F42" s="275">
        <v>437</v>
      </c>
      <c r="G42" s="275">
        <v>467</v>
      </c>
      <c r="H42" s="275">
        <v>361</v>
      </c>
    </row>
    <row r="43" spans="2:8" ht="15" customHeight="1" x14ac:dyDescent="0.35">
      <c r="B43" s="42" t="s">
        <v>297</v>
      </c>
      <c r="C43" s="42"/>
      <c r="D43" s="276">
        <v>74</v>
      </c>
      <c r="E43" s="276">
        <v>91</v>
      </c>
      <c r="F43" s="277"/>
      <c r="G43" s="277"/>
      <c r="H43" s="277"/>
    </row>
    <row r="44" spans="2:8" ht="15" customHeight="1" x14ac:dyDescent="0.35">
      <c r="B44" s="42" t="s">
        <v>298</v>
      </c>
      <c r="C44" s="42"/>
      <c r="D44" s="275">
        <v>382</v>
      </c>
      <c r="E44" s="275">
        <v>306</v>
      </c>
      <c r="F44" s="275">
        <v>437</v>
      </c>
      <c r="G44" s="275">
        <v>467</v>
      </c>
      <c r="H44" s="275">
        <v>361</v>
      </c>
    </row>
    <row r="45" spans="2:8" ht="15" customHeight="1" x14ac:dyDescent="0.35">
      <c r="B45" s="40" t="s">
        <v>299</v>
      </c>
      <c r="C45" s="40"/>
      <c r="D45" s="275">
        <v>830</v>
      </c>
      <c r="E45" s="275">
        <v>904</v>
      </c>
      <c r="F45" s="275">
        <v>1020</v>
      </c>
      <c r="G45" s="275">
        <v>1397</v>
      </c>
      <c r="H45" s="275">
        <v>1003</v>
      </c>
    </row>
    <row r="46" spans="2:8" ht="15" customHeight="1" x14ac:dyDescent="0.35">
      <c r="B46" s="40" t="s">
        <v>300</v>
      </c>
      <c r="C46" s="40"/>
      <c r="D46" s="277">
        <v>27682</v>
      </c>
      <c r="E46" s="277">
        <v>26708</v>
      </c>
      <c r="F46" s="277">
        <v>26204</v>
      </c>
      <c r="G46" s="277">
        <v>25648</v>
      </c>
      <c r="H46" s="277">
        <v>25028</v>
      </c>
    </row>
    <row r="47" spans="2:8" ht="15" customHeight="1" x14ac:dyDescent="0.35">
      <c r="B47" s="42" t="s">
        <v>301</v>
      </c>
      <c r="C47" s="42"/>
      <c r="D47" s="277">
        <v>27682</v>
      </c>
      <c r="E47" s="277">
        <v>26708</v>
      </c>
      <c r="F47" s="277">
        <v>26204</v>
      </c>
      <c r="G47" s="277">
        <v>25648</v>
      </c>
      <c r="H47" s="277">
        <v>25028</v>
      </c>
    </row>
    <row r="48" spans="2:8" ht="15" customHeight="1" x14ac:dyDescent="0.35">
      <c r="B48" s="44" t="s">
        <v>302</v>
      </c>
      <c r="C48" s="44"/>
      <c r="D48" s="275">
        <v>400</v>
      </c>
      <c r="E48" s="275">
        <v>411</v>
      </c>
      <c r="F48" s="275">
        <v>418</v>
      </c>
      <c r="G48" s="275">
        <v>449</v>
      </c>
      <c r="H48" s="275">
        <v>401</v>
      </c>
    </row>
    <row r="49" spans="2:8" ht="15" customHeight="1" x14ac:dyDescent="0.35">
      <c r="B49" s="44" t="s">
        <v>303</v>
      </c>
      <c r="C49" s="44"/>
      <c r="D49" s="275">
        <v>1173</v>
      </c>
      <c r="E49" s="275">
        <v>967</v>
      </c>
      <c r="F49" s="275">
        <v>1596</v>
      </c>
      <c r="G49" s="275">
        <v>1594</v>
      </c>
      <c r="H49" s="275">
        <v>1590</v>
      </c>
    </row>
    <row r="50" spans="2:8" ht="15" customHeight="1" x14ac:dyDescent="0.35">
      <c r="B50" s="44" t="s">
        <v>304</v>
      </c>
      <c r="C50" s="44"/>
      <c r="D50" s="275">
        <v>3032</v>
      </c>
      <c r="E50" s="275">
        <v>3328</v>
      </c>
      <c r="F50" s="275">
        <v>3642</v>
      </c>
      <c r="G50" s="275">
        <v>3981</v>
      </c>
      <c r="H50" s="275">
        <v>4429</v>
      </c>
    </row>
    <row r="51" spans="2:8" ht="15" customHeight="1" x14ac:dyDescent="0.35">
      <c r="B51" s="49" t="s">
        <v>305</v>
      </c>
      <c r="C51" s="49"/>
      <c r="D51" s="275">
        <v>3032</v>
      </c>
      <c r="E51" s="275">
        <v>3328</v>
      </c>
      <c r="F51" s="275">
        <v>3642</v>
      </c>
      <c r="G51" s="275">
        <v>3981</v>
      </c>
      <c r="H51" s="275">
        <v>4429</v>
      </c>
    </row>
    <row r="52" spans="2:8" ht="15" customHeight="1" x14ac:dyDescent="0.35">
      <c r="B52" s="44" t="s">
        <v>306</v>
      </c>
      <c r="C52" s="44"/>
      <c r="D52" s="277">
        <v>23077</v>
      </c>
      <c r="E52" s="277">
        <v>22002</v>
      </c>
      <c r="F52" s="277">
        <v>20548</v>
      </c>
      <c r="G52" s="277">
        <v>19624</v>
      </c>
      <c r="H52" s="277">
        <v>18608</v>
      </c>
    </row>
    <row r="53" spans="2:8" ht="15" customHeight="1" x14ac:dyDescent="0.35">
      <c r="B53" s="42" t="s">
        <v>307</v>
      </c>
      <c r="C53" s="42"/>
      <c r="D53" s="277">
        <v>69388</v>
      </c>
      <c r="E53" s="277">
        <v>68951</v>
      </c>
      <c r="F53" s="277">
        <v>68298</v>
      </c>
      <c r="G53" s="277">
        <v>67426</v>
      </c>
      <c r="H53" s="277">
        <v>64200</v>
      </c>
    </row>
    <row r="54" spans="2:8" ht="15" customHeight="1" x14ac:dyDescent="0.35">
      <c r="B54" s="44" t="s">
        <v>308</v>
      </c>
      <c r="C54" s="44"/>
      <c r="D54" s="277">
        <v>69388</v>
      </c>
      <c r="E54" s="277">
        <v>68951</v>
      </c>
      <c r="F54" s="277">
        <v>68298</v>
      </c>
      <c r="G54" s="277">
        <v>67426</v>
      </c>
      <c r="H54" s="277">
        <v>64200</v>
      </c>
    </row>
    <row r="55" spans="2:8" ht="15" customHeight="1" x14ac:dyDescent="0.35">
      <c r="B55" s="49" t="s">
        <v>309</v>
      </c>
      <c r="C55" s="49"/>
      <c r="D55" s="275">
        <v>1066</v>
      </c>
      <c r="E55" s="275">
        <v>1046</v>
      </c>
      <c r="F55" s="275">
        <v>1150</v>
      </c>
      <c r="G55" s="275">
        <v>1165</v>
      </c>
      <c r="H55" s="275">
        <v>1022</v>
      </c>
    </row>
    <row r="56" spans="2:8" ht="15" customHeight="1" x14ac:dyDescent="0.35">
      <c r="B56" s="49" t="s">
        <v>310</v>
      </c>
      <c r="C56" s="49"/>
      <c r="D56" s="275">
        <v>1210</v>
      </c>
      <c r="E56" s="275">
        <v>1010</v>
      </c>
      <c r="F56" s="275">
        <v>1626</v>
      </c>
      <c r="G56" s="275">
        <v>1594</v>
      </c>
      <c r="H56" s="275">
        <v>1590</v>
      </c>
    </row>
    <row r="57" spans="2:8" ht="15" customHeight="1" x14ac:dyDescent="0.35">
      <c r="B57" s="49" t="s">
        <v>311</v>
      </c>
      <c r="C57" s="49"/>
      <c r="D57" s="275">
        <v>3032</v>
      </c>
      <c r="E57" s="275">
        <v>3328</v>
      </c>
      <c r="F57" s="275">
        <v>3642</v>
      </c>
      <c r="G57" s="275">
        <v>3981</v>
      </c>
      <c r="H57" s="275">
        <v>4429</v>
      </c>
    </row>
    <row r="58" spans="2:8" ht="15" customHeight="1" x14ac:dyDescent="0.35">
      <c r="B58" s="50" t="s">
        <v>312</v>
      </c>
      <c r="C58" s="50"/>
      <c r="D58" s="275">
        <v>3032</v>
      </c>
      <c r="E58" s="275">
        <v>3328</v>
      </c>
      <c r="F58" s="275">
        <v>3642</v>
      </c>
      <c r="G58" s="275">
        <v>3981</v>
      </c>
      <c r="H58" s="275">
        <v>4429</v>
      </c>
    </row>
    <row r="59" spans="2:8" ht="15" customHeight="1" x14ac:dyDescent="0.35">
      <c r="B59" s="49" t="s">
        <v>313</v>
      </c>
      <c r="C59" s="49"/>
      <c r="D59" s="277">
        <v>64080</v>
      </c>
      <c r="E59" s="277">
        <v>63567</v>
      </c>
      <c r="F59" s="277">
        <v>61880</v>
      </c>
      <c r="G59" s="277">
        <v>60686</v>
      </c>
      <c r="H59" s="277">
        <v>57159</v>
      </c>
    </row>
    <row r="60" spans="2:8" ht="15" customHeight="1" x14ac:dyDescent="0.35">
      <c r="B60" s="42" t="s">
        <v>314</v>
      </c>
      <c r="C60" s="42"/>
      <c r="D60" s="277">
        <v>41706</v>
      </c>
      <c r="E60" s="277">
        <v>42243</v>
      </c>
      <c r="F60" s="277">
        <v>42094</v>
      </c>
      <c r="G60" s="277">
        <v>41778</v>
      </c>
      <c r="H60" s="277">
        <v>39172</v>
      </c>
    </row>
    <row r="61" spans="2:8" ht="15" customHeight="1" x14ac:dyDescent="0.35">
      <c r="B61" s="44" t="s">
        <v>315</v>
      </c>
      <c r="C61" s="44"/>
      <c r="D61" s="277">
        <v>41706</v>
      </c>
      <c r="E61" s="277">
        <v>42243</v>
      </c>
      <c r="F61" s="277">
        <v>42094</v>
      </c>
      <c r="G61" s="277">
        <v>41778</v>
      </c>
      <c r="H61" s="277">
        <v>39172</v>
      </c>
    </row>
    <row r="62" spans="2:8" ht="15" customHeight="1" x14ac:dyDescent="0.35">
      <c r="B62" s="49" t="s">
        <v>316</v>
      </c>
      <c r="C62" s="49"/>
      <c r="D62" s="275">
        <v>666</v>
      </c>
      <c r="E62" s="275">
        <v>635</v>
      </c>
      <c r="F62" s="275">
        <v>732</v>
      </c>
      <c r="G62" s="275">
        <v>716</v>
      </c>
      <c r="H62" s="275">
        <v>621</v>
      </c>
    </row>
    <row r="63" spans="2:8" ht="15" customHeight="1" x14ac:dyDescent="0.35">
      <c r="B63" s="49" t="s">
        <v>317</v>
      </c>
      <c r="C63" s="49"/>
      <c r="D63" s="276">
        <v>37</v>
      </c>
      <c r="E63" s="276">
        <v>43</v>
      </c>
      <c r="F63" s="276">
        <v>30</v>
      </c>
      <c r="G63" s="277">
        <v>0</v>
      </c>
      <c r="H63" s="277">
        <v>0</v>
      </c>
    </row>
    <row r="64" spans="2:8" ht="15" customHeight="1" x14ac:dyDescent="0.35">
      <c r="B64" s="49" t="s">
        <v>318</v>
      </c>
      <c r="C64" s="49"/>
      <c r="D64" s="277">
        <v>41003</v>
      </c>
      <c r="E64" s="277">
        <v>41565</v>
      </c>
      <c r="F64" s="277">
        <v>41332</v>
      </c>
      <c r="G64" s="277">
        <v>41062</v>
      </c>
      <c r="H64" s="277">
        <v>38551</v>
      </c>
    </row>
    <row r="65" spans="2:8" ht="15" customHeight="1" x14ac:dyDescent="0.35">
      <c r="B65" s="40" t="s">
        <v>319</v>
      </c>
      <c r="C65" s="40"/>
      <c r="D65" s="275">
        <v>1901</v>
      </c>
      <c r="E65" s="275">
        <v>1665</v>
      </c>
      <c r="F65" s="275">
        <v>1652</v>
      </c>
      <c r="G65" s="275">
        <v>1166</v>
      </c>
      <c r="H65" s="275">
        <v>626</v>
      </c>
    </row>
    <row r="66" spans="2:8" ht="15" customHeight="1" x14ac:dyDescent="0.35">
      <c r="B66" s="42" t="s">
        <v>320</v>
      </c>
      <c r="C66" s="42"/>
      <c r="D66" s="275">
        <v>1124</v>
      </c>
      <c r="E66" s="275">
        <v>959</v>
      </c>
      <c r="F66" s="275">
        <v>1048</v>
      </c>
      <c r="G66" s="275">
        <v>709</v>
      </c>
      <c r="H66" s="275">
        <v>289</v>
      </c>
    </row>
    <row r="67" spans="2:8" ht="15" customHeight="1" x14ac:dyDescent="0.35">
      <c r="B67" s="42" t="s">
        <v>321</v>
      </c>
      <c r="C67" s="42"/>
      <c r="D67" s="275">
        <v>315</v>
      </c>
      <c r="E67" s="275">
        <v>291</v>
      </c>
      <c r="F67" s="275">
        <v>229</v>
      </c>
      <c r="G67" s="275">
        <v>211</v>
      </c>
      <c r="H67" s="275">
        <v>226</v>
      </c>
    </row>
    <row r="68" spans="2:8" ht="15" customHeight="1" x14ac:dyDescent="0.35">
      <c r="B68" s="42" t="s">
        <v>322</v>
      </c>
      <c r="C68" s="42"/>
      <c r="D68" s="275">
        <v>145</v>
      </c>
      <c r="E68" s="275">
        <v>120</v>
      </c>
      <c r="F68" s="277"/>
      <c r="G68" s="277"/>
      <c r="H68" s="277"/>
    </row>
    <row r="69" spans="2:8" ht="15" customHeight="1" x14ac:dyDescent="0.35">
      <c r="B69" s="42" t="s">
        <v>323</v>
      </c>
      <c r="C69" s="42"/>
      <c r="D69" s="275">
        <v>170</v>
      </c>
      <c r="E69" s="275">
        <v>142</v>
      </c>
      <c r="F69" s="276">
        <v>70</v>
      </c>
      <c r="G69" s="276">
        <v>52</v>
      </c>
      <c r="H69" s="277"/>
    </row>
    <row r="70" spans="2:8" ht="15" customHeight="1" x14ac:dyDescent="0.35">
      <c r="B70" s="42" t="s">
        <v>324</v>
      </c>
      <c r="C70" s="42"/>
      <c r="D70" s="275">
        <v>147</v>
      </c>
      <c r="E70" s="275">
        <v>153</v>
      </c>
      <c r="F70" s="275">
        <v>305</v>
      </c>
      <c r="G70" s="275">
        <v>194</v>
      </c>
      <c r="H70" s="275">
        <v>111</v>
      </c>
    </row>
    <row r="71" spans="2:8" ht="15" customHeight="1" x14ac:dyDescent="0.35">
      <c r="B71" s="40" t="s">
        <v>325</v>
      </c>
      <c r="C71" s="40"/>
      <c r="D71" s="277">
        <v>11968</v>
      </c>
      <c r="E71" s="277">
        <v>12433</v>
      </c>
      <c r="F71" s="277">
        <v>12920</v>
      </c>
      <c r="G71" s="277">
        <v>13687</v>
      </c>
      <c r="H71" s="277">
        <v>13809</v>
      </c>
    </row>
    <row r="72" spans="2:8" ht="15" customHeight="1" x14ac:dyDescent="0.35">
      <c r="B72" s="42" t="s">
        <v>326</v>
      </c>
      <c r="C72" s="42"/>
      <c r="D72" s="275">
        <v>7305</v>
      </c>
      <c r="E72" s="275">
        <v>7310</v>
      </c>
      <c r="F72" s="275">
        <v>7434</v>
      </c>
      <c r="G72" s="275">
        <v>7955</v>
      </c>
      <c r="H72" s="275">
        <v>7917</v>
      </c>
    </row>
    <row r="73" spans="2:8" ht="15" customHeight="1" x14ac:dyDescent="0.35">
      <c r="B73" s="42" t="s">
        <v>327</v>
      </c>
      <c r="C73" s="42"/>
      <c r="D73" s="275">
        <v>4663</v>
      </c>
      <c r="E73" s="275">
        <v>5123</v>
      </c>
      <c r="F73" s="275">
        <v>5486</v>
      </c>
      <c r="G73" s="275">
        <v>5732</v>
      </c>
      <c r="H73" s="275">
        <v>5892</v>
      </c>
    </row>
    <row r="74" spans="2:8" ht="15" customHeight="1" x14ac:dyDescent="0.35">
      <c r="B74" s="44" t="s">
        <v>328</v>
      </c>
      <c r="C74" s="44"/>
      <c r="D74" s="275">
        <v>2768</v>
      </c>
      <c r="E74" s="275">
        <v>2876</v>
      </c>
      <c r="F74" s="275">
        <v>2823</v>
      </c>
      <c r="G74" s="275">
        <v>2653</v>
      </c>
      <c r="H74" s="275">
        <v>2396</v>
      </c>
    </row>
    <row r="75" spans="2:8" ht="15" customHeight="1" x14ac:dyDescent="0.35">
      <c r="B75" s="44" t="s">
        <v>329</v>
      </c>
      <c r="C75" s="44"/>
      <c r="D75" s="275">
        <v>1851</v>
      </c>
      <c r="E75" s="275">
        <v>2023</v>
      </c>
      <c r="F75" s="275">
        <v>2212</v>
      </c>
      <c r="G75" s="275">
        <v>2396</v>
      </c>
      <c r="H75" s="275">
        <v>2582</v>
      </c>
    </row>
    <row r="76" spans="2:8" ht="15" customHeight="1" x14ac:dyDescent="0.35">
      <c r="B76" s="44" t="s">
        <v>330</v>
      </c>
      <c r="C76" s="44"/>
      <c r="D76" s="276">
        <v>44</v>
      </c>
      <c r="E76" s="275">
        <v>224</v>
      </c>
      <c r="F76" s="275">
        <v>451</v>
      </c>
      <c r="G76" s="275">
        <v>683</v>
      </c>
      <c r="H76" s="275">
        <v>914</v>
      </c>
    </row>
    <row r="77" spans="2:8" ht="15" customHeight="1" x14ac:dyDescent="0.35">
      <c r="B77" s="42" t="s">
        <v>331</v>
      </c>
      <c r="C77" s="42"/>
      <c r="D77" s="277">
        <v>22330</v>
      </c>
      <c r="E77" s="277">
        <v>22286</v>
      </c>
      <c r="F77" s="277">
        <v>22484</v>
      </c>
      <c r="G77" s="277">
        <v>21850</v>
      </c>
      <c r="H77" s="277">
        <v>21107</v>
      </c>
    </row>
    <row r="78" spans="2:8" ht="15" customHeight="1" x14ac:dyDescent="0.35">
      <c r="B78" s="44" t="s">
        <v>332</v>
      </c>
      <c r="C78" s="44"/>
      <c r="D78" s="275">
        <v>7793</v>
      </c>
      <c r="E78" s="275">
        <v>7798</v>
      </c>
      <c r="F78" s="275">
        <v>7922</v>
      </c>
      <c r="G78" s="275">
        <v>7955</v>
      </c>
      <c r="H78" s="275">
        <v>7917</v>
      </c>
    </row>
    <row r="79" spans="2:8" ht="15" customHeight="1" x14ac:dyDescent="0.35">
      <c r="B79" s="44" t="s">
        <v>333</v>
      </c>
      <c r="C79" s="44"/>
      <c r="D79" s="277">
        <v>14537</v>
      </c>
      <c r="E79" s="277">
        <v>14488</v>
      </c>
      <c r="F79" s="277">
        <v>14562</v>
      </c>
      <c r="G79" s="277">
        <v>13895</v>
      </c>
      <c r="H79" s="277">
        <v>13190</v>
      </c>
    </row>
    <row r="80" spans="2:8" ht="15" customHeight="1" x14ac:dyDescent="0.35">
      <c r="B80" s="49" t="s">
        <v>334</v>
      </c>
      <c r="C80" s="49"/>
      <c r="D80" s="275">
        <v>7702</v>
      </c>
      <c r="E80" s="275">
        <v>7666</v>
      </c>
      <c r="F80" s="275">
        <v>7702</v>
      </c>
      <c r="G80" s="275">
        <v>7021</v>
      </c>
      <c r="H80" s="275">
        <v>6317</v>
      </c>
    </row>
    <row r="81" spans="2:8" ht="15" customHeight="1" x14ac:dyDescent="0.35">
      <c r="B81" s="49" t="s">
        <v>335</v>
      </c>
      <c r="C81" s="49"/>
      <c r="D81" s="275">
        <v>3453</v>
      </c>
      <c r="E81" s="275">
        <v>3440</v>
      </c>
      <c r="F81" s="275">
        <v>3478</v>
      </c>
      <c r="G81" s="275">
        <v>3491</v>
      </c>
      <c r="H81" s="275">
        <v>3490</v>
      </c>
    </row>
    <row r="82" spans="2:8" ht="15" customHeight="1" x14ac:dyDescent="0.35">
      <c r="B82" s="49" t="s">
        <v>336</v>
      </c>
      <c r="C82" s="49"/>
      <c r="D82" s="275">
        <v>3382</v>
      </c>
      <c r="E82" s="275">
        <v>3382</v>
      </c>
      <c r="F82" s="275">
        <v>3382</v>
      </c>
      <c r="G82" s="275">
        <v>3383</v>
      </c>
      <c r="H82" s="275">
        <v>3383</v>
      </c>
    </row>
    <row r="83" spans="2:8" ht="15" customHeight="1" x14ac:dyDescent="0.35">
      <c r="B83" s="42" t="s">
        <v>337</v>
      </c>
      <c r="C83" s="42"/>
      <c r="D83" s="277">
        <v>10362</v>
      </c>
      <c r="E83" s="275">
        <v>9853</v>
      </c>
      <c r="F83" s="275">
        <v>9564</v>
      </c>
      <c r="G83" s="275">
        <v>8163</v>
      </c>
      <c r="H83" s="275">
        <v>7298</v>
      </c>
    </row>
    <row r="84" spans="2:8" ht="15" customHeight="1" x14ac:dyDescent="0.35">
      <c r="B84" s="44" t="s">
        <v>338</v>
      </c>
      <c r="C84" s="44"/>
      <c r="D84" s="275">
        <v>488</v>
      </c>
      <c r="E84" s="275">
        <v>488</v>
      </c>
      <c r="F84" s="275">
        <v>488</v>
      </c>
      <c r="G84" s="277">
        <v>0</v>
      </c>
      <c r="H84" s="277">
        <v>0</v>
      </c>
    </row>
    <row r="85" spans="2:8" ht="15" customHeight="1" x14ac:dyDescent="0.35">
      <c r="B85" s="44" t="s">
        <v>339</v>
      </c>
      <c r="C85" s="44"/>
      <c r="D85" s="275">
        <v>9874</v>
      </c>
      <c r="E85" s="275">
        <v>9365</v>
      </c>
      <c r="F85" s="275">
        <v>9076</v>
      </c>
      <c r="G85" s="275">
        <v>8163</v>
      </c>
      <c r="H85" s="275">
        <v>7298</v>
      </c>
    </row>
    <row r="86" spans="2:8" ht="15" customHeight="1" x14ac:dyDescent="0.35">
      <c r="B86" s="49" t="s">
        <v>340</v>
      </c>
      <c r="C86" s="49"/>
      <c r="D86" s="275">
        <v>4934</v>
      </c>
      <c r="E86" s="275">
        <v>4790</v>
      </c>
      <c r="F86" s="275">
        <v>4879</v>
      </c>
      <c r="G86" s="275">
        <v>4368</v>
      </c>
      <c r="H86" s="275">
        <v>3921</v>
      </c>
    </row>
    <row r="87" spans="2:8" ht="15" customHeight="1" x14ac:dyDescent="0.35">
      <c r="B87" s="49" t="s">
        <v>341</v>
      </c>
      <c r="C87" s="49"/>
      <c r="D87" s="275">
        <v>1602</v>
      </c>
      <c r="E87" s="275">
        <v>1417</v>
      </c>
      <c r="F87" s="275">
        <v>1266</v>
      </c>
      <c r="G87" s="275">
        <v>1095</v>
      </c>
      <c r="H87" s="275">
        <v>908</v>
      </c>
    </row>
    <row r="88" spans="2:8" ht="15" customHeight="1" x14ac:dyDescent="0.35">
      <c r="B88" s="49" t="s">
        <v>342</v>
      </c>
      <c r="C88" s="49"/>
      <c r="D88" s="275">
        <v>3338</v>
      </c>
      <c r="E88" s="275">
        <v>3158</v>
      </c>
      <c r="F88" s="275">
        <v>2931</v>
      </c>
      <c r="G88" s="275">
        <v>2700</v>
      </c>
      <c r="H88" s="275">
        <v>2469</v>
      </c>
    </row>
    <row r="89" spans="2:8" ht="15" customHeight="1" x14ac:dyDescent="0.35">
      <c r="B89" s="43" t="s">
        <v>343</v>
      </c>
      <c r="C89" s="43"/>
      <c r="D89" s="277">
        <v>42861</v>
      </c>
      <c r="E89" s="277">
        <v>42610</v>
      </c>
      <c r="F89" s="277">
        <v>43020</v>
      </c>
      <c r="G89" s="277">
        <v>43295</v>
      </c>
      <c r="H89" s="277">
        <v>40866</v>
      </c>
    </row>
    <row r="90" spans="2:8" ht="15" customHeight="1" x14ac:dyDescent="0.35">
      <c r="B90" s="38" t="s">
        <v>344</v>
      </c>
      <c r="C90" s="38"/>
      <c r="D90" s="279"/>
      <c r="E90" s="279"/>
      <c r="F90" s="279"/>
      <c r="G90" s="279"/>
      <c r="H90" s="279"/>
    </row>
    <row r="91" spans="2:8" ht="15" customHeight="1" x14ac:dyDescent="0.35">
      <c r="B91" s="43" t="s">
        <v>344</v>
      </c>
      <c r="C91" s="43"/>
      <c r="D91" s="277">
        <v>49976</v>
      </c>
      <c r="E91" s="277">
        <v>50982</v>
      </c>
      <c r="F91" s="277">
        <v>51739</v>
      </c>
      <c r="G91" s="277">
        <v>52752</v>
      </c>
      <c r="H91" s="277">
        <v>49774</v>
      </c>
    </row>
    <row r="92" spans="2:8" ht="15" customHeight="1" x14ac:dyDescent="0.35">
      <c r="B92" s="38" t="s">
        <v>345</v>
      </c>
      <c r="C92" s="38"/>
      <c r="D92" s="279"/>
      <c r="E92" s="279"/>
      <c r="F92" s="279"/>
      <c r="G92" s="279"/>
      <c r="H92" s="279"/>
    </row>
    <row r="93" spans="2:8" ht="15" customHeight="1" x14ac:dyDescent="0.35">
      <c r="B93" s="40" t="s">
        <v>346</v>
      </c>
      <c r="C93" s="40"/>
      <c r="D93" s="275">
        <v>4871</v>
      </c>
      <c r="E93" s="275">
        <v>4730</v>
      </c>
      <c r="F93" s="275">
        <v>5206</v>
      </c>
      <c r="G93" s="275">
        <v>5235</v>
      </c>
      <c r="H93" s="275">
        <v>5265</v>
      </c>
    </row>
    <row r="94" spans="2:8" ht="15" customHeight="1" x14ac:dyDescent="0.35">
      <c r="B94" s="42" t="s">
        <v>347</v>
      </c>
      <c r="C94" s="42"/>
      <c r="D94" s="275">
        <v>3825</v>
      </c>
      <c r="E94" s="275">
        <v>3727</v>
      </c>
      <c r="F94" s="275">
        <v>4119</v>
      </c>
      <c r="G94" s="275">
        <v>4196</v>
      </c>
      <c r="H94" s="275">
        <v>4143</v>
      </c>
    </row>
    <row r="95" spans="2:8" ht="15" customHeight="1" x14ac:dyDescent="0.35">
      <c r="B95" s="42" t="s">
        <v>348</v>
      </c>
      <c r="C95" s="42"/>
      <c r="D95" s="275">
        <v>1046</v>
      </c>
      <c r="E95" s="275">
        <v>1003</v>
      </c>
      <c r="F95" s="275">
        <v>1087</v>
      </c>
      <c r="G95" s="275">
        <v>1039</v>
      </c>
      <c r="H95" s="275">
        <v>1122</v>
      </c>
    </row>
    <row r="96" spans="2:8" ht="15" customHeight="1" x14ac:dyDescent="0.35">
      <c r="B96" s="40" t="s">
        <v>349</v>
      </c>
      <c r="C96" s="40"/>
      <c r="D96" s="275">
        <v>1199</v>
      </c>
      <c r="E96" s="275">
        <v>2797</v>
      </c>
      <c r="F96" s="275">
        <v>2161</v>
      </c>
      <c r="G96" s="275">
        <v>2572</v>
      </c>
      <c r="H96" s="275">
        <v>1668</v>
      </c>
    </row>
    <row r="97" spans="2:8" ht="15" customHeight="1" x14ac:dyDescent="0.35">
      <c r="B97" s="42" t="s">
        <v>350</v>
      </c>
      <c r="C97" s="42"/>
      <c r="D97" s="275">
        <v>105</v>
      </c>
      <c r="E97" s="275">
        <v>117</v>
      </c>
      <c r="F97" s="276">
        <v>11</v>
      </c>
      <c r="G97" s="276">
        <v>11</v>
      </c>
      <c r="H97" s="277"/>
    </row>
    <row r="98" spans="2:8" ht="15" customHeight="1" x14ac:dyDescent="0.35">
      <c r="B98" s="42" t="s">
        <v>351</v>
      </c>
      <c r="C98" s="42"/>
      <c r="D98" s="275">
        <v>1094</v>
      </c>
      <c r="E98" s="275">
        <v>2680</v>
      </c>
      <c r="F98" s="275">
        <v>2150</v>
      </c>
      <c r="G98" s="275">
        <v>2561</v>
      </c>
      <c r="H98" s="275">
        <v>1668</v>
      </c>
    </row>
    <row r="99" spans="2:8" ht="15" customHeight="1" x14ac:dyDescent="0.35">
      <c r="B99" s="44" t="s">
        <v>352</v>
      </c>
      <c r="C99" s="44"/>
      <c r="D99" s="275">
        <v>315</v>
      </c>
      <c r="E99" s="275">
        <v>1975</v>
      </c>
      <c r="F99" s="275">
        <v>1384</v>
      </c>
      <c r="G99" s="275">
        <v>1761</v>
      </c>
      <c r="H99" s="275">
        <v>873</v>
      </c>
    </row>
    <row r="100" spans="2:8" ht="15" customHeight="1" x14ac:dyDescent="0.35">
      <c r="B100" s="44" t="s">
        <v>353</v>
      </c>
      <c r="C100" s="44"/>
      <c r="D100" s="275">
        <v>779</v>
      </c>
      <c r="E100" s="275">
        <v>705</v>
      </c>
      <c r="F100" s="275">
        <v>766</v>
      </c>
      <c r="G100" s="275">
        <v>800</v>
      </c>
      <c r="H100" s="275">
        <v>795</v>
      </c>
    </row>
    <row r="101" spans="2:8" ht="15" customHeight="1" x14ac:dyDescent="0.35">
      <c r="B101" s="40" t="s">
        <v>354</v>
      </c>
      <c r="C101" s="40"/>
      <c r="D101" s="276">
        <v>85</v>
      </c>
      <c r="E101" s="275">
        <v>106</v>
      </c>
      <c r="F101" s="276">
        <v>94</v>
      </c>
      <c r="G101" s="276">
        <v>86</v>
      </c>
      <c r="H101" s="276">
        <v>51</v>
      </c>
    </row>
    <row r="102" spans="2:8" ht="15" customHeight="1" x14ac:dyDescent="0.35">
      <c r="B102" s="40" t="s">
        <v>355</v>
      </c>
      <c r="C102" s="40"/>
      <c r="D102" s="277">
        <v>0</v>
      </c>
      <c r="E102" s="275">
        <v>188</v>
      </c>
      <c r="F102" s="277">
        <v>0</v>
      </c>
      <c r="G102" s="276">
        <v>4</v>
      </c>
      <c r="H102" s="276">
        <v>40</v>
      </c>
    </row>
    <row r="103" spans="2:8" ht="15" customHeight="1" x14ac:dyDescent="0.35">
      <c r="B103" s="40" t="s">
        <v>356</v>
      </c>
      <c r="C103" s="40"/>
      <c r="D103" s="276">
        <v>66</v>
      </c>
      <c r="E103" s="276">
        <v>82</v>
      </c>
      <c r="F103" s="276">
        <v>92</v>
      </c>
      <c r="G103" s="276">
        <v>78</v>
      </c>
      <c r="H103" s="276">
        <v>90</v>
      </c>
    </row>
    <row r="104" spans="2:8" ht="15" customHeight="1" x14ac:dyDescent="0.35">
      <c r="B104" s="40" t="s">
        <v>357</v>
      </c>
      <c r="C104" s="40"/>
      <c r="D104" s="275">
        <v>2188</v>
      </c>
      <c r="E104" s="275">
        <v>2382</v>
      </c>
      <c r="F104" s="275">
        <v>2265</v>
      </c>
      <c r="G104" s="275">
        <v>2417</v>
      </c>
      <c r="H104" s="275">
        <v>1932</v>
      </c>
    </row>
    <row r="105" spans="2:8" ht="15" customHeight="1" x14ac:dyDescent="0.35">
      <c r="B105" s="42" t="s">
        <v>358</v>
      </c>
      <c r="C105" s="42"/>
      <c r="D105" s="275">
        <v>1341</v>
      </c>
      <c r="E105" s="275">
        <v>1317</v>
      </c>
      <c r="F105" s="275">
        <v>1261</v>
      </c>
      <c r="G105" s="275">
        <v>1391</v>
      </c>
      <c r="H105" s="275">
        <v>1178</v>
      </c>
    </row>
    <row r="106" spans="2:8" ht="15" customHeight="1" x14ac:dyDescent="0.35">
      <c r="B106" s="42" t="s">
        <v>359</v>
      </c>
      <c r="C106" s="42"/>
      <c r="D106" s="275">
        <v>201</v>
      </c>
      <c r="E106" s="275">
        <v>258</v>
      </c>
      <c r="F106" s="275">
        <v>238</v>
      </c>
      <c r="G106" s="275">
        <v>229</v>
      </c>
      <c r="H106" s="275">
        <v>222</v>
      </c>
    </row>
    <row r="107" spans="2:8" ht="15" customHeight="1" x14ac:dyDescent="0.35">
      <c r="B107" s="42" t="s">
        <v>360</v>
      </c>
      <c r="C107" s="42"/>
      <c r="D107" s="275">
        <v>646</v>
      </c>
      <c r="E107" s="275">
        <v>807</v>
      </c>
      <c r="F107" s="275">
        <v>766</v>
      </c>
      <c r="G107" s="275">
        <v>797</v>
      </c>
      <c r="H107" s="275">
        <v>532</v>
      </c>
    </row>
    <row r="108" spans="2:8" ht="15" customHeight="1" x14ac:dyDescent="0.35">
      <c r="B108" s="43" t="s">
        <v>361</v>
      </c>
      <c r="C108" s="43"/>
      <c r="D108" s="275">
        <v>8409</v>
      </c>
      <c r="E108" s="277">
        <v>10285</v>
      </c>
      <c r="F108" s="275">
        <v>9818</v>
      </c>
      <c r="G108" s="277">
        <v>10392</v>
      </c>
      <c r="H108" s="275">
        <v>9046</v>
      </c>
    </row>
    <row r="109" spans="2:8" ht="15" customHeight="1" x14ac:dyDescent="0.35">
      <c r="B109" s="38" t="s">
        <v>362</v>
      </c>
      <c r="C109" s="38"/>
      <c r="D109" s="279"/>
      <c r="E109" s="279"/>
      <c r="F109" s="279"/>
      <c r="G109" s="279"/>
      <c r="H109" s="279"/>
    </row>
    <row r="110" spans="2:8" ht="15" customHeight="1" x14ac:dyDescent="0.35">
      <c r="B110" s="40" t="s">
        <v>363</v>
      </c>
      <c r="C110" s="40"/>
      <c r="D110" s="277">
        <v>21521</v>
      </c>
      <c r="E110" s="277">
        <v>20536</v>
      </c>
      <c r="F110" s="277">
        <v>21320</v>
      </c>
      <c r="G110" s="277">
        <v>21308</v>
      </c>
      <c r="H110" s="277">
        <v>20277</v>
      </c>
    </row>
    <row r="111" spans="2:8" ht="15" customHeight="1" x14ac:dyDescent="0.35">
      <c r="B111" s="42" t="s">
        <v>364</v>
      </c>
      <c r="C111" s="42"/>
      <c r="D111" s="277">
        <v>18116</v>
      </c>
      <c r="E111" s="277">
        <v>16670</v>
      </c>
      <c r="F111" s="277">
        <v>17131</v>
      </c>
      <c r="G111" s="277">
        <v>16749</v>
      </c>
      <c r="H111" s="277">
        <v>15312</v>
      </c>
    </row>
    <row r="112" spans="2:8" ht="15" customHeight="1" x14ac:dyDescent="0.35">
      <c r="B112" s="44" t="s">
        <v>365</v>
      </c>
      <c r="C112" s="44"/>
      <c r="D112" s="277">
        <v>18116</v>
      </c>
      <c r="E112" s="277">
        <v>16670</v>
      </c>
      <c r="F112" s="277">
        <v>17131</v>
      </c>
      <c r="G112" s="277">
        <v>16749</v>
      </c>
      <c r="H112" s="277">
        <v>15312</v>
      </c>
    </row>
    <row r="113" spans="2:8" ht="15" customHeight="1" x14ac:dyDescent="0.35">
      <c r="B113" s="42" t="s">
        <v>366</v>
      </c>
      <c r="C113" s="42"/>
      <c r="D113" s="275">
        <v>3405</v>
      </c>
      <c r="E113" s="275">
        <v>3866</v>
      </c>
      <c r="F113" s="275">
        <v>4189</v>
      </c>
      <c r="G113" s="275">
        <v>4559</v>
      </c>
      <c r="H113" s="275">
        <v>4965</v>
      </c>
    </row>
    <row r="114" spans="2:8" ht="15" customHeight="1" x14ac:dyDescent="0.35">
      <c r="B114" s="40" t="s">
        <v>367</v>
      </c>
      <c r="C114" s="40"/>
      <c r="D114" s="275">
        <v>313</v>
      </c>
      <c r="E114" s="275">
        <v>391</v>
      </c>
      <c r="F114" s="275">
        <v>445</v>
      </c>
      <c r="G114" s="275">
        <v>297</v>
      </c>
      <c r="H114" s="275">
        <v>819</v>
      </c>
    </row>
    <row r="115" spans="2:8" ht="15" customHeight="1" x14ac:dyDescent="0.35">
      <c r="B115" s="40" t="s">
        <v>368</v>
      </c>
      <c r="C115" s="40"/>
      <c r="D115" s="275">
        <v>1969</v>
      </c>
      <c r="E115" s="275">
        <v>1717</v>
      </c>
      <c r="F115" s="275">
        <v>1533</v>
      </c>
      <c r="G115" s="275">
        <v>1620</v>
      </c>
      <c r="H115" s="275">
        <v>1960</v>
      </c>
    </row>
    <row r="116" spans="2:8" ht="15" customHeight="1" x14ac:dyDescent="0.35">
      <c r="B116" s="42" t="s">
        <v>369</v>
      </c>
      <c r="C116" s="42"/>
      <c r="D116" s="275">
        <v>1969</v>
      </c>
      <c r="E116" s="275">
        <v>1717</v>
      </c>
      <c r="F116" s="275">
        <v>1533</v>
      </c>
      <c r="G116" s="275">
        <v>1620</v>
      </c>
      <c r="H116" s="275">
        <v>1960</v>
      </c>
    </row>
    <row r="117" spans="2:8" ht="15" customHeight="1" x14ac:dyDescent="0.35">
      <c r="B117" s="40" t="s">
        <v>370</v>
      </c>
      <c r="C117" s="40"/>
      <c r="D117" s="275">
        <v>5200</v>
      </c>
      <c r="E117" s="275">
        <v>5145</v>
      </c>
      <c r="F117" s="275">
        <v>6105</v>
      </c>
      <c r="G117" s="275">
        <v>4621</v>
      </c>
      <c r="H117" s="275">
        <v>2376</v>
      </c>
    </row>
    <row r="118" spans="2:8" ht="15" customHeight="1" x14ac:dyDescent="0.35">
      <c r="B118" s="42" t="s">
        <v>371</v>
      </c>
      <c r="C118" s="42"/>
      <c r="D118" s="275">
        <v>4749</v>
      </c>
      <c r="E118" s="275">
        <v>4612</v>
      </c>
      <c r="F118" s="275">
        <v>5293</v>
      </c>
      <c r="G118" s="275">
        <v>3508</v>
      </c>
      <c r="H118" s="275">
        <v>1582</v>
      </c>
    </row>
    <row r="119" spans="2:8" ht="15" customHeight="1" x14ac:dyDescent="0.35">
      <c r="B119" s="44" t="s">
        <v>372</v>
      </c>
      <c r="C119" s="44"/>
      <c r="D119" s="275">
        <v>4379</v>
      </c>
      <c r="E119" s="275">
        <v>4230</v>
      </c>
      <c r="F119" s="275">
        <v>4882</v>
      </c>
      <c r="G119" s="275">
        <v>3139</v>
      </c>
      <c r="H119" s="275">
        <v>1143</v>
      </c>
    </row>
    <row r="120" spans="2:8" ht="15" customHeight="1" x14ac:dyDescent="0.35">
      <c r="B120" s="44" t="s">
        <v>373</v>
      </c>
      <c r="C120" s="44"/>
      <c r="D120" s="275">
        <v>370</v>
      </c>
      <c r="E120" s="275">
        <v>382</v>
      </c>
      <c r="F120" s="275">
        <v>411</v>
      </c>
      <c r="G120" s="275">
        <v>369</v>
      </c>
      <c r="H120" s="275">
        <v>439</v>
      </c>
    </row>
    <row r="121" spans="2:8" ht="15" customHeight="1" x14ac:dyDescent="0.35">
      <c r="B121" s="42" t="s">
        <v>374</v>
      </c>
      <c r="C121" s="42"/>
      <c r="D121" s="275">
        <v>434</v>
      </c>
      <c r="E121" s="275">
        <v>421</v>
      </c>
      <c r="F121" s="275">
        <v>517</v>
      </c>
      <c r="G121" s="275">
        <v>596</v>
      </c>
      <c r="H121" s="275">
        <v>764</v>
      </c>
    </row>
    <row r="122" spans="2:8" ht="15" customHeight="1" x14ac:dyDescent="0.35">
      <c r="B122" s="42" t="s">
        <v>375</v>
      </c>
      <c r="C122" s="42"/>
      <c r="D122" s="276">
        <v>17</v>
      </c>
      <c r="E122" s="275">
        <v>112</v>
      </c>
      <c r="F122" s="275">
        <v>295</v>
      </c>
      <c r="G122" s="275">
        <v>517</v>
      </c>
      <c r="H122" s="276">
        <v>30</v>
      </c>
    </row>
    <row r="123" spans="2:8" ht="15" customHeight="1" x14ac:dyDescent="0.35">
      <c r="B123" s="40" t="s">
        <v>376</v>
      </c>
      <c r="C123" s="40"/>
      <c r="D123" s="277">
        <v>29003</v>
      </c>
      <c r="E123" s="277">
        <v>27789</v>
      </c>
      <c r="F123" s="277">
        <v>29403</v>
      </c>
      <c r="G123" s="277">
        <v>27846</v>
      </c>
      <c r="H123" s="277">
        <v>25432</v>
      </c>
    </row>
    <row r="124" spans="2:8" ht="15" customHeight="1" x14ac:dyDescent="0.35">
      <c r="B124" s="38" t="s">
        <v>377</v>
      </c>
      <c r="C124" s="38"/>
      <c r="D124" s="279"/>
      <c r="E124" s="279"/>
      <c r="F124" s="279"/>
      <c r="G124" s="279"/>
      <c r="H124" s="279"/>
    </row>
    <row r="125" spans="2:8" ht="15" customHeight="1" x14ac:dyDescent="0.35">
      <c r="B125" s="43" t="s">
        <v>377</v>
      </c>
      <c r="C125" s="43"/>
      <c r="D125" s="277">
        <v>37412</v>
      </c>
      <c r="E125" s="277">
        <v>38074</v>
      </c>
      <c r="F125" s="277">
        <v>39221</v>
      </c>
      <c r="G125" s="277">
        <v>38238</v>
      </c>
      <c r="H125" s="277">
        <v>34478</v>
      </c>
    </row>
    <row r="126" spans="2:8" ht="15" customHeight="1" x14ac:dyDescent="0.35">
      <c r="B126" s="38" t="s">
        <v>378</v>
      </c>
      <c r="C126" s="38"/>
      <c r="D126" s="279"/>
      <c r="E126" s="279"/>
      <c r="F126" s="279"/>
      <c r="G126" s="279"/>
      <c r="H126" s="279"/>
    </row>
    <row r="127" spans="2:8" ht="15" customHeight="1" x14ac:dyDescent="0.35">
      <c r="B127" s="40" t="s">
        <v>379</v>
      </c>
      <c r="C127" s="40"/>
      <c r="D127" s="277">
        <v>12564</v>
      </c>
      <c r="E127" s="277">
        <v>12908</v>
      </c>
      <c r="F127" s="277">
        <v>12518</v>
      </c>
      <c r="G127" s="277">
        <v>14514</v>
      </c>
      <c r="H127" s="277">
        <v>15296</v>
      </c>
    </row>
    <row r="128" spans="2:8" ht="15" customHeight="1" x14ac:dyDescent="0.35">
      <c r="B128" s="42" t="s">
        <v>380</v>
      </c>
      <c r="C128" s="42"/>
      <c r="D128" s="277">
        <v>12564</v>
      </c>
      <c r="E128" s="277">
        <v>12908</v>
      </c>
      <c r="F128" s="277">
        <v>12518</v>
      </c>
      <c r="G128" s="277">
        <v>14514</v>
      </c>
      <c r="H128" s="277">
        <v>15296</v>
      </c>
    </row>
    <row r="129" spans="2:8" ht="15" customHeight="1" x14ac:dyDescent="0.35">
      <c r="B129" s="44" t="s">
        <v>381</v>
      </c>
      <c r="C129" s="44"/>
      <c r="D129" s="275">
        <v>188</v>
      </c>
      <c r="E129" s="275">
        <v>378</v>
      </c>
      <c r="F129" s="275">
        <v>311</v>
      </c>
      <c r="G129" s="275">
        <v>422</v>
      </c>
      <c r="H129" s="275">
        <v>274</v>
      </c>
    </row>
    <row r="130" spans="2:8" ht="15" customHeight="1" x14ac:dyDescent="0.35">
      <c r="B130" s="44" t="s">
        <v>382</v>
      </c>
      <c r="C130" s="44"/>
      <c r="D130" s="275">
        <v>1550</v>
      </c>
      <c r="E130" s="275">
        <v>1550</v>
      </c>
      <c r="F130" s="275">
        <v>1550</v>
      </c>
      <c r="G130" s="275">
        <v>1550</v>
      </c>
      <c r="H130" s="275">
        <v>1550</v>
      </c>
    </row>
    <row r="131" spans="2:8" ht="15" customHeight="1" x14ac:dyDescent="0.35">
      <c r="B131" s="49" t="s">
        <v>383</v>
      </c>
      <c r="C131" s="49"/>
      <c r="D131" s="275">
        <v>499</v>
      </c>
      <c r="E131" s="275">
        <v>499</v>
      </c>
      <c r="F131" s="275">
        <v>499</v>
      </c>
      <c r="G131" s="275">
        <v>499</v>
      </c>
      <c r="H131" s="275">
        <v>499</v>
      </c>
    </row>
    <row r="132" spans="2:8" ht="15" customHeight="1" x14ac:dyDescent="0.35">
      <c r="B132" s="49" t="s">
        <v>384</v>
      </c>
      <c r="C132" s="49"/>
      <c r="D132" s="275">
        <v>1051</v>
      </c>
      <c r="E132" s="275">
        <v>1051</v>
      </c>
      <c r="F132" s="275">
        <v>1051</v>
      </c>
      <c r="G132" s="275">
        <v>1051</v>
      </c>
      <c r="H132" s="275">
        <v>1051</v>
      </c>
    </row>
    <row r="133" spans="2:8" ht="15" customHeight="1" x14ac:dyDescent="0.35">
      <c r="B133" s="44" t="s">
        <v>385</v>
      </c>
      <c r="C133" s="44"/>
      <c r="D133" s="277">
        <v>11202</v>
      </c>
      <c r="E133" s="277">
        <v>11736</v>
      </c>
      <c r="F133" s="277">
        <v>11279</v>
      </c>
      <c r="G133" s="277">
        <v>13386</v>
      </c>
      <c r="H133" s="277">
        <v>14020</v>
      </c>
    </row>
    <row r="134" spans="2:8" ht="15" customHeight="1" x14ac:dyDescent="0.35">
      <c r="B134" s="49" t="s">
        <v>386</v>
      </c>
      <c r="C134" s="49"/>
      <c r="D134" s="277">
        <v>10579</v>
      </c>
      <c r="E134" s="277">
        <v>10935</v>
      </c>
      <c r="F134" s="277">
        <v>10590</v>
      </c>
      <c r="G134" s="277">
        <v>12456</v>
      </c>
      <c r="H134" s="277">
        <v>13428</v>
      </c>
    </row>
    <row r="135" spans="2:8" ht="15" customHeight="1" x14ac:dyDescent="0.35">
      <c r="B135" s="49" t="s">
        <v>387</v>
      </c>
      <c r="C135" s="49"/>
      <c r="D135" s="275">
        <v>623</v>
      </c>
      <c r="E135" s="275">
        <v>801</v>
      </c>
      <c r="F135" s="275">
        <v>689</v>
      </c>
      <c r="G135" s="275">
        <v>930</v>
      </c>
      <c r="H135" s="275">
        <v>592</v>
      </c>
    </row>
    <row r="136" spans="2:8" ht="15" customHeight="1" x14ac:dyDescent="0.35">
      <c r="B136" s="50" t="s">
        <v>388</v>
      </c>
      <c r="C136" s="50"/>
      <c r="D136" s="276">
        <v>5</v>
      </c>
      <c r="E136" s="277"/>
      <c r="F136" s="277"/>
      <c r="G136" s="277"/>
      <c r="H136" s="277"/>
    </row>
    <row r="137" spans="2:8" ht="15" customHeight="1" x14ac:dyDescent="0.35">
      <c r="B137" s="50" t="s">
        <v>389</v>
      </c>
      <c r="C137" s="50"/>
      <c r="D137" s="275">
        <v>160</v>
      </c>
      <c r="E137" s="275">
        <v>300</v>
      </c>
      <c r="F137" s="275">
        <v>141</v>
      </c>
      <c r="G137" s="275">
        <v>336</v>
      </c>
      <c r="H137" s="276">
        <v>87</v>
      </c>
    </row>
    <row r="138" spans="2:8" ht="15" customHeight="1" x14ac:dyDescent="0.35">
      <c r="B138" s="50" t="s">
        <v>390</v>
      </c>
      <c r="C138" s="50"/>
      <c r="D138" s="275">
        <v>458</v>
      </c>
      <c r="E138" s="275">
        <v>501</v>
      </c>
      <c r="F138" s="275">
        <v>548</v>
      </c>
      <c r="G138" s="275">
        <v>594</v>
      </c>
      <c r="H138" s="275">
        <v>505</v>
      </c>
    </row>
    <row r="139" spans="2:8" ht="15" customHeight="1" x14ac:dyDescent="0.35">
      <c r="B139" s="42" t="s">
        <v>391</v>
      </c>
      <c r="C139" s="42"/>
      <c r="D139" s="277">
        <v>12564</v>
      </c>
      <c r="E139" s="277">
        <v>12908</v>
      </c>
      <c r="F139" s="277">
        <v>12518</v>
      </c>
      <c r="G139" s="277">
        <v>14514</v>
      </c>
      <c r="H139" s="277">
        <v>15296</v>
      </c>
    </row>
    <row r="140" spans="2:8" ht="15" customHeight="1" x14ac:dyDescent="0.35">
      <c r="B140" s="38" t="s">
        <v>392</v>
      </c>
      <c r="C140" s="38"/>
      <c r="D140" s="279"/>
      <c r="E140" s="279"/>
      <c r="F140" s="279"/>
      <c r="G140" s="279"/>
      <c r="H140" s="279"/>
    </row>
    <row r="141" spans="2:8" ht="15" customHeight="1" x14ac:dyDescent="0.35">
      <c r="B141" s="43" t="s">
        <v>393</v>
      </c>
      <c r="C141" s="43"/>
      <c r="D141" s="277">
        <v>12564</v>
      </c>
      <c r="E141" s="277">
        <v>12908</v>
      </c>
      <c r="F141" s="277">
        <v>12518</v>
      </c>
      <c r="G141" s="277">
        <v>14514</v>
      </c>
      <c r="H141" s="277">
        <v>15296</v>
      </c>
    </row>
    <row r="142" spans="2:8" ht="15" customHeight="1" x14ac:dyDescent="0.35">
      <c r="B142" s="38" t="s">
        <v>394</v>
      </c>
      <c r="C142" s="38"/>
      <c r="D142" s="279"/>
      <c r="E142" s="279"/>
      <c r="F142" s="279"/>
      <c r="G142" s="279"/>
      <c r="H142" s="279"/>
    </row>
    <row r="143" spans="2:8" ht="15" customHeight="1" x14ac:dyDescent="0.35">
      <c r="B143" s="43" t="s">
        <v>395</v>
      </c>
      <c r="C143" s="43"/>
      <c r="D143" s="277">
        <v>49976</v>
      </c>
      <c r="E143" s="277">
        <v>50982</v>
      </c>
      <c r="F143" s="277">
        <v>51739</v>
      </c>
      <c r="G143" s="277">
        <v>52752</v>
      </c>
      <c r="H143" s="277">
        <v>49774</v>
      </c>
    </row>
    <row r="144" spans="2:8" ht="15" customHeight="1" x14ac:dyDescent="0.35">
      <c r="B144" s="38" t="s">
        <v>396</v>
      </c>
      <c r="C144" s="38"/>
      <c r="D144" s="279"/>
      <c r="E144" s="279"/>
      <c r="F144" s="279"/>
      <c r="G144" s="279"/>
      <c r="H144" s="279"/>
    </row>
    <row r="145" spans="2:8" ht="15" customHeight="1" x14ac:dyDescent="0.35">
      <c r="B145" s="40" t="s">
        <v>397</v>
      </c>
      <c r="C145" s="40"/>
      <c r="D145" s="275">
        <v>9968.1299999999992</v>
      </c>
      <c r="E145" s="275">
        <v>9968.1299999999992</v>
      </c>
      <c r="F145" s="275">
        <v>9968.1299999999992</v>
      </c>
      <c r="G145" s="275">
        <v>9968.1299999999992</v>
      </c>
      <c r="H145" s="275">
        <v>9968.1299999999992</v>
      </c>
    </row>
    <row r="146" spans="2:8" ht="15" customHeight="1" x14ac:dyDescent="0.35">
      <c r="B146" s="42" t="s">
        <v>398</v>
      </c>
      <c r="C146" s="42"/>
      <c r="D146" s="275">
        <v>9967.64</v>
      </c>
      <c r="E146" s="275">
        <v>9956.84</v>
      </c>
      <c r="F146" s="275">
        <v>9951.83</v>
      </c>
      <c r="G146" s="275">
        <v>9931.94</v>
      </c>
      <c r="H146" s="275">
        <v>9926.7000000000007</v>
      </c>
    </row>
    <row r="147" spans="2:8" ht="15" customHeight="1" x14ac:dyDescent="0.35">
      <c r="B147" s="42" t="s">
        <v>399</v>
      </c>
      <c r="C147" s="42"/>
      <c r="D147" s="276">
        <v>0.49</v>
      </c>
      <c r="E147" s="276">
        <v>11.29</v>
      </c>
      <c r="F147" s="276">
        <v>16.3</v>
      </c>
      <c r="G147" s="276">
        <v>36.19</v>
      </c>
      <c r="H147" s="276">
        <v>41.43</v>
      </c>
    </row>
    <row r="148" spans="2:8" ht="15" customHeight="1" x14ac:dyDescent="0.35">
      <c r="B148" s="40" t="s">
        <v>400</v>
      </c>
      <c r="C148" s="40"/>
      <c r="D148" s="275">
        <v>9968.1299999999992</v>
      </c>
      <c r="E148" s="275">
        <v>9968.1299999999992</v>
      </c>
      <c r="F148" s="275">
        <v>9968.1299999999992</v>
      </c>
      <c r="G148" s="275">
        <v>9968.1299999999992</v>
      </c>
      <c r="H148" s="275">
        <v>9968.1299999999992</v>
      </c>
    </row>
    <row r="149" spans="2:8" ht="15" customHeight="1" x14ac:dyDescent="0.35">
      <c r="B149" s="42" t="s">
        <v>401</v>
      </c>
      <c r="C149" s="42"/>
      <c r="D149" s="275">
        <v>9967.64</v>
      </c>
      <c r="E149" s="275">
        <v>9956.84</v>
      </c>
      <c r="F149" s="275">
        <v>9951.83</v>
      </c>
      <c r="G149" s="275">
        <v>9931.94</v>
      </c>
      <c r="H149" s="275">
        <v>9926.7000000000007</v>
      </c>
    </row>
    <row r="150" spans="2:8" ht="15" customHeight="1" x14ac:dyDescent="0.35">
      <c r="B150" s="42" t="s">
        <v>402</v>
      </c>
      <c r="C150" s="42"/>
      <c r="D150" s="276">
        <v>0.49</v>
      </c>
      <c r="E150" s="276">
        <v>11.29</v>
      </c>
      <c r="F150" s="276">
        <v>16.3</v>
      </c>
      <c r="G150" s="276">
        <v>36.19</v>
      </c>
      <c r="H150" s="276">
        <v>41.43</v>
      </c>
    </row>
    <row r="151" spans="2:8" ht="15" customHeight="1" x14ac:dyDescent="0.35">
      <c r="B151" s="40" t="s">
        <v>403</v>
      </c>
      <c r="C151" s="40"/>
      <c r="D151" s="275">
        <v>1993.63</v>
      </c>
      <c r="E151" s="275">
        <v>1993.63</v>
      </c>
      <c r="F151" s="275">
        <v>1993.63</v>
      </c>
      <c r="G151" s="275">
        <v>1993.63</v>
      </c>
      <c r="H151" s="275">
        <v>1993.63</v>
      </c>
    </row>
    <row r="152" spans="2:8" ht="15" customHeight="1" x14ac:dyDescent="0.35">
      <c r="B152" s="42" t="s">
        <v>404</v>
      </c>
      <c r="C152" s="42"/>
      <c r="D152" s="275">
        <v>1993.53</v>
      </c>
      <c r="E152" s="275">
        <v>1991.37</v>
      </c>
      <c r="F152" s="275">
        <v>1990.37</v>
      </c>
      <c r="G152" s="275">
        <v>1986.39</v>
      </c>
      <c r="H152" s="275">
        <v>1985.34</v>
      </c>
    </row>
    <row r="153" spans="2:8" ht="15" customHeight="1" x14ac:dyDescent="0.35">
      <c r="B153" s="42" t="s">
        <v>405</v>
      </c>
      <c r="C153" s="42"/>
      <c r="D153" s="276">
        <v>0.1</v>
      </c>
      <c r="E153" s="276">
        <v>2.2599999999999998</v>
      </c>
      <c r="F153" s="276">
        <v>3.26</v>
      </c>
      <c r="G153" s="276">
        <v>7.24</v>
      </c>
      <c r="H153" s="276">
        <v>8.2899999999999991</v>
      </c>
    </row>
    <row r="154" spans="2:8" ht="15" customHeight="1" x14ac:dyDescent="0.35">
      <c r="B154" s="38" t="s">
        <v>406</v>
      </c>
      <c r="C154" s="38"/>
      <c r="D154" s="279"/>
      <c r="E154" s="279"/>
      <c r="F154" s="279"/>
      <c r="G154" s="279"/>
      <c r="H154" s="279"/>
    </row>
    <row r="155" spans="2:8" ht="15" customHeight="1" x14ac:dyDescent="0.35">
      <c r="B155" s="40" t="s">
        <v>407</v>
      </c>
      <c r="C155" s="40"/>
      <c r="D155" s="276">
        <v>1</v>
      </c>
      <c r="E155" s="276">
        <v>1</v>
      </c>
      <c r="F155" s="276">
        <v>1</v>
      </c>
      <c r="G155" s="276">
        <v>1</v>
      </c>
      <c r="H155" s="276">
        <v>1</v>
      </c>
    </row>
    <row r="156" spans="2:8" ht="15" customHeight="1" x14ac:dyDescent="0.35">
      <c r="B156" s="40" t="s">
        <v>407</v>
      </c>
      <c r="C156" s="40"/>
      <c r="D156" s="276">
        <v>1</v>
      </c>
      <c r="E156" s="276">
        <v>1</v>
      </c>
      <c r="F156" s="276">
        <v>1</v>
      </c>
      <c r="G156" s="276">
        <v>1</v>
      </c>
      <c r="H156" s="276">
        <v>1</v>
      </c>
    </row>
    <row r="157" spans="2:8" ht="15" customHeight="1" x14ac:dyDescent="0.35">
      <c r="B157" s="38" t="s">
        <v>408</v>
      </c>
      <c r="C157" s="38"/>
      <c r="D157" s="279"/>
      <c r="E157" s="279"/>
      <c r="F157" s="279"/>
      <c r="G157" s="279"/>
      <c r="H157" s="279"/>
    </row>
    <row r="158" spans="2:8" ht="15" customHeight="1" x14ac:dyDescent="0.35">
      <c r="B158" s="40" t="s">
        <v>409</v>
      </c>
      <c r="C158" s="40"/>
      <c r="D158" s="275">
        <v>3032</v>
      </c>
      <c r="E158" s="275">
        <v>3328</v>
      </c>
      <c r="F158" s="275">
        <v>3642</v>
      </c>
      <c r="G158" s="275">
        <v>3981</v>
      </c>
      <c r="H158" s="275">
        <v>4429</v>
      </c>
    </row>
    <row r="159" spans="2:8" ht="15" customHeight="1" x14ac:dyDescent="0.35">
      <c r="B159" s="42" t="s">
        <v>410</v>
      </c>
      <c r="C159" s="42"/>
      <c r="D159" s="275">
        <v>3032</v>
      </c>
      <c r="E159" s="275">
        <v>3328</v>
      </c>
      <c r="F159" s="275">
        <v>3642</v>
      </c>
      <c r="G159" s="275">
        <v>3981</v>
      </c>
      <c r="H159" s="275">
        <v>4429</v>
      </c>
    </row>
    <row r="160" spans="2:8" ht="15" customHeight="1" x14ac:dyDescent="0.35">
      <c r="B160" s="40" t="s">
        <v>411</v>
      </c>
      <c r="C160" s="40"/>
      <c r="D160" s="277">
        <v>24650</v>
      </c>
      <c r="E160" s="277">
        <v>23380</v>
      </c>
      <c r="F160" s="277">
        <v>22562</v>
      </c>
      <c r="G160" s="277">
        <v>21667</v>
      </c>
      <c r="H160" s="277">
        <v>20599</v>
      </c>
    </row>
    <row r="161" spans="2:8" ht="15" customHeight="1" x14ac:dyDescent="0.35">
      <c r="B161" s="38" t="s">
        <v>412</v>
      </c>
      <c r="C161" s="38"/>
      <c r="D161" s="279"/>
      <c r="E161" s="279"/>
      <c r="F161" s="279"/>
      <c r="G161" s="279"/>
      <c r="H161" s="279"/>
    </row>
    <row r="162" spans="2:8" ht="15" customHeight="1" x14ac:dyDescent="0.35">
      <c r="B162" s="40" t="s">
        <v>413</v>
      </c>
      <c r="C162" s="40"/>
      <c r="D162" s="275">
        <v>4184</v>
      </c>
      <c r="E162" s="275">
        <v>4571</v>
      </c>
      <c r="F162" s="275">
        <v>4955</v>
      </c>
      <c r="G162" s="275">
        <v>5359</v>
      </c>
      <c r="H162" s="275">
        <v>5760</v>
      </c>
    </row>
    <row r="163" spans="2:8" ht="15" customHeight="1" x14ac:dyDescent="0.35">
      <c r="B163" s="40" t="s">
        <v>414</v>
      </c>
      <c r="C163" s="40"/>
      <c r="D163" s="277">
        <v>22720</v>
      </c>
      <c r="E163" s="277">
        <v>23333</v>
      </c>
      <c r="F163" s="277">
        <v>23481</v>
      </c>
      <c r="G163" s="277">
        <v>23880</v>
      </c>
      <c r="H163" s="277">
        <v>21945</v>
      </c>
    </row>
    <row r="164" spans="2:8" ht="15" customHeight="1" x14ac:dyDescent="0.35">
      <c r="B164" s="38" t="s">
        <v>415</v>
      </c>
      <c r="C164" s="38"/>
      <c r="D164" s="279"/>
      <c r="E164" s="279"/>
      <c r="F164" s="279"/>
      <c r="G164" s="279"/>
      <c r="H164" s="279"/>
    </row>
    <row r="165" spans="2:8" ht="15" customHeight="1" x14ac:dyDescent="0.35">
      <c r="B165" s="40" t="s">
        <v>416</v>
      </c>
      <c r="C165" s="40"/>
      <c r="D165" s="275">
        <v>898</v>
      </c>
      <c r="E165" s="275">
        <v>1034</v>
      </c>
      <c r="F165" s="275">
        <v>1070</v>
      </c>
      <c r="G165" s="275">
        <v>1479</v>
      </c>
      <c r="H165" s="275">
        <v>1091</v>
      </c>
    </row>
    <row r="166" spans="2:8" ht="15" customHeight="1" x14ac:dyDescent="0.35">
      <c r="B166" s="40" t="s">
        <v>417</v>
      </c>
      <c r="C166" s="40"/>
      <c r="D166" s="275">
        <v>1502</v>
      </c>
      <c r="E166" s="275">
        <v>2648</v>
      </c>
      <c r="F166" s="275">
        <v>2395</v>
      </c>
      <c r="G166" s="275">
        <v>3577</v>
      </c>
      <c r="H166" s="275">
        <v>2713</v>
      </c>
    </row>
    <row r="167" spans="2:8" ht="15" customHeight="1" x14ac:dyDescent="0.35">
      <c r="B167" s="40" t="s">
        <v>418</v>
      </c>
      <c r="C167" s="40"/>
      <c r="D167" s="275">
        <v>3919</v>
      </c>
      <c r="E167" s="275">
        <v>4027</v>
      </c>
      <c r="F167" s="275">
        <v>4866</v>
      </c>
      <c r="G167" s="275">
        <v>4605</v>
      </c>
      <c r="H167" s="275">
        <v>4176</v>
      </c>
    </row>
    <row r="168" spans="2:8" ht="15" customHeight="1" x14ac:dyDescent="0.35">
      <c r="B168" s="42" t="s">
        <v>419</v>
      </c>
      <c r="C168" s="42"/>
      <c r="D168" s="275">
        <v>1601</v>
      </c>
      <c r="E168" s="275">
        <v>1661</v>
      </c>
      <c r="F168" s="275">
        <v>2068</v>
      </c>
      <c r="G168" s="275">
        <v>1563</v>
      </c>
      <c r="H168" s="275">
        <v>1562</v>
      </c>
    </row>
    <row r="169" spans="2:8" ht="15" customHeight="1" x14ac:dyDescent="0.35">
      <c r="B169" s="40" t="s">
        <v>420</v>
      </c>
      <c r="C169" s="40"/>
      <c r="D169" s="277">
        <v>0</v>
      </c>
      <c r="E169" s="275">
        <v>245</v>
      </c>
      <c r="F169" s="277">
        <v>0</v>
      </c>
      <c r="G169" s="276">
        <v>21</v>
      </c>
      <c r="H169" s="276">
        <v>80</v>
      </c>
    </row>
    <row r="170" spans="2:8" ht="15" customHeight="1" x14ac:dyDescent="0.35">
      <c r="B170" s="40" t="s">
        <v>421</v>
      </c>
      <c r="C170" s="40"/>
      <c r="D170" s="275">
        <v>2765</v>
      </c>
      <c r="E170" s="275">
        <v>2274</v>
      </c>
      <c r="F170" s="275">
        <v>2117</v>
      </c>
      <c r="G170" s="275">
        <v>1548</v>
      </c>
      <c r="H170" s="275">
        <v>1272</v>
      </c>
    </row>
    <row r="171" spans="2:8" ht="15" customHeight="1" x14ac:dyDescent="0.35">
      <c r="B171" s="40" t="s">
        <v>422</v>
      </c>
      <c r="C171" s="40"/>
      <c r="D171" s="276">
        <v>66</v>
      </c>
      <c r="E171" s="276">
        <v>82</v>
      </c>
      <c r="F171" s="276">
        <v>92</v>
      </c>
      <c r="G171" s="276">
        <v>78</v>
      </c>
      <c r="H171" s="276">
        <v>90</v>
      </c>
    </row>
    <row r="172" spans="2:8" ht="15" customHeight="1" x14ac:dyDescent="0.35">
      <c r="B172" s="40" t="s">
        <v>423</v>
      </c>
      <c r="C172" s="40"/>
      <c r="D172" s="275">
        <v>4871</v>
      </c>
      <c r="E172" s="275">
        <v>4730</v>
      </c>
      <c r="F172" s="275">
        <v>5206</v>
      </c>
      <c r="G172" s="275">
        <v>5235</v>
      </c>
      <c r="H172" s="275">
        <v>5265</v>
      </c>
    </row>
    <row r="173" spans="2:8" ht="15" customHeight="1" x14ac:dyDescent="0.35">
      <c r="B173" s="42" t="s">
        <v>424</v>
      </c>
      <c r="C173" s="42"/>
      <c r="D173" s="275">
        <v>3825</v>
      </c>
      <c r="E173" s="275">
        <v>3727</v>
      </c>
      <c r="F173" s="275">
        <v>4119</v>
      </c>
      <c r="G173" s="275">
        <v>4196</v>
      </c>
      <c r="H173" s="275">
        <v>4143</v>
      </c>
    </row>
    <row r="174" spans="2:8" ht="15" customHeight="1" x14ac:dyDescent="0.35">
      <c r="B174" s="42" t="s">
        <v>425</v>
      </c>
      <c r="C174" s="42"/>
      <c r="D174" s="275">
        <v>1046</v>
      </c>
      <c r="E174" s="275">
        <v>1003</v>
      </c>
      <c r="F174" s="275">
        <v>1087</v>
      </c>
      <c r="G174" s="275">
        <v>1039</v>
      </c>
      <c r="H174" s="275">
        <v>1122</v>
      </c>
    </row>
    <row r="175" spans="2:8" ht="15" customHeight="1" x14ac:dyDescent="0.35">
      <c r="B175" s="40" t="s">
        <v>426</v>
      </c>
      <c r="C175" s="40"/>
      <c r="D175" s="275">
        <v>398</v>
      </c>
      <c r="E175" s="275">
        <v>497</v>
      </c>
      <c r="F175" s="275">
        <v>539</v>
      </c>
      <c r="G175" s="275">
        <v>383</v>
      </c>
      <c r="H175" s="275">
        <v>870</v>
      </c>
    </row>
    <row r="176" spans="2:8" ht="15" customHeight="1" x14ac:dyDescent="0.35">
      <c r="B176" s="40" t="s">
        <v>427</v>
      </c>
      <c r="C176" s="40"/>
      <c r="D176" s="277">
        <v>0</v>
      </c>
      <c r="E176" s="275">
        <v>188</v>
      </c>
      <c r="F176" s="277">
        <v>0</v>
      </c>
      <c r="G176" s="276">
        <v>4</v>
      </c>
      <c r="H176" s="276">
        <v>40</v>
      </c>
    </row>
    <row r="177" spans="2:8" ht="15" customHeight="1" x14ac:dyDescent="0.35">
      <c r="B177" s="40" t="s">
        <v>428</v>
      </c>
      <c r="C177" s="40"/>
      <c r="D177" s="275">
        <v>1009</v>
      </c>
      <c r="E177" s="275">
        <v>1194</v>
      </c>
      <c r="F177" s="275">
        <v>1410</v>
      </c>
      <c r="G177" s="275">
        <v>1565</v>
      </c>
      <c r="H177" s="275">
        <v>1554</v>
      </c>
    </row>
    <row r="178" spans="2:8" ht="15" customHeight="1" x14ac:dyDescent="0.35">
      <c r="B178" s="40" t="s">
        <v>429</v>
      </c>
      <c r="C178" s="40"/>
      <c r="D178" s="275">
        <v>382</v>
      </c>
      <c r="E178" s="275">
        <v>306</v>
      </c>
      <c r="F178" s="275">
        <v>330</v>
      </c>
      <c r="G178" s="275">
        <v>369</v>
      </c>
      <c r="H178" s="275">
        <v>361</v>
      </c>
    </row>
    <row r="179" spans="2:8" ht="15" customHeight="1" x14ac:dyDescent="0.35">
      <c r="B179" s="38" t="s">
        <v>430</v>
      </c>
      <c r="C179" s="38"/>
      <c r="D179" s="279"/>
      <c r="E179" s="279"/>
      <c r="F179" s="279"/>
      <c r="G179" s="279"/>
      <c r="H179" s="279"/>
    </row>
    <row r="180" spans="2:8" ht="15" customHeight="1" x14ac:dyDescent="0.35">
      <c r="B180" s="40" t="s">
        <v>431</v>
      </c>
      <c r="C180" s="40"/>
      <c r="D180" s="277">
        <v>21002</v>
      </c>
      <c r="E180" s="277">
        <v>20519</v>
      </c>
      <c r="F180" s="277">
        <v>20701</v>
      </c>
      <c r="G180" s="277">
        <v>19940</v>
      </c>
      <c r="H180" s="277">
        <v>18489</v>
      </c>
    </row>
    <row r="181" spans="2:8" ht="15" customHeight="1" x14ac:dyDescent="0.35">
      <c r="B181" s="40" t="s">
        <v>432</v>
      </c>
      <c r="C181" s="40"/>
      <c r="D181" s="277">
        <v>22720</v>
      </c>
      <c r="E181" s="277">
        <v>23333</v>
      </c>
      <c r="F181" s="277">
        <v>23481</v>
      </c>
      <c r="G181" s="277">
        <v>23880</v>
      </c>
      <c r="H181" s="277">
        <v>21945</v>
      </c>
    </row>
    <row r="182" spans="2:8" ht="15" customHeight="1" x14ac:dyDescent="0.35">
      <c r="B182" s="38" t="s">
        <v>433</v>
      </c>
      <c r="C182" s="38"/>
      <c r="D182" s="279"/>
      <c r="E182" s="279"/>
      <c r="F182" s="279"/>
      <c r="G182" s="279"/>
      <c r="H182" s="279"/>
    </row>
    <row r="183" spans="2:8" ht="15" customHeight="1" x14ac:dyDescent="0.35">
      <c r="B183" s="40" t="s">
        <v>434</v>
      </c>
      <c r="C183" s="40"/>
      <c r="D183" s="277">
        <v>18622</v>
      </c>
      <c r="E183" s="277">
        <v>18798</v>
      </c>
      <c r="F183" s="277">
        <v>18157</v>
      </c>
      <c r="G183" s="277">
        <v>17835</v>
      </c>
      <c r="H183" s="277">
        <v>15302</v>
      </c>
    </row>
    <row r="184" spans="2:8" ht="15" customHeight="1" x14ac:dyDescent="0.35">
      <c r="B184" s="53" t="s">
        <v>435</v>
      </c>
      <c r="C184" s="53"/>
      <c r="D184" s="278">
        <v>789</v>
      </c>
      <c r="E184" s="278">
        <v>2082</v>
      </c>
      <c r="F184" s="278">
        <v>996</v>
      </c>
      <c r="G184" s="278">
        <v>1075</v>
      </c>
      <c r="H184" s="277"/>
    </row>
    <row r="185" spans="2:8" ht="15" customHeight="1" x14ac:dyDescent="0.35">
      <c r="B185" s="53" t="s">
        <v>436</v>
      </c>
      <c r="C185" s="53"/>
      <c r="D185" s="278">
        <v>1053</v>
      </c>
      <c r="E185" s="278">
        <v>430</v>
      </c>
      <c r="F185" s="278">
        <v>2727</v>
      </c>
      <c r="G185" s="278">
        <v>1165</v>
      </c>
      <c r="H185" s="275">
        <v>935</v>
      </c>
    </row>
    <row r="186" spans="2:8" ht="15" customHeight="1" x14ac:dyDescent="0.35">
      <c r="B186" s="53" t="s">
        <v>437</v>
      </c>
      <c r="C186" s="53"/>
      <c r="D186" s="278">
        <v>2307</v>
      </c>
      <c r="E186" s="278">
        <v>1583</v>
      </c>
      <c r="F186" s="278">
        <v>431</v>
      </c>
      <c r="G186" s="278">
        <v>2669</v>
      </c>
      <c r="H186" s="275">
        <v>1415</v>
      </c>
    </row>
    <row r="187" spans="2:8" ht="15" customHeight="1" x14ac:dyDescent="0.35">
      <c r="B187" s="53" t="s">
        <v>438</v>
      </c>
      <c r="C187" s="53"/>
      <c r="D187" s="278">
        <v>2109</v>
      </c>
      <c r="E187" s="278">
        <v>2261</v>
      </c>
      <c r="F187" s="278">
        <v>1614</v>
      </c>
      <c r="G187" s="278">
        <v>404</v>
      </c>
      <c r="H187" s="275">
        <v>2532</v>
      </c>
    </row>
    <row r="188" spans="2:8" ht="15" customHeight="1" x14ac:dyDescent="0.35">
      <c r="B188" s="53" t="s">
        <v>439</v>
      </c>
      <c r="C188" s="53"/>
      <c r="D188" s="278">
        <v>2425</v>
      </c>
      <c r="E188" s="278">
        <v>2030</v>
      </c>
      <c r="F188" s="278">
        <v>2282</v>
      </c>
      <c r="G188" s="278">
        <v>1539</v>
      </c>
      <c r="H188" s="275">
        <v>379</v>
      </c>
    </row>
    <row r="189" spans="2:8" ht="15" customHeight="1" x14ac:dyDescent="0.35">
      <c r="B189" s="42" t="s">
        <v>440</v>
      </c>
      <c r="C189" s="42"/>
      <c r="D189" s="275">
        <v>9939</v>
      </c>
      <c r="E189" s="277">
        <v>10412</v>
      </c>
      <c r="F189" s="277">
        <v>10107</v>
      </c>
      <c r="G189" s="277">
        <v>10983</v>
      </c>
      <c r="H189" s="277">
        <v>10041</v>
      </c>
    </row>
    <row r="190" spans="2:8" ht="15" customHeight="1" x14ac:dyDescent="0.35">
      <c r="B190" s="40" t="s">
        <v>441</v>
      </c>
      <c r="C190" s="40"/>
      <c r="D190" s="275">
        <v>3360</v>
      </c>
      <c r="E190" s="275">
        <v>2013</v>
      </c>
      <c r="F190" s="275">
        <v>3158</v>
      </c>
      <c r="G190" s="275">
        <v>3834</v>
      </c>
      <c r="H190" s="275">
        <v>2350</v>
      </c>
    </row>
    <row r="191" spans="2:8" ht="15" customHeight="1" x14ac:dyDescent="0.35">
      <c r="B191" s="40" t="s">
        <v>442</v>
      </c>
      <c r="C191" s="40"/>
      <c r="D191" s="275">
        <v>4534</v>
      </c>
      <c r="E191" s="275">
        <v>4291</v>
      </c>
      <c r="F191" s="275">
        <v>3896</v>
      </c>
      <c r="G191" s="275">
        <v>1943</v>
      </c>
      <c r="H191" s="275">
        <v>2911</v>
      </c>
    </row>
    <row r="192" spans="2:8" ht="15" customHeight="1" x14ac:dyDescent="0.35">
      <c r="B192" s="40" t="s">
        <v>443</v>
      </c>
      <c r="C192" s="40"/>
      <c r="D192" s="275">
        <v>9939</v>
      </c>
      <c r="E192" s="277">
        <v>10412</v>
      </c>
      <c r="F192" s="277">
        <v>10107</v>
      </c>
      <c r="G192" s="277">
        <v>10983</v>
      </c>
      <c r="H192" s="277">
        <v>10041</v>
      </c>
    </row>
    <row r="193" spans="2:8" ht="15" customHeight="1" x14ac:dyDescent="0.35">
      <c r="B193" s="38" t="s">
        <v>444</v>
      </c>
      <c r="C193" s="38"/>
      <c r="D193" s="279"/>
      <c r="E193" s="279"/>
      <c r="F193" s="279"/>
      <c r="G193" s="279"/>
      <c r="H193" s="279"/>
    </row>
    <row r="194" spans="2:8" ht="15" customHeight="1" x14ac:dyDescent="0.35">
      <c r="B194" s="40" t="s">
        <v>445</v>
      </c>
      <c r="C194" s="40"/>
      <c r="D194" s="275">
        <v>4184</v>
      </c>
      <c r="E194" s="275">
        <v>4571</v>
      </c>
      <c r="F194" s="275">
        <v>4955</v>
      </c>
      <c r="G194" s="275">
        <v>5359</v>
      </c>
      <c r="H194" s="275">
        <v>6499</v>
      </c>
    </row>
    <row r="195" spans="2:8" ht="15" customHeight="1" x14ac:dyDescent="0.35">
      <c r="B195" s="42" t="s">
        <v>446</v>
      </c>
      <c r="C195" s="42"/>
      <c r="D195" s="275">
        <v>779</v>
      </c>
      <c r="E195" s="275">
        <v>705</v>
      </c>
      <c r="F195" s="275">
        <v>765</v>
      </c>
      <c r="G195" s="275">
        <v>800</v>
      </c>
      <c r="H195" s="275">
        <v>788</v>
      </c>
    </row>
    <row r="196" spans="2:8" ht="15" customHeight="1" x14ac:dyDescent="0.35">
      <c r="B196" s="42" t="s">
        <v>447</v>
      </c>
      <c r="C196" s="42"/>
      <c r="D196" s="275">
        <v>783</v>
      </c>
      <c r="E196" s="275">
        <v>772</v>
      </c>
      <c r="F196" s="275">
        <v>730</v>
      </c>
      <c r="G196" s="275">
        <v>774</v>
      </c>
      <c r="H196" s="275">
        <v>784</v>
      </c>
    </row>
    <row r="197" spans="2:8" ht="15" customHeight="1" x14ac:dyDescent="0.35">
      <c r="B197" s="42" t="s">
        <v>448</v>
      </c>
      <c r="C197" s="42"/>
      <c r="D197" s="275">
        <v>736</v>
      </c>
      <c r="E197" s="275">
        <v>729</v>
      </c>
      <c r="F197" s="275">
        <v>696</v>
      </c>
      <c r="G197" s="275">
        <v>676</v>
      </c>
      <c r="H197" s="275">
        <v>729</v>
      </c>
    </row>
    <row r="198" spans="2:8" ht="15" customHeight="1" x14ac:dyDescent="0.35">
      <c r="B198" s="42" t="s">
        <v>449</v>
      </c>
      <c r="C198" s="42"/>
      <c r="D198" s="275">
        <v>711</v>
      </c>
      <c r="E198" s="275">
        <v>691</v>
      </c>
      <c r="F198" s="275">
        <v>663</v>
      </c>
      <c r="G198" s="275">
        <v>640</v>
      </c>
      <c r="H198" s="275">
        <v>626</v>
      </c>
    </row>
    <row r="199" spans="2:8" ht="15" customHeight="1" x14ac:dyDescent="0.35">
      <c r="B199" s="42" t="s">
        <v>450</v>
      </c>
      <c r="C199" s="42"/>
      <c r="D199" s="275">
        <v>680</v>
      </c>
      <c r="E199" s="275">
        <v>669</v>
      </c>
      <c r="F199" s="275">
        <v>634</v>
      </c>
      <c r="G199" s="275">
        <v>612</v>
      </c>
      <c r="H199" s="275">
        <v>589</v>
      </c>
    </row>
    <row r="200" spans="2:8" ht="15" customHeight="1" x14ac:dyDescent="0.35">
      <c r="B200" s="42" t="s">
        <v>451</v>
      </c>
      <c r="C200" s="42"/>
      <c r="D200" s="275">
        <v>1023</v>
      </c>
      <c r="E200" s="275">
        <v>1613</v>
      </c>
      <c r="F200" s="275">
        <v>2103</v>
      </c>
      <c r="G200" s="275">
        <v>2529</v>
      </c>
      <c r="H200" s="275">
        <v>2983</v>
      </c>
    </row>
    <row r="201" spans="2:8" ht="15" customHeight="1" x14ac:dyDescent="0.35">
      <c r="B201" s="42" t="s">
        <v>452</v>
      </c>
      <c r="C201" s="42"/>
      <c r="D201" s="275">
        <v>528</v>
      </c>
      <c r="E201" s="275">
        <v>608</v>
      </c>
      <c r="F201" s="275">
        <v>636</v>
      </c>
      <c r="G201" s="275">
        <v>672</v>
      </c>
      <c r="H201" s="277"/>
    </row>
    <row r="202" spans="2:8" ht="15" customHeight="1" x14ac:dyDescent="0.35">
      <c r="B202" s="40" t="s">
        <v>453</v>
      </c>
      <c r="C202" s="40"/>
      <c r="D202" s="275">
        <v>1519</v>
      </c>
      <c r="E202" s="275">
        <v>1501</v>
      </c>
      <c r="F202" s="275">
        <v>1426</v>
      </c>
      <c r="G202" s="275">
        <v>1450</v>
      </c>
      <c r="H202" s="275">
        <v>1513</v>
      </c>
    </row>
    <row r="203" spans="2:8" ht="15" customHeight="1" x14ac:dyDescent="0.35">
      <c r="B203" s="40" t="s">
        <v>454</v>
      </c>
      <c r="C203" s="40"/>
      <c r="D203" s="275">
        <v>1391</v>
      </c>
      <c r="E203" s="275">
        <v>1360</v>
      </c>
      <c r="F203" s="275">
        <v>1297</v>
      </c>
      <c r="G203" s="275">
        <v>1252</v>
      </c>
      <c r="H203" s="275">
        <v>1215</v>
      </c>
    </row>
    <row r="204" spans="2:8" ht="15" customHeight="1" x14ac:dyDescent="0.35">
      <c r="B204" s="40" t="s">
        <v>455</v>
      </c>
      <c r="C204" s="40"/>
      <c r="D204" s="275">
        <v>1023</v>
      </c>
      <c r="E204" s="275">
        <v>1613</v>
      </c>
      <c r="F204" s="275">
        <v>2103</v>
      </c>
      <c r="G204" s="275">
        <v>2529</v>
      </c>
      <c r="H204" s="275">
        <v>2983</v>
      </c>
    </row>
    <row r="205" spans="2:8" ht="15" customHeight="1" x14ac:dyDescent="0.35">
      <c r="B205" s="38" t="s">
        <v>263</v>
      </c>
      <c r="C205" s="38"/>
      <c r="D205" s="279"/>
      <c r="E205" s="279"/>
      <c r="F205" s="279"/>
      <c r="G205" s="279"/>
      <c r="H205" s="279"/>
    </row>
    <row r="206" spans="2:8" ht="15" customHeight="1" x14ac:dyDescent="0.35">
      <c r="B206" s="40" t="s">
        <v>456</v>
      </c>
      <c r="C206" s="40"/>
      <c r="D206" s="275">
        <v>963</v>
      </c>
      <c r="E206" s="275">
        <v>899</v>
      </c>
      <c r="F206" s="275">
        <v>906</v>
      </c>
      <c r="G206" s="275">
        <v>859</v>
      </c>
      <c r="H206" s="275">
        <v>833</v>
      </c>
    </row>
    <row r="207" spans="2:8" ht="15" customHeight="1" x14ac:dyDescent="0.35">
      <c r="B207" s="40" t="s">
        <v>457</v>
      </c>
      <c r="C207" s="40"/>
      <c r="D207" s="275">
        <v>274</v>
      </c>
      <c r="E207" s="275">
        <v>257</v>
      </c>
      <c r="F207" s="275">
        <v>175</v>
      </c>
      <c r="G207" s="275">
        <v>193</v>
      </c>
      <c r="H207" s="275">
        <v>170</v>
      </c>
    </row>
    <row r="208" spans="2:8" ht="15" customHeight="1" x14ac:dyDescent="0.35">
      <c r="B208" s="40" t="s">
        <v>458</v>
      </c>
      <c r="C208" s="40"/>
      <c r="D208" s="275">
        <v>-1530</v>
      </c>
      <c r="E208" s="275">
        <v>-2096</v>
      </c>
      <c r="F208" s="275">
        <v>-1513</v>
      </c>
      <c r="G208" s="275">
        <v>-1327</v>
      </c>
      <c r="H208" s="275">
        <v>-915</v>
      </c>
    </row>
    <row r="209" spans="2:8" ht="15" customHeight="1" x14ac:dyDescent="0.35">
      <c r="B209" s="40" t="s">
        <v>459</v>
      </c>
      <c r="C209" s="40"/>
      <c r="D209" s="277">
        <v>41979</v>
      </c>
      <c r="E209" s="277">
        <v>43092</v>
      </c>
      <c r="F209" s="277">
        <v>43454</v>
      </c>
      <c r="G209" s="277">
        <v>43938</v>
      </c>
      <c r="H209" s="277">
        <v>40719</v>
      </c>
    </row>
    <row r="210" spans="2:8" ht="15" customHeight="1" x14ac:dyDescent="0.35">
      <c r="B210" s="40" t="s">
        <v>460</v>
      </c>
      <c r="C210" s="40"/>
      <c r="D210" s="275">
        <v>236</v>
      </c>
      <c r="E210" s="275">
        <v>183</v>
      </c>
      <c r="F210" s="275">
        <v>414</v>
      </c>
      <c r="G210" s="275">
        <v>392</v>
      </c>
      <c r="H210" s="275">
        <v>777</v>
      </c>
    </row>
    <row r="211" spans="2:8" ht="15" customHeight="1" x14ac:dyDescent="0.35">
      <c r="B211" s="40" t="s">
        <v>461</v>
      </c>
      <c r="C211" s="40"/>
      <c r="D211" s="275">
        <v>1718</v>
      </c>
      <c r="E211" s="275">
        <v>2814</v>
      </c>
      <c r="F211" s="275">
        <v>2780</v>
      </c>
      <c r="G211" s="275">
        <v>3940</v>
      </c>
      <c r="H211" s="275">
        <v>3456</v>
      </c>
    </row>
    <row r="212" spans="2:8" ht="15" customHeight="1" x14ac:dyDescent="0.35">
      <c r="B212" s="40" t="s">
        <v>462</v>
      </c>
      <c r="C212" s="40"/>
      <c r="D212" s="277">
        <v>22720</v>
      </c>
      <c r="E212" s="277">
        <v>23333</v>
      </c>
      <c r="F212" s="277">
        <v>23481</v>
      </c>
      <c r="G212" s="277">
        <v>23880</v>
      </c>
      <c r="H212" s="277">
        <v>21945</v>
      </c>
    </row>
    <row r="213" spans="2:8" ht="15" customHeight="1" x14ac:dyDescent="0.35">
      <c r="B213" s="40" t="s">
        <v>463</v>
      </c>
      <c r="C213" s="40"/>
      <c r="D213" s="276">
        <v>24</v>
      </c>
      <c r="E213" s="275">
        <v>503</v>
      </c>
      <c r="F213" s="275">
        <v>787</v>
      </c>
      <c r="G213" s="275">
        <v>930</v>
      </c>
      <c r="H213" s="276">
        <v>39</v>
      </c>
    </row>
    <row r="214" spans="2:8" ht="15" customHeight="1" x14ac:dyDescent="0.35">
      <c r="B214" s="40" t="s">
        <v>464</v>
      </c>
      <c r="C214" s="40"/>
      <c r="D214" s="277">
        <v>33566</v>
      </c>
      <c r="E214" s="277">
        <v>33427</v>
      </c>
      <c r="F214" s="277">
        <v>33219</v>
      </c>
      <c r="G214" s="277">
        <v>34454</v>
      </c>
      <c r="H214" s="277">
        <v>33785</v>
      </c>
    </row>
    <row r="215" spans="2:8" ht="15" customHeight="1" x14ac:dyDescent="0.35">
      <c r="B215" s="40" t="s">
        <v>465</v>
      </c>
      <c r="C215" s="40"/>
      <c r="D215" s="277">
        <v>33566</v>
      </c>
      <c r="E215" s="277">
        <v>33427</v>
      </c>
      <c r="F215" s="277">
        <v>33219</v>
      </c>
      <c r="G215" s="277">
        <v>34454</v>
      </c>
      <c r="H215" s="277">
        <v>33785</v>
      </c>
    </row>
    <row r="216" spans="2:8" ht="15" customHeight="1" x14ac:dyDescent="0.35">
      <c r="B216" s="40" t="s">
        <v>466</v>
      </c>
      <c r="C216" s="40"/>
      <c r="D216" s="275">
        <v>6919</v>
      </c>
      <c r="E216" s="275">
        <v>6587</v>
      </c>
      <c r="F216" s="275">
        <v>7064</v>
      </c>
      <c r="G216" s="275">
        <v>5357</v>
      </c>
      <c r="H216" s="275">
        <v>3764</v>
      </c>
    </row>
    <row r="217" spans="2:8" ht="15" customHeight="1" x14ac:dyDescent="0.35">
      <c r="B217" s="40" t="s">
        <v>467</v>
      </c>
      <c r="C217" s="40"/>
      <c r="D217" s="277">
        <v>12564</v>
      </c>
      <c r="E217" s="277">
        <v>12908</v>
      </c>
      <c r="F217" s="277">
        <v>12518</v>
      </c>
      <c r="G217" s="277">
        <v>14514</v>
      </c>
      <c r="H217" s="277">
        <v>15296</v>
      </c>
    </row>
    <row r="218" spans="2:8" ht="15" customHeight="1" x14ac:dyDescent="0.35">
      <c r="B218" s="40" t="s">
        <v>468</v>
      </c>
      <c r="C218" s="40"/>
      <c r="D218" s="275">
        <v>596</v>
      </c>
      <c r="E218" s="275">
        <v>475</v>
      </c>
      <c r="F218" s="275">
        <v>-402</v>
      </c>
      <c r="G218" s="275">
        <v>827</v>
      </c>
      <c r="H218" s="275">
        <v>1487</v>
      </c>
    </row>
    <row r="219" spans="2:8" ht="15" customHeight="1" x14ac:dyDescent="0.35">
      <c r="B219" s="40" t="s">
        <v>469</v>
      </c>
      <c r="C219" s="40"/>
      <c r="D219" s="275">
        <v>596</v>
      </c>
      <c r="E219" s="275">
        <v>475</v>
      </c>
      <c r="F219" s="275">
        <v>-402</v>
      </c>
      <c r="G219" s="275">
        <v>827</v>
      </c>
      <c r="H219" s="275">
        <v>1487</v>
      </c>
    </row>
    <row r="220" spans="2:8" ht="15" customHeight="1" x14ac:dyDescent="0.35">
      <c r="B220" s="40" t="s">
        <v>470</v>
      </c>
      <c r="C220" s="40"/>
      <c r="D220" s="277">
        <v>35284</v>
      </c>
      <c r="E220" s="277">
        <v>36241</v>
      </c>
      <c r="F220" s="277">
        <v>35999</v>
      </c>
      <c r="G220" s="277">
        <v>38394</v>
      </c>
      <c r="H220" s="277">
        <v>37241</v>
      </c>
    </row>
    <row r="221" spans="2:8" ht="15" customHeight="1" x14ac:dyDescent="0.35">
      <c r="B221" s="40" t="s">
        <v>471</v>
      </c>
      <c r="C221" s="40"/>
      <c r="D221" s="277">
        <v>35284</v>
      </c>
      <c r="E221" s="277">
        <v>36241</v>
      </c>
      <c r="F221" s="277">
        <v>35999</v>
      </c>
      <c r="G221" s="277">
        <v>38394</v>
      </c>
      <c r="H221" s="277">
        <v>37241</v>
      </c>
    </row>
    <row r="222" spans="2:8" ht="15" customHeight="1" x14ac:dyDescent="0.35">
      <c r="B222" s="40" t="s">
        <v>472</v>
      </c>
      <c r="C222" s="40"/>
      <c r="D222" s="277">
        <v>41567</v>
      </c>
      <c r="E222" s="277">
        <v>40697</v>
      </c>
      <c r="F222" s="277">
        <v>41921</v>
      </c>
      <c r="G222" s="277">
        <v>42360</v>
      </c>
      <c r="H222" s="277">
        <v>40728</v>
      </c>
    </row>
    <row r="223" spans="2:8" ht="15" customHeight="1" x14ac:dyDescent="0.35">
      <c r="B223" s="40" t="s">
        <v>473</v>
      </c>
      <c r="C223" s="40"/>
      <c r="D223" s="277">
        <v>35100</v>
      </c>
      <c r="E223" s="277">
        <v>34903</v>
      </c>
      <c r="F223" s="277">
        <v>35149</v>
      </c>
      <c r="G223" s="277">
        <v>34873</v>
      </c>
      <c r="H223" s="277">
        <v>32588</v>
      </c>
    </row>
    <row r="224" spans="2:8" ht="15" customHeight="1" x14ac:dyDescent="0.35">
      <c r="B224" s="40" t="s">
        <v>474</v>
      </c>
      <c r="C224" s="40"/>
      <c r="D224" s="275">
        <v>1775</v>
      </c>
      <c r="E224" s="275">
        <v>1738</v>
      </c>
      <c r="F224" s="275">
        <v>1778</v>
      </c>
      <c r="G224" s="275">
        <v>1987</v>
      </c>
      <c r="H224" s="275">
        <v>1942</v>
      </c>
    </row>
    <row r="225" spans="1:11" ht="15" customHeight="1" x14ac:dyDescent="0.35">
      <c r="B225" s="40" t="s">
        <v>475</v>
      </c>
      <c r="C225" s="40"/>
      <c r="D225" s="275">
        <v>-1294</v>
      </c>
      <c r="E225" s="275">
        <v>-1913</v>
      </c>
      <c r="F225" s="275">
        <v>-1099</v>
      </c>
      <c r="G225" s="275">
        <v>-935</v>
      </c>
      <c r="H225" s="275">
        <v>-138</v>
      </c>
    </row>
    <row r="226" spans="1:11" ht="15" customHeight="1" x14ac:dyDescent="0.35">
      <c r="B226" s="40" t="s">
        <v>476</v>
      </c>
      <c r="C226" s="40"/>
      <c r="D226" s="275">
        <v>-3012</v>
      </c>
      <c r="E226" s="275">
        <v>-4727</v>
      </c>
      <c r="F226" s="275">
        <v>-3879</v>
      </c>
      <c r="G226" s="275">
        <v>-4875</v>
      </c>
      <c r="H226" s="275">
        <v>-3594</v>
      </c>
    </row>
    <row r="227" spans="1:11" ht="15" customHeight="1" x14ac:dyDescent="0.35">
      <c r="B227" s="40" t="s">
        <v>477</v>
      </c>
      <c r="C227" s="40"/>
      <c r="D227" s="276">
        <v>30</v>
      </c>
      <c r="E227" s="275">
        <v>-140</v>
      </c>
      <c r="F227" s="275">
        <v>701</v>
      </c>
      <c r="G227" s="275">
        <v>1100</v>
      </c>
      <c r="H227" s="275">
        <v>1148</v>
      </c>
    </row>
    <row r="228" spans="1:11" ht="15" customHeight="1" x14ac:dyDescent="0.35">
      <c r="B228" s="40" t="s">
        <v>478</v>
      </c>
      <c r="C228" s="40"/>
      <c r="D228" s="277">
        <v>12564</v>
      </c>
      <c r="E228" s="277">
        <v>12908</v>
      </c>
      <c r="F228" s="277">
        <v>12518</v>
      </c>
      <c r="G228" s="277">
        <v>14514</v>
      </c>
      <c r="H228" s="277">
        <v>15296</v>
      </c>
    </row>
    <row r="229" spans="1:11" ht="15" customHeight="1" x14ac:dyDescent="0.35">
      <c r="B229" s="38" t="s">
        <v>479</v>
      </c>
      <c r="C229" s="38"/>
      <c r="D229" s="279"/>
      <c r="E229" s="279"/>
      <c r="F229" s="279"/>
      <c r="G229" s="279"/>
      <c r="H229" s="279"/>
    </row>
    <row r="230" spans="1:11" ht="15" customHeight="1" x14ac:dyDescent="0.35">
      <c r="B230" s="40" t="s">
        <v>480</v>
      </c>
      <c r="C230" s="40"/>
      <c r="D230" s="277">
        <v>549000</v>
      </c>
      <c r="E230" s="277"/>
      <c r="F230" s="277">
        <v>614000</v>
      </c>
      <c r="G230" s="277">
        <v>641000</v>
      </c>
      <c r="H230" s="277">
        <v>671000</v>
      </c>
    </row>
    <row r="231" spans="1:11" ht="15" customHeight="1" x14ac:dyDescent="0.35">
      <c r="B231" s="38" t="s">
        <v>268</v>
      </c>
      <c r="C231" s="38"/>
      <c r="D231" s="279"/>
      <c r="E231" s="279"/>
      <c r="F231" s="279"/>
      <c r="G231" s="279"/>
      <c r="H231" s="279"/>
    </row>
    <row r="232" spans="1:11" ht="15" customHeight="1" x14ac:dyDescent="0.35">
      <c r="B232" s="40" t="s">
        <v>481</v>
      </c>
      <c r="C232" s="40"/>
      <c r="D232" s="277">
        <v>77200</v>
      </c>
      <c r="E232" s="277">
        <v>85300</v>
      </c>
      <c r="F232" s="277">
        <v>91700</v>
      </c>
      <c r="G232" s="277">
        <v>97100</v>
      </c>
      <c r="H232" s="277">
        <v>98400</v>
      </c>
    </row>
    <row r="233" spans="1:11" ht="15" customHeight="1" x14ac:dyDescent="0.35">
      <c r="B233" s="40" t="s">
        <v>482</v>
      </c>
      <c r="C233" s="40"/>
      <c r="D233" s="277">
        <v>77200</v>
      </c>
      <c r="E233" s="277">
        <v>85300</v>
      </c>
      <c r="F233" s="277">
        <v>91700</v>
      </c>
      <c r="G233" s="277">
        <v>97100</v>
      </c>
      <c r="H233" s="277">
        <v>98400</v>
      </c>
    </row>
    <row r="237" spans="1:11" ht="21" x14ac:dyDescent="0.5">
      <c r="B237" s="251" t="s">
        <v>604</v>
      </c>
    </row>
    <row r="239" spans="1:11" x14ac:dyDescent="0.35">
      <c r="B239" s="17" t="s">
        <v>606</v>
      </c>
      <c r="D239" s="76">
        <v>2025</v>
      </c>
      <c r="E239" s="76">
        <v>2026</v>
      </c>
    </row>
    <row r="240" spans="1:11" x14ac:dyDescent="0.35">
      <c r="A240" t="b">
        <f>B240='3-Statement'!D156</f>
        <v>1</v>
      </c>
      <c r="B240" t="s">
        <v>620</v>
      </c>
      <c r="D240">
        <v>331</v>
      </c>
      <c r="E240">
        <v>366</v>
      </c>
      <c r="J240">
        <f t="shared" ref="J240:J271" si="0">D240</f>
        <v>331</v>
      </c>
      <c r="K240">
        <f t="shared" ref="K240:K271" si="1">E240</f>
        <v>366</v>
      </c>
    </row>
    <row r="241" spans="1:11" x14ac:dyDescent="0.35">
      <c r="A241" t="b">
        <f>B241='3-Statement'!D157</f>
        <v>1</v>
      </c>
      <c r="B241" t="s">
        <v>615</v>
      </c>
      <c r="D241">
        <v>3109</v>
      </c>
      <c r="E241">
        <v>3116</v>
      </c>
      <c r="J241">
        <f t="shared" si="0"/>
        <v>3109</v>
      </c>
      <c r="K241">
        <f t="shared" si="1"/>
        <v>3116</v>
      </c>
    </row>
    <row r="242" spans="1:11" x14ac:dyDescent="0.35">
      <c r="A242" t="b">
        <f>B242='3-Statement'!D158</f>
        <v>1</v>
      </c>
      <c r="B242" t="s">
        <v>616</v>
      </c>
      <c r="D242">
        <v>161</v>
      </c>
      <c r="E242">
        <v>282</v>
      </c>
      <c r="J242">
        <f t="shared" si="0"/>
        <v>161</v>
      </c>
      <c r="K242">
        <f t="shared" si="1"/>
        <v>282</v>
      </c>
    </row>
    <row r="243" spans="1:11" x14ac:dyDescent="0.35">
      <c r="A243" t="b">
        <f>B243='3-Statement'!D159</f>
        <v>1</v>
      </c>
      <c r="B243" t="s">
        <v>617</v>
      </c>
      <c r="D243">
        <v>1194</v>
      </c>
      <c r="E243">
        <v>1009</v>
      </c>
      <c r="J243">
        <f t="shared" si="0"/>
        <v>1194</v>
      </c>
      <c r="K243">
        <f t="shared" si="1"/>
        <v>1009</v>
      </c>
    </row>
    <row r="244" spans="1:11" x14ac:dyDescent="0.35">
      <c r="A244" t="b">
        <f>B244='3-Statement'!D160</f>
        <v>1</v>
      </c>
      <c r="B244" t="s">
        <v>621</v>
      </c>
      <c r="D244">
        <v>245</v>
      </c>
      <c r="E244">
        <v>0</v>
      </c>
      <c r="J244">
        <f t="shared" si="0"/>
        <v>245</v>
      </c>
      <c r="K244">
        <f t="shared" si="1"/>
        <v>0</v>
      </c>
    </row>
    <row r="245" spans="1:11" x14ac:dyDescent="0.35">
      <c r="A245" t="b">
        <f>B245='3-Statement'!D161</f>
        <v>0</v>
      </c>
      <c r="B245" t="s">
        <v>622</v>
      </c>
      <c r="D245">
        <v>355</v>
      </c>
      <c r="E245">
        <v>433</v>
      </c>
      <c r="J245">
        <f t="shared" si="0"/>
        <v>355</v>
      </c>
      <c r="K245">
        <f t="shared" si="1"/>
        <v>433</v>
      </c>
    </row>
    <row r="246" spans="1:11" x14ac:dyDescent="0.35">
      <c r="A246" t="b">
        <f>B246='3-Statement'!D162</f>
        <v>0</v>
      </c>
      <c r="B246" t="s">
        <v>612</v>
      </c>
      <c r="D246">
        <v>130</v>
      </c>
      <c r="E246">
        <v>68</v>
      </c>
      <c r="J246">
        <f t="shared" si="0"/>
        <v>130</v>
      </c>
      <c r="K246">
        <f t="shared" si="1"/>
        <v>68</v>
      </c>
    </row>
    <row r="247" spans="1:11" x14ac:dyDescent="0.35">
      <c r="A247" t="b">
        <f>B247='3-Statement'!D163</f>
        <v>0</v>
      </c>
      <c r="B247" t="s">
        <v>613</v>
      </c>
      <c r="D247">
        <v>2631</v>
      </c>
      <c r="E247">
        <v>1482</v>
      </c>
      <c r="J247">
        <f t="shared" si="0"/>
        <v>2631</v>
      </c>
      <c r="K247">
        <f t="shared" si="1"/>
        <v>1482</v>
      </c>
    </row>
    <row r="248" spans="1:11" x14ac:dyDescent="0.35">
      <c r="A248" t="b">
        <f>B248='3-Statement'!D164</f>
        <v>0</v>
      </c>
      <c r="B248" t="s">
        <v>623</v>
      </c>
      <c r="D248">
        <v>216</v>
      </c>
      <c r="E248">
        <v>359</v>
      </c>
      <c r="J248">
        <f t="shared" si="0"/>
        <v>216</v>
      </c>
      <c r="K248">
        <f t="shared" si="1"/>
        <v>359</v>
      </c>
    </row>
    <row r="249" spans="1:11" x14ac:dyDescent="0.35">
      <c r="B249" s="17" t="s">
        <v>291</v>
      </c>
      <c r="D249" s="17">
        <f>SUM(D240:D248)</f>
        <v>8372</v>
      </c>
      <c r="E249" s="17">
        <f>SUM(E240:E248)</f>
        <v>7115</v>
      </c>
      <c r="J249">
        <f t="shared" si="0"/>
        <v>8372</v>
      </c>
      <c r="K249">
        <f t="shared" si="1"/>
        <v>7115</v>
      </c>
    </row>
    <row r="250" spans="1:11" x14ac:dyDescent="0.35">
      <c r="B250" s="17" t="s">
        <v>344</v>
      </c>
      <c r="D250" s="17">
        <f>D265+D249</f>
        <v>50982</v>
      </c>
      <c r="E250" s="17">
        <f>E265+E249</f>
        <v>49976</v>
      </c>
      <c r="J250">
        <f t="shared" si="0"/>
        <v>50982</v>
      </c>
      <c r="K250">
        <f t="shared" si="1"/>
        <v>49976</v>
      </c>
    </row>
    <row r="251" spans="1:11" x14ac:dyDescent="0.35">
      <c r="J251">
        <f t="shared" si="0"/>
        <v>0</v>
      </c>
      <c r="K251">
        <f t="shared" si="1"/>
        <v>0</v>
      </c>
    </row>
    <row r="252" spans="1:11" x14ac:dyDescent="0.35">
      <c r="B252" s="17" t="s">
        <v>605</v>
      </c>
      <c r="J252">
        <f t="shared" si="0"/>
        <v>0</v>
      </c>
      <c r="K252">
        <f t="shared" si="1"/>
        <v>0</v>
      </c>
    </row>
    <row r="253" spans="1:11" x14ac:dyDescent="0.35">
      <c r="B253" t="s">
        <v>944</v>
      </c>
      <c r="D253">
        <v>7310</v>
      </c>
      <c r="E253">
        <v>7305</v>
      </c>
      <c r="J253">
        <f t="shared" si="0"/>
        <v>7310</v>
      </c>
      <c r="K253">
        <f t="shared" si="1"/>
        <v>7305</v>
      </c>
    </row>
    <row r="254" spans="1:11" x14ac:dyDescent="0.35">
      <c r="B254" t="s">
        <v>945</v>
      </c>
      <c r="D254">
        <v>5123</v>
      </c>
      <c r="E254">
        <v>4663</v>
      </c>
      <c r="J254">
        <f t="shared" si="0"/>
        <v>5123</v>
      </c>
      <c r="K254">
        <f t="shared" si="1"/>
        <v>4663</v>
      </c>
    </row>
    <row r="255" spans="1:11" x14ac:dyDescent="0.35">
      <c r="B255" t="s">
        <v>610</v>
      </c>
      <c r="D255">
        <v>23380</v>
      </c>
      <c r="E255">
        <v>24650</v>
      </c>
      <c r="J255">
        <f t="shared" si="0"/>
        <v>23380</v>
      </c>
      <c r="K255">
        <f t="shared" si="1"/>
        <v>24650</v>
      </c>
    </row>
    <row r="256" spans="1:11" x14ac:dyDescent="0.35">
      <c r="B256" t="s">
        <v>611</v>
      </c>
      <c r="D256">
        <v>3328</v>
      </c>
      <c r="E256">
        <v>3032</v>
      </c>
      <c r="J256">
        <f t="shared" si="0"/>
        <v>3328</v>
      </c>
      <c r="K256">
        <f t="shared" si="1"/>
        <v>3032</v>
      </c>
    </row>
    <row r="257" spans="2:11" x14ac:dyDescent="0.35">
      <c r="B257" t="s">
        <v>612</v>
      </c>
      <c r="D257">
        <v>904</v>
      </c>
      <c r="E257">
        <v>830</v>
      </c>
      <c r="J257">
        <f t="shared" si="0"/>
        <v>904</v>
      </c>
      <c r="K257">
        <f t="shared" si="1"/>
        <v>830</v>
      </c>
    </row>
    <row r="258" spans="2:11" x14ac:dyDescent="0.35">
      <c r="B258" t="s">
        <v>613</v>
      </c>
      <c r="D258">
        <v>17</v>
      </c>
      <c r="E258">
        <v>20</v>
      </c>
      <c r="J258">
        <f t="shared" si="0"/>
        <v>17</v>
      </c>
      <c r="K258">
        <f t="shared" si="1"/>
        <v>20</v>
      </c>
    </row>
    <row r="259" spans="2:11" x14ac:dyDescent="0.35">
      <c r="B259" t="s">
        <v>614</v>
      </c>
      <c r="D259">
        <v>252</v>
      </c>
      <c r="E259">
        <v>4</v>
      </c>
      <c r="J259">
        <f t="shared" si="0"/>
        <v>252</v>
      </c>
      <c r="K259">
        <f t="shared" si="1"/>
        <v>4</v>
      </c>
    </row>
    <row r="260" spans="2:11" x14ac:dyDescent="0.35">
      <c r="B260" t="s">
        <v>615</v>
      </c>
      <c r="D260">
        <v>655</v>
      </c>
      <c r="E260">
        <v>681</v>
      </c>
      <c r="J260">
        <f t="shared" si="0"/>
        <v>655</v>
      </c>
      <c r="K260">
        <f t="shared" si="1"/>
        <v>681</v>
      </c>
    </row>
    <row r="261" spans="2:11" x14ac:dyDescent="0.35">
      <c r="B261" t="s">
        <v>616</v>
      </c>
      <c r="D261">
        <v>234</v>
      </c>
      <c r="E261">
        <v>0</v>
      </c>
      <c r="J261">
        <f t="shared" si="0"/>
        <v>234</v>
      </c>
      <c r="K261">
        <f t="shared" si="1"/>
        <v>0</v>
      </c>
    </row>
    <row r="262" spans="2:11" x14ac:dyDescent="0.35">
      <c r="B262" t="s">
        <v>617</v>
      </c>
      <c r="D262">
        <v>306</v>
      </c>
      <c r="E262">
        <v>382</v>
      </c>
      <c r="J262">
        <f t="shared" si="0"/>
        <v>306</v>
      </c>
      <c r="K262">
        <f t="shared" si="1"/>
        <v>382</v>
      </c>
    </row>
    <row r="263" spans="2:11" x14ac:dyDescent="0.35">
      <c r="B263" t="s">
        <v>618</v>
      </c>
      <c r="D263">
        <v>142</v>
      </c>
      <c r="E263">
        <v>170</v>
      </c>
      <c r="J263">
        <f t="shared" si="0"/>
        <v>142</v>
      </c>
      <c r="K263">
        <f t="shared" si="1"/>
        <v>170</v>
      </c>
    </row>
    <row r="264" spans="2:11" x14ac:dyDescent="0.35">
      <c r="B264" t="s">
        <v>619</v>
      </c>
      <c r="D264">
        <v>959</v>
      </c>
      <c r="E264">
        <v>1124</v>
      </c>
      <c r="J264">
        <f t="shared" si="0"/>
        <v>959</v>
      </c>
      <c r="K264">
        <f t="shared" si="1"/>
        <v>1124</v>
      </c>
    </row>
    <row r="265" spans="2:11" x14ac:dyDescent="0.35">
      <c r="B265" s="17" t="s">
        <v>343</v>
      </c>
      <c r="D265" s="17">
        <f>SUM(D253:D264)</f>
        <v>42610</v>
      </c>
      <c r="E265" s="17">
        <f>SUM(E253:E264)</f>
        <v>42861</v>
      </c>
      <c r="J265">
        <f t="shared" si="0"/>
        <v>42610</v>
      </c>
      <c r="K265">
        <f t="shared" si="1"/>
        <v>42861</v>
      </c>
    </row>
    <row r="266" spans="2:11" x14ac:dyDescent="0.35">
      <c r="D266" s="17"/>
      <c r="E266" s="17"/>
      <c r="J266">
        <f t="shared" si="0"/>
        <v>0</v>
      </c>
      <c r="K266">
        <f t="shared" si="1"/>
        <v>0</v>
      </c>
    </row>
    <row r="267" spans="2:11" x14ac:dyDescent="0.35">
      <c r="B267" s="17" t="s">
        <v>607</v>
      </c>
      <c r="J267">
        <f t="shared" si="0"/>
        <v>0</v>
      </c>
      <c r="K267">
        <f t="shared" si="1"/>
        <v>0</v>
      </c>
    </row>
    <row r="268" spans="2:11" x14ac:dyDescent="0.35">
      <c r="B268" t="s">
        <v>624</v>
      </c>
      <c r="D268">
        <v>2092</v>
      </c>
      <c r="E268">
        <v>420</v>
      </c>
      <c r="J268">
        <f t="shared" si="0"/>
        <v>2092</v>
      </c>
      <c r="K268">
        <f t="shared" si="1"/>
        <v>420</v>
      </c>
    </row>
    <row r="269" spans="2:11" x14ac:dyDescent="0.35">
      <c r="B269" t="s">
        <v>612</v>
      </c>
      <c r="D269">
        <v>106</v>
      </c>
      <c r="E269">
        <v>85</v>
      </c>
      <c r="J269">
        <f t="shared" si="0"/>
        <v>106</v>
      </c>
      <c r="K269">
        <f t="shared" si="1"/>
        <v>85</v>
      </c>
    </row>
    <row r="270" spans="2:11" x14ac:dyDescent="0.35">
      <c r="B270" t="s">
        <v>625</v>
      </c>
      <c r="D270">
        <v>5955</v>
      </c>
      <c r="E270">
        <v>5895</v>
      </c>
      <c r="J270">
        <f t="shared" si="0"/>
        <v>5955</v>
      </c>
      <c r="K270">
        <f t="shared" si="1"/>
        <v>5895</v>
      </c>
    </row>
    <row r="271" spans="2:11" x14ac:dyDescent="0.35">
      <c r="B271" t="s">
        <v>626</v>
      </c>
      <c r="D271">
        <v>899</v>
      </c>
      <c r="E271">
        <v>963</v>
      </c>
      <c r="J271">
        <f t="shared" si="0"/>
        <v>899</v>
      </c>
      <c r="K271">
        <f t="shared" si="1"/>
        <v>963</v>
      </c>
    </row>
    <row r="272" spans="2:11" x14ac:dyDescent="0.35">
      <c r="B272" t="s">
        <v>627</v>
      </c>
      <c r="D272">
        <v>705</v>
      </c>
      <c r="E272">
        <v>779</v>
      </c>
      <c r="J272">
        <f t="shared" ref="J272:J303" si="2">D272</f>
        <v>705</v>
      </c>
      <c r="K272">
        <f t="shared" ref="K272:K303" si="3">E272</f>
        <v>779</v>
      </c>
    </row>
    <row r="273" spans="2:11" x14ac:dyDescent="0.35">
      <c r="B273" t="s">
        <v>628</v>
      </c>
      <c r="D273">
        <v>188</v>
      </c>
      <c r="E273">
        <v>0</v>
      </c>
      <c r="J273">
        <f t="shared" si="2"/>
        <v>188</v>
      </c>
      <c r="K273">
        <f t="shared" si="3"/>
        <v>0</v>
      </c>
    </row>
    <row r="274" spans="2:11" x14ac:dyDescent="0.35">
      <c r="B274" t="s">
        <v>629</v>
      </c>
      <c r="D274">
        <v>82</v>
      </c>
      <c r="E274">
        <v>66</v>
      </c>
      <c r="J274">
        <f t="shared" si="2"/>
        <v>82</v>
      </c>
      <c r="K274">
        <f t="shared" si="3"/>
        <v>66</v>
      </c>
    </row>
    <row r="275" spans="2:11" x14ac:dyDescent="0.35">
      <c r="B275" t="s">
        <v>630</v>
      </c>
      <c r="D275">
        <v>258</v>
      </c>
      <c r="E275">
        <v>201</v>
      </c>
      <c r="J275">
        <f t="shared" si="2"/>
        <v>258</v>
      </c>
      <c r="K275">
        <f t="shared" si="3"/>
        <v>201</v>
      </c>
    </row>
    <row r="276" spans="2:11" x14ac:dyDescent="0.35">
      <c r="B276" s="17" t="s">
        <v>361</v>
      </c>
      <c r="D276" s="17">
        <f>SUM(D268:D275)</f>
        <v>10285</v>
      </c>
      <c r="E276" s="17">
        <f>SUM(E268:E275)</f>
        <v>8409</v>
      </c>
      <c r="J276">
        <f t="shared" si="2"/>
        <v>10285</v>
      </c>
      <c r="K276">
        <f t="shared" si="3"/>
        <v>8409</v>
      </c>
    </row>
    <row r="277" spans="2:11" x14ac:dyDescent="0.35">
      <c r="J277">
        <f t="shared" si="2"/>
        <v>0</v>
      </c>
      <c r="K277">
        <f t="shared" si="3"/>
        <v>0</v>
      </c>
    </row>
    <row r="278" spans="2:11" x14ac:dyDescent="0.35">
      <c r="J278">
        <f t="shared" si="2"/>
        <v>0</v>
      </c>
      <c r="K278">
        <f t="shared" si="3"/>
        <v>0</v>
      </c>
    </row>
    <row r="279" spans="2:11" x14ac:dyDescent="0.35">
      <c r="B279" s="17" t="s">
        <v>608</v>
      </c>
      <c r="J279">
        <f t="shared" si="2"/>
        <v>0</v>
      </c>
      <c r="K279">
        <f t="shared" si="3"/>
        <v>0</v>
      </c>
    </row>
    <row r="280" spans="2:11" x14ac:dyDescent="0.35">
      <c r="B280" t="s">
        <v>624</v>
      </c>
      <c r="D280">
        <v>16670</v>
      </c>
      <c r="E280">
        <v>18116</v>
      </c>
      <c r="J280">
        <f t="shared" si="2"/>
        <v>16670</v>
      </c>
      <c r="K280">
        <f t="shared" si="3"/>
        <v>18116</v>
      </c>
    </row>
    <row r="281" spans="2:11" x14ac:dyDescent="0.35">
      <c r="B281" t="s">
        <v>612</v>
      </c>
      <c r="D281">
        <v>391</v>
      </c>
      <c r="E281">
        <v>313</v>
      </c>
      <c r="J281">
        <f t="shared" si="2"/>
        <v>391</v>
      </c>
      <c r="K281">
        <f t="shared" si="3"/>
        <v>313</v>
      </c>
    </row>
    <row r="282" spans="2:11" x14ac:dyDescent="0.35">
      <c r="B282" t="s">
        <v>626</v>
      </c>
      <c r="D282">
        <v>257</v>
      </c>
      <c r="E282">
        <v>274</v>
      </c>
      <c r="J282">
        <f t="shared" si="2"/>
        <v>257</v>
      </c>
      <c r="K282">
        <f t="shared" si="3"/>
        <v>274</v>
      </c>
    </row>
    <row r="283" spans="2:11" x14ac:dyDescent="0.35">
      <c r="B283" t="s">
        <v>627</v>
      </c>
      <c r="D283">
        <v>3866</v>
      </c>
      <c r="E283">
        <v>3405</v>
      </c>
      <c r="J283">
        <f t="shared" si="2"/>
        <v>3866</v>
      </c>
      <c r="K283">
        <f t="shared" si="3"/>
        <v>3405</v>
      </c>
    </row>
    <row r="284" spans="2:11" x14ac:dyDescent="0.35">
      <c r="B284" t="s">
        <v>631</v>
      </c>
      <c r="D284">
        <v>4230</v>
      </c>
      <c r="E284">
        <v>4379</v>
      </c>
      <c r="J284">
        <f t="shared" si="2"/>
        <v>4230</v>
      </c>
      <c r="K284">
        <f t="shared" si="3"/>
        <v>4379</v>
      </c>
    </row>
    <row r="285" spans="2:11" x14ac:dyDescent="0.35">
      <c r="B285" t="s">
        <v>632</v>
      </c>
      <c r="D285">
        <v>276</v>
      </c>
      <c r="E285">
        <v>177</v>
      </c>
      <c r="J285">
        <f t="shared" si="2"/>
        <v>276</v>
      </c>
      <c r="K285">
        <f t="shared" si="3"/>
        <v>177</v>
      </c>
    </row>
    <row r="286" spans="2:11" x14ac:dyDescent="0.35">
      <c r="B286" t="s">
        <v>633</v>
      </c>
      <c r="D286">
        <v>1717</v>
      </c>
      <c r="E286">
        <v>1969</v>
      </c>
      <c r="J286">
        <f t="shared" si="2"/>
        <v>1717</v>
      </c>
      <c r="K286">
        <f t="shared" si="3"/>
        <v>1969</v>
      </c>
    </row>
    <row r="287" spans="2:11" x14ac:dyDescent="0.35">
      <c r="B287" t="s">
        <v>630</v>
      </c>
      <c r="D287">
        <v>382</v>
      </c>
      <c r="E287">
        <v>370</v>
      </c>
      <c r="J287">
        <f t="shared" si="2"/>
        <v>382</v>
      </c>
      <c r="K287">
        <f t="shared" si="3"/>
        <v>370</v>
      </c>
    </row>
    <row r="288" spans="2:11" x14ac:dyDescent="0.35">
      <c r="B288" s="17" t="s">
        <v>376</v>
      </c>
      <c r="D288" s="17">
        <f>SUM(D280:D287)</f>
        <v>27789</v>
      </c>
      <c r="E288" s="17">
        <f>SUM(E280:E287)</f>
        <v>29003</v>
      </c>
      <c r="J288">
        <f t="shared" si="2"/>
        <v>27789</v>
      </c>
      <c r="K288">
        <f t="shared" si="3"/>
        <v>29003</v>
      </c>
    </row>
    <row r="289" spans="2:11" x14ac:dyDescent="0.35">
      <c r="B289" s="17" t="s">
        <v>377</v>
      </c>
      <c r="D289" s="17">
        <f>D288+D276</f>
        <v>38074</v>
      </c>
      <c r="E289" s="17">
        <f>E288+E276</f>
        <v>37412</v>
      </c>
      <c r="J289">
        <f t="shared" si="2"/>
        <v>38074</v>
      </c>
      <c r="K289">
        <f t="shared" si="3"/>
        <v>37412</v>
      </c>
    </row>
    <row r="290" spans="2:11" x14ac:dyDescent="0.35">
      <c r="B290" s="17"/>
      <c r="D290" s="17"/>
      <c r="E290" s="17"/>
      <c r="J290">
        <f t="shared" si="2"/>
        <v>0</v>
      </c>
      <c r="K290">
        <f t="shared" si="3"/>
        <v>0</v>
      </c>
    </row>
    <row r="291" spans="2:11" x14ac:dyDescent="0.35">
      <c r="B291" s="17" t="s">
        <v>609</v>
      </c>
      <c r="J291">
        <f t="shared" si="2"/>
        <v>0</v>
      </c>
      <c r="K291">
        <f t="shared" si="3"/>
        <v>0</v>
      </c>
    </row>
    <row r="292" spans="2:11" x14ac:dyDescent="0.35">
      <c r="B292" t="s">
        <v>634</v>
      </c>
      <c r="D292">
        <v>499</v>
      </c>
      <c r="E292">
        <v>499</v>
      </c>
      <c r="J292">
        <f t="shared" si="2"/>
        <v>499</v>
      </c>
      <c r="K292">
        <f t="shared" si="3"/>
        <v>499</v>
      </c>
    </row>
    <row r="293" spans="2:11" x14ac:dyDescent="0.35">
      <c r="B293" t="s">
        <v>635</v>
      </c>
      <c r="D293">
        <v>1051</v>
      </c>
      <c r="E293">
        <v>1051</v>
      </c>
      <c r="J293">
        <f t="shared" si="2"/>
        <v>1051</v>
      </c>
      <c r="K293">
        <f t="shared" si="3"/>
        <v>1051</v>
      </c>
    </row>
    <row r="294" spans="2:11" x14ac:dyDescent="0.35">
      <c r="B294" t="s">
        <v>636</v>
      </c>
      <c r="D294">
        <v>-378</v>
      </c>
      <c r="E294">
        <v>-188</v>
      </c>
      <c r="J294">
        <f t="shared" si="2"/>
        <v>-378</v>
      </c>
      <c r="K294">
        <f t="shared" si="3"/>
        <v>-188</v>
      </c>
    </row>
    <row r="295" spans="2:11" x14ac:dyDescent="0.35">
      <c r="B295" t="s">
        <v>637</v>
      </c>
      <c r="D295">
        <v>998</v>
      </c>
      <c r="E295">
        <v>998</v>
      </c>
      <c r="J295">
        <f t="shared" si="2"/>
        <v>998</v>
      </c>
      <c r="K295">
        <f t="shared" si="3"/>
        <v>998</v>
      </c>
    </row>
    <row r="296" spans="2:11" x14ac:dyDescent="0.35">
      <c r="B296" t="s">
        <v>638</v>
      </c>
      <c r="D296">
        <v>828</v>
      </c>
      <c r="E296">
        <v>650</v>
      </c>
      <c r="J296">
        <f t="shared" si="2"/>
        <v>828</v>
      </c>
      <c r="K296">
        <f t="shared" si="3"/>
        <v>650</v>
      </c>
    </row>
    <row r="297" spans="2:11" x14ac:dyDescent="0.35">
      <c r="B297" t="s">
        <v>639</v>
      </c>
      <c r="D297">
        <v>9910</v>
      </c>
      <c r="E297">
        <v>9554</v>
      </c>
      <c r="J297">
        <f t="shared" si="2"/>
        <v>9910</v>
      </c>
      <c r="K297">
        <f t="shared" si="3"/>
        <v>9554</v>
      </c>
    </row>
    <row r="298" spans="2:11" x14ac:dyDescent="0.35">
      <c r="B298" t="s">
        <v>640</v>
      </c>
      <c r="D298" s="17">
        <f>SUM(D292:D297)</f>
        <v>12908</v>
      </c>
      <c r="E298" s="17">
        <f>SUM(E292:E297)</f>
        <v>12564</v>
      </c>
      <c r="J298">
        <f t="shared" si="2"/>
        <v>12908</v>
      </c>
      <c r="K298">
        <f t="shared" si="3"/>
        <v>12564</v>
      </c>
    </row>
    <row r="299" spans="2:11" x14ac:dyDescent="0.35">
      <c r="B299" t="s">
        <v>395</v>
      </c>
      <c r="D299" s="17">
        <f>D298+D289</f>
        <v>50982</v>
      </c>
      <c r="E299" s="17">
        <f>E298+E289</f>
        <v>49976</v>
      </c>
      <c r="J299">
        <f t="shared" si="2"/>
        <v>50982</v>
      </c>
      <c r="K299">
        <f t="shared" si="3"/>
        <v>49976</v>
      </c>
    </row>
    <row r="300" spans="2:11" x14ac:dyDescent="0.35">
      <c r="J300">
        <f t="shared" si="2"/>
        <v>0</v>
      </c>
      <c r="K300">
        <f t="shared" si="3"/>
        <v>0</v>
      </c>
    </row>
    <row r="301" spans="2:11" x14ac:dyDescent="0.35">
      <c r="J301">
        <f t="shared" si="2"/>
        <v>0</v>
      </c>
      <c r="K301">
        <f t="shared" si="3"/>
        <v>0</v>
      </c>
    </row>
    <row r="302" spans="2:11" x14ac:dyDescent="0.35">
      <c r="J302">
        <f t="shared" si="2"/>
        <v>0</v>
      </c>
      <c r="K302">
        <f t="shared" si="3"/>
        <v>0</v>
      </c>
    </row>
    <row r="303" spans="2:11" ht="21" x14ac:dyDescent="0.5">
      <c r="B303" s="251" t="s">
        <v>641</v>
      </c>
      <c r="J303">
        <f t="shared" si="2"/>
        <v>0</v>
      </c>
      <c r="K303">
        <f t="shared" si="3"/>
        <v>0</v>
      </c>
    </row>
    <row r="304" spans="2:11" x14ac:dyDescent="0.35">
      <c r="J304">
        <f t="shared" ref="J304:J309" si="4">D304</f>
        <v>0</v>
      </c>
      <c r="K304">
        <f t="shared" ref="K304:K309" si="5">E304</f>
        <v>0</v>
      </c>
    </row>
    <row r="305" spans="2:11" x14ac:dyDescent="0.35">
      <c r="B305" s="17" t="s">
        <v>273</v>
      </c>
      <c r="J305">
        <f t="shared" si="4"/>
        <v>0</v>
      </c>
      <c r="K305">
        <f t="shared" si="5"/>
        <v>0</v>
      </c>
    </row>
    <row r="306" spans="2:11" x14ac:dyDescent="0.35">
      <c r="B306" s="17" t="s">
        <v>613</v>
      </c>
      <c r="J306">
        <f t="shared" si="4"/>
        <v>0</v>
      </c>
      <c r="K306">
        <f t="shared" si="5"/>
        <v>0</v>
      </c>
    </row>
    <row r="307" spans="2:11" x14ac:dyDescent="0.35">
      <c r="B307" t="str">
        <f>B246</f>
        <v>Derivative financial instruments</v>
      </c>
      <c r="D307">
        <f>D246</f>
        <v>130</v>
      </c>
      <c r="E307">
        <f>E246</f>
        <v>68</v>
      </c>
      <c r="J307">
        <f t="shared" si="4"/>
        <v>130</v>
      </c>
      <c r="K307">
        <f t="shared" si="5"/>
        <v>68</v>
      </c>
    </row>
    <row r="308" spans="2:11" x14ac:dyDescent="0.35">
      <c r="B308" t="str">
        <f>B247</f>
        <v>Investments</v>
      </c>
      <c r="D308">
        <f>D247</f>
        <v>2631</v>
      </c>
      <c r="E308">
        <f>E247</f>
        <v>1482</v>
      </c>
      <c r="J308">
        <f t="shared" si="4"/>
        <v>2631</v>
      </c>
      <c r="K308">
        <f t="shared" si="5"/>
        <v>1482</v>
      </c>
    </row>
    <row r="309" spans="2:11" x14ac:dyDescent="0.35">
      <c r="B309" s="17" t="s">
        <v>934</v>
      </c>
      <c r="D309" s="17">
        <f>SUM(D307:D308)</f>
        <v>2761</v>
      </c>
      <c r="E309" s="17">
        <f>SUM(E307:E308)</f>
        <v>1550</v>
      </c>
      <c r="J309">
        <f t="shared" si="4"/>
        <v>2761</v>
      </c>
      <c r="K309">
        <f t="shared" si="5"/>
        <v>1550</v>
      </c>
    </row>
    <row r="310" spans="2:11" x14ac:dyDescent="0.35">
      <c r="B310" s="17"/>
      <c r="D310" s="17"/>
      <c r="E310" s="17"/>
      <c r="J310">
        <f t="shared" ref="J310:J314" si="6">D310</f>
        <v>0</v>
      </c>
      <c r="K310">
        <f t="shared" ref="K310:K314" si="7">E310</f>
        <v>0</v>
      </c>
    </row>
    <row r="311" spans="2:11" x14ac:dyDescent="0.35">
      <c r="B311" s="17" t="s">
        <v>615</v>
      </c>
      <c r="D311" s="17"/>
      <c r="E311" s="17"/>
      <c r="J311">
        <f t="shared" si="6"/>
        <v>0</v>
      </c>
      <c r="K311">
        <f t="shared" si="7"/>
        <v>0</v>
      </c>
    </row>
    <row r="312" spans="2:11" x14ac:dyDescent="0.35">
      <c r="B312" s="113" t="str">
        <f>B241</f>
        <v>Trade and other receivables</v>
      </c>
      <c r="D312" s="113">
        <f t="shared" ref="D312:E312" si="8">D241</f>
        <v>3109</v>
      </c>
      <c r="E312" s="113">
        <f t="shared" si="8"/>
        <v>3116</v>
      </c>
      <c r="J312">
        <f t="shared" si="6"/>
        <v>3109</v>
      </c>
      <c r="K312">
        <f t="shared" si="7"/>
        <v>3116</v>
      </c>
    </row>
    <row r="313" spans="2:11" x14ac:dyDescent="0.35">
      <c r="B313" s="113" t="str">
        <f>B245</f>
        <v>Current tax receivable</v>
      </c>
      <c r="D313" s="113">
        <f t="shared" ref="D313:E313" si="9">D245</f>
        <v>355</v>
      </c>
      <c r="E313" s="113">
        <f t="shared" si="9"/>
        <v>433</v>
      </c>
      <c r="J313">
        <f t="shared" si="6"/>
        <v>355</v>
      </c>
      <c r="K313">
        <f t="shared" si="7"/>
        <v>433</v>
      </c>
    </row>
    <row r="314" spans="2:11" x14ac:dyDescent="0.35">
      <c r="B314" s="17" t="s">
        <v>615</v>
      </c>
      <c r="D314" s="17">
        <f>SUM(D312:D313)</f>
        <v>3464</v>
      </c>
      <c r="E314" s="17">
        <f>SUM(E312:E313)</f>
        <v>3549</v>
      </c>
      <c r="J314">
        <f t="shared" si="6"/>
        <v>3464</v>
      </c>
      <c r="K314">
        <f t="shared" si="7"/>
        <v>3549</v>
      </c>
    </row>
    <row r="315" spans="2:11" x14ac:dyDescent="0.35">
      <c r="J315">
        <f t="shared" ref="J315:J325" si="10">D315</f>
        <v>0</v>
      </c>
      <c r="K315">
        <f t="shared" ref="K315:K325" si="11">E315</f>
        <v>0</v>
      </c>
    </row>
    <row r="316" spans="2:11" x14ac:dyDescent="0.35">
      <c r="B316" s="17" t="s">
        <v>292</v>
      </c>
      <c r="J316">
        <f t="shared" si="10"/>
        <v>0</v>
      </c>
      <c r="K316">
        <f t="shared" si="11"/>
        <v>0</v>
      </c>
    </row>
    <row r="317" spans="2:11" x14ac:dyDescent="0.35">
      <c r="B317" s="17" t="s">
        <v>935</v>
      </c>
      <c r="J317">
        <f t="shared" si="10"/>
        <v>0</v>
      </c>
      <c r="K317">
        <f t="shared" si="11"/>
        <v>0</v>
      </c>
    </row>
    <row r="318" spans="2:11" x14ac:dyDescent="0.35">
      <c r="B318" t="str">
        <f>B255</f>
        <v>Property, plant and equipment</v>
      </c>
      <c r="D318">
        <f t="shared" ref="D318:E318" si="12">D255</f>
        <v>23380</v>
      </c>
      <c r="E318">
        <f t="shared" si="12"/>
        <v>24650</v>
      </c>
      <c r="J318">
        <f t="shared" si="10"/>
        <v>23380</v>
      </c>
      <c r="K318">
        <f t="shared" si="11"/>
        <v>24650</v>
      </c>
    </row>
    <row r="319" spans="2:11" x14ac:dyDescent="0.35">
      <c r="B319" t="str">
        <f>B256</f>
        <v>Right-of-use assets</v>
      </c>
      <c r="D319">
        <f t="shared" ref="D319:E319" si="13">D256</f>
        <v>3328</v>
      </c>
      <c r="E319">
        <f t="shared" si="13"/>
        <v>3032</v>
      </c>
      <c r="J319">
        <f t="shared" si="10"/>
        <v>3328</v>
      </c>
      <c r="K319">
        <f t="shared" si="11"/>
        <v>3032</v>
      </c>
    </row>
    <row r="320" spans="2:11" x14ac:dyDescent="0.35">
      <c r="B320" s="17" t="s">
        <v>610</v>
      </c>
      <c r="D320" s="17">
        <f>SUM(D318:D319)</f>
        <v>26708</v>
      </c>
      <c r="E320" s="17">
        <f>SUM(E318:E319)</f>
        <v>27682</v>
      </c>
      <c r="J320">
        <f t="shared" si="10"/>
        <v>26708</v>
      </c>
      <c r="K320">
        <f t="shared" si="11"/>
        <v>27682</v>
      </c>
    </row>
    <row r="321" spans="2:11" x14ac:dyDescent="0.35">
      <c r="J321">
        <f t="shared" si="10"/>
        <v>0</v>
      </c>
      <c r="K321">
        <f t="shared" si="11"/>
        <v>0</v>
      </c>
    </row>
    <row r="322" spans="2:11" x14ac:dyDescent="0.35">
      <c r="B322" s="17" t="s">
        <v>936</v>
      </c>
      <c r="J322">
        <f t="shared" si="10"/>
        <v>0</v>
      </c>
      <c r="K322">
        <f t="shared" si="11"/>
        <v>0</v>
      </c>
    </row>
    <row r="323" spans="2:11" x14ac:dyDescent="0.35">
      <c r="B323" t="str">
        <f>B257</f>
        <v>Derivative financial instruments</v>
      </c>
      <c r="D323">
        <f t="shared" ref="D323:E323" si="14">D257</f>
        <v>904</v>
      </c>
      <c r="E323">
        <f t="shared" si="14"/>
        <v>830</v>
      </c>
      <c r="J323">
        <f t="shared" si="10"/>
        <v>904</v>
      </c>
      <c r="K323">
        <f t="shared" si="11"/>
        <v>830</v>
      </c>
    </row>
    <row r="324" spans="2:11" x14ac:dyDescent="0.35">
      <c r="B324" t="str">
        <f>B258</f>
        <v>Investments</v>
      </c>
      <c r="D324">
        <f t="shared" ref="D324:E324" si="15">D258</f>
        <v>17</v>
      </c>
      <c r="E324">
        <f t="shared" si="15"/>
        <v>20</v>
      </c>
      <c r="J324">
        <f t="shared" si="10"/>
        <v>17</v>
      </c>
      <c r="K324">
        <f t="shared" si="11"/>
        <v>20</v>
      </c>
    </row>
    <row r="325" spans="2:11" x14ac:dyDescent="0.35">
      <c r="B325" s="17" t="s">
        <v>937</v>
      </c>
      <c r="D325" s="17">
        <f>SUM(D323:D324)</f>
        <v>921</v>
      </c>
      <c r="E325" s="17">
        <f>SUM(E323:E324)</f>
        <v>850</v>
      </c>
      <c r="J325">
        <f t="shared" si="10"/>
        <v>921</v>
      </c>
      <c r="K325">
        <f t="shared" si="11"/>
        <v>850</v>
      </c>
    </row>
    <row r="326" spans="2:11" x14ac:dyDescent="0.35">
      <c r="J326">
        <f t="shared" ref="J326" si="16">D326</f>
        <v>0</v>
      </c>
      <c r="K326">
        <f t="shared" ref="K326" si="17">E326</f>
        <v>0</v>
      </c>
    </row>
    <row r="327" spans="2:11" x14ac:dyDescent="0.35">
      <c r="B327" s="17"/>
    </row>
    <row r="329" spans="2:11" x14ac:dyDescent="0.35">
      <c r="B329" t="str">
        <f>B268</f>
        <v>Loans and other borrowings</v>
      </c>
      <c r="D329">
        <f t="shared" ref="D329:E329" si="18">D268</f>
        <v>2092</v>
      </c>
      <c r="E329">
        <f t="shared" si="18"/>
        <v>420</v>
      </c>
      <c r="J329">
        <f t="shared" ref="J329:J330" si="19">D329</f>
        <v>2092</v>
      </c>
      <c r="K329">
        <f t="shared" ref="K329:K330" si="20">E329</f>
        <v>420</v>
      </c>
    </row>
    <row r="330" spans="2:11" x14ac:dyDescent="0.35">
      <c r="B330" t="str">
        <f>B280</f>
        <v>Loans and other borrowings</v>
      </c>
      <c r="D330">
        <f t="shared" ref="D330:E330" si="21">D280</f>
        <v>16670</v>
      </c>
      <c r="E330">
        <f t="shared" si="21"/>
        <v>18116</v>
      </c>
      <c r="J330">
        <f t="shared" si="19"/>
        <v>16670</v>
      </c>
      <c r="K330">
        <f t="shared" si="20"/>
        <v>18116</v>
      </c>
    </row>
    <row r="331" spans="2:11" x14ac:dyDescent="0.35">
      <c r="B331" s="17" t="s">
        <v>979</v>
      </c>
      <c r="D331" s="17">
        <f>SUM(D329:D330)</f>
        <v>18762</v>
      </c>
      <c r="E331" s="17">
        <f>SUM(E329:E330)</f>
        <v>18536</v>
      </c>
      <c r="J331" s="17">
        <f>SUM(J329:J330)</f>
        <v>18762</v>
      </c>
      <c r="K331" s="17">
        <f>SUM(K329:K330)</f>
        <v>18536</v>
      </c>
    </row>
  </sheetData>
  <conditionalFormatting sqref="J2:K2">
    <cfRule type="expression" dxfId="0" priority="1">
      <formula>bs_check&lt;&gt;0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F821C-CB49-4E60-9466-995EF53F4C71}">
  <sheetPr>
    <tabColor theme="8" tint="0.39997558519241921"/>
  </sheetPr>
  <dimension ref="A1:H248"/>
  <sheetViews>
    <sheetView zoomScale="70" zoomScaleNormal="70" workbookViewId="0"/>
  </sheetViews>
  <sheetFormatPr defaultRowHeight="14.5" outlineLevelRow="1" x14ac:dyDescent="0.35"/>
  <cols>
    <col min="1" max="1" width="3.1796875" customWidth="1"/>
    <col min="2" max="2" width="10.1796875" customWidth="1"/>
    <col min="3" max="3" width="85.7265625" customWidth="1"/>
    <col min="4" max="8" width="15.7265625" customWidth="1"/>
  </cols>
  <sheetData>
    <row r="1" spans="3:8" ht="15" customHeight="1" thickBot="1" x14ac:dyDescent="0.4">
      <c r="C1" s="26" t="s">
        <v>56</v>
      </c>
      <c r="D1" s="27"/>
      <c r="E1" s="27"/>
      <c r="F1" s="27"/>
      <c r="G1" s="27"/>
      <c r="H1" s="27"/>
    </row>
    <row r="2" spans="3:8" ht="15" customHeight="1" thickTop="1" x14ac:dyDescent="0.35">
      <c r="C2" s="28" t="s">
        <v>57</v>
      </c>
      <c r="D2" s="29" t="s">
        <v>58</v>
      </c>
    </row>
    <row r="3" spans="3:8" x14ac:dyDescent="0.35">
      <c r="C3" s="28" t="s">
        <v>59</v>
      </c>
      <c r="D3" s="28" t="s">
        <v>60</v>
      </c>
    </row>
    <row r="4" spans="3:8" x14ac:dyDescent="0.35">
      <c r="C4" s="28" t="s">
        <v>61</v>
      </c>
      <c r="D4" s="28" t="s">
        <v>60</v>
      </c>
    </row>
    <row r="5" spans="3:8" x14ac:dyDescent="0.35">
      <c r="C5" s="28" t="s">
        <v>62</v>
      </c>
      <c r="D5" s="28" t="s">
        <v>63</v>
      </c>
    </row>
    <row r="6" spans="3:8" x14ac:dyDescent="0.35">
      <c r="C6" s="28" t="s">
        <v>64</v>
      </c>
      <c r="D6" s="28" t="s">
        <v>65</v>
      </c>
    </row>
    <row r="7" spans="3:8" x14ac:dyDescent="0.35">
      <c r="C7" s="28" t="s">
        <v>66</v>
      </c>
      <c r="D7" s="28" t="s">
        <v>67</v>
      </c>
    </row>
    <row r="8" spans="3:8" x14ac:dyDescent="0.35">
      <c r="C8" s="28" t="s">
        <v>68</v>
      </c>
      <c r="D8" s="28" t="s">
        <v>69</v>
      </c>
    </row>
    <row r="9" spans="3:8" x14ac:dyDescent="0.35">
      <c r="C9" s="28" t="s">
        <v>70</v>
      </c>
      <c r="D9" s="28" t="s">
        <v>71</v>
      </c>
    </row>
    <row r="10" spans="3:8" x14ac:dyDescent="0.35">
      <c r="C10" s="28" t="s">
        <v>72</v>
      </c>
      <c r="D10" s="30">
        <v>46298.750750520798</v>
      </c>
    </row>
    <row r="11" spans="3:8" x14ac:dyDescent="0.35">
      <c r="C11" s="31" t="s">
        <v>73</v>
      </c>
      <c r="D11" s="32" t="s">
        <v>74</v>
      </c>
      <c r="E11" s="32" t="s">
        <v>75</v>
      </c>
      <c r="F11" s="32" t="s">
        <v>76</v>
      </c>
      <c r="G11" s="32" t="s">
        <v>77</v>
      </c>
      <c r="H11" s="32" t="s">
        <v>78</v>
      </c>
    </row>
    <row r="12" spans="3:8" ht="15" customHeight="1" outlineLevel="1" x14ac:dyDescent="0.35">
      <c r="C12" s="33" t="s">
        <v>79</v>
      </c>
      <c r="D12" s="34">
        <v>46112</v>
      </c>
      <c r="E12" s="34">
        <v>45747</v>
      </c>
      <c r="F12" s="34">
        <v>45382</v>
      </c>
      <c r="G12" s="34">
        <v>45016</v>
      </c>
      <c r="H12" s="34">
        <v>44651</v>
      </c>
    </row>
    <row r="13" spans="3:8" ht="15" customHeight="1" outlineLevel="1" x14ac:dyDescent="0.35">
      <c r="C13" s="33" t="s">
        <v>80</v>
      </c>
      <c r="D13" s="34">
        <v>46112</v>
      </c>
      <c r="E13" s="34">
        <v>45747</v>
      </c>
      <c r="F13" s="34">
        <v>45382</v>
      </c>
      <c r="G13" s="34">
        <v>45016</v>
      </c>
      <c r="H13" s="34">
        <v>44651</v>
      </c>
    </row>
    <row r="14" spans="3:8" ht="15" customHeight="1" outlineLevel="1" x14ac:dyDescent="0.35">
      <c r="C14" s="33" t="s">
        <v>81</v>
      </c>
      <c r="D14" s="35" t="s">
        <v>82</v>
      </c>
      <c r="E14" s="35" t="s">
        <v>82</v>
      </c>
      <c r="F14" s="35" t="s">
        <v>82</v>
      </c>
      <c r="G14" s="35" t="s">
        <v>82</v>
      </c>
      <c r="H14" s="35" t="s">
        <v>82</v>
      </c>
    </row>
    <row r="15" spans="3:8" ht="15" customHeight="1" outlineLevel="1" x14ac:dyDescent="0.35">
      <c r="C15" s="33" t="s">
        <v>83</v>
      </c>
      <c r="D15" s="35" t="s">
        <v>84</v>
      </c>
      <c r="E15" s="35" t="s">
        <v>84</v>
      </c>
      <c r="F15" s="35" t="s">
        <v>84</v>
      </c>
      <c r="G15" s="35" t="s">
        <v>84</v>
      </c>
      <c r="H15" s="35" t="s">
        <v>84</v>
      </c>
    </row>
    <row r="17" spans="3:8" x14ac:dyDescent="0.35">
      <c r="C17" s="36" t="s">
        <v>85</v>
      </c>
      <c r="D17" s="31"/>
      <c r="E17" s="31"/>
      <c r="F17" s="31"/>
      <c r="G17" s="31"/>
      <c r="H17" s="31"/>
    </row>
    <row r="18" spans="3:8" x14ac:dyDescent="0.35">
      <c r="C18" s="36" t="s">
        <v>86</v>
      </c>
      <c r="D18" s="37" t="s">
        <v>87</v>
      </c>
      <c r="E18" s="37" t="s">
        <v>88</v>
      </c>
      <c r="F18" s="37" t="s">
        <v>89</v>
      </c>
      <c r="G18" s="37" t="s">
        <v>90</v>
      </c>
      <c r="H18" s="37" t="s">
        <v>91</v>
      </c>
    </row>
    <row r="19" spans="3:8" ht="15" customHeight="1" x14ac:dyDescent="0.35">
      <c r="C19" s="38" t="s">
        <v>92</v>
      </c>
      <c r="D19" s="39"/>
      <c r="E19" s="39"/>
      <c r="F19" s="39"/>
      <c r="G19" s="39"/>
      <c r="H19" s="39"/>
    </row>
    <row r="20" spans="3:8" ht="15" customHeight="1" x14ac:dyDescent="0.35">
      <c r="C20" s="40" t="s">
        <v>93</v>
      </c>
      <c r="D20" s="277">
        <v>19646</v>
      </c>
      <c r="E20" s="277">
        <v>20370</v>
      </c>
      <c r="F20" s="277">
        <v>20835</v>
      </c>
      <c r="G20" s="277">
        <v>20669</v>
      </c>
      <c r="H20" s="277">
        <v>20845</v>
      </c>
    </row>
    <row r="21" spans="3:8" ht="15" customHeight="1" x14ac:dyDescent="0.35">
      <c r="C21" s="42" t="s">
        <v>94</v>
      </c>
      <c r="D21" s="277">
        <v>19646</v>
      </c>
      <c r="E21" s="277">
        <v>20370</v>
      </c>
      <c r="F21" s="277">
        <v>20835</v>
      </c>
      <c r="G21" s="277">
        <v>20669</v>
      </c>
      <c r="H21" s="277">
        <v>20845</v>
      </c>
    </row>
    <row r="22" spans="3:8" ht="15" customHeight="1" x14ac:dyDescent="0.35">
      <c r="C22" s="51" t="s">
        <v>95</v>
      </c>
      <c r="D22" s="277">
        <v>19646</v>
      </c>
      <c r="E22" s="277">
        <v>20370</v>
      </c>
      <c r="F22" s="277">
        <v>20835</v>
      </c>
      <c r="G22" s="277">
        <v>20669</v>
      </c>
      <c r="H22" s="277">
        <v>20845</v>
      </c>
    </row>
    <row r="23" spans="3:8" ht="15" customHeight="1" x14ac:dyDescent="0.35">
      <c r="C23" s="38" t="s">
        <v>96</v>
      </c>
      <c r="D23" s="279"/>
      <c r="E23" s="279"/>
      <c r="F23" s="279"/>
      <c r="G23" s="279"/>
      <c r="H23" s="279"/>
    </row>
    <row r="24" spans="3:8" ht="15" customHeight="1" x14ac:dyDescent="0.35">
      <c r="C24" s="40" t="s">
        <v>97</v>
      </c>
      <c r="D24" s="277">
        <v>11327</v>
      </c>
      <c r="E24" s="277">
        <v>11660</v>
      </c>
      <c r="F24" s="277">
        <v>12450</v>
      </c>
      <c r="G24" s="277">
        <v>12562</v>
      </c>
      <c r="H24" s="277">
        <v>12356</v>
      </c>
    </row>
    <row r="25" spans="3:8" ht="15" customHeight="1" x14ac:dyDescent="0.35">
      <c r="C25" s="54" t="s">
        <v>98</v>
      </c>
      <c r="D25" s="277">
        <v>11327</v>
      </c>
      <c r="E25" s="277">
        <v>11660</v>
      </c>
      <c r="F25" s="277">
        <v>12450</v>
      </c>
      <c r="G25" s="277">
        <v>12562</v>
      </c>
      <c r="H25" s="277">
        <v>12356</v>
      </c>
    </row>
    <row r="26" spans="3:8" ht="15" customHeight="1" x14ac:dyDescent="0.35">
      <c r="C26" s="55" t="s">
        <v>99</v>
      </c>
      <c r="D26" s="275">
        <v>6474</v>
      </c>
      <c r="E26" s="275">
        <v>6777</v>
      </c>
      <c r="F26" s="275">
        <v>7658</v>
      </c>
      <c r="G26" s="275">
        <v>7820</v>
      </c>
      <c r="H26" s="275">
        <v>7951</v>
      </c>
    </row>
    <row r="27" spans="3:8" ht="15" customHeight="1" x14ac:dyDescent="0.35">
      <c r="C27" s="55" t="s">
        <v>100</v>
      </c>
      <c r="D27" s="275">
        <v>1274</v>
      </c>
      <c r="E27" s="275">
        <v>1300</v>
      </c>
      <c r="F27" s="275">
        <v>1248</v>
      </c>
      <c r="G27" s="275">
        <v>1175</v>
      </c>
      <c r="H27" s="275">
        <v>1048</v>
      </c>
    </row>
    <row r="28" spans="3:8" ht="15" customHeight="1" x14ac:dyDescent="0.35">
      <c r="C28" s="55" t="s">
        <v>101</v>
      </c>
      <c r="D28" s="275">
        <v>3579</v>
      </c>
      <c r="E28" s="275">
        <v>3583</v>
      </c>
      <c r="F28" s="275">
        <v>3544</v>
      </c>
      <c r="G28" s="275">
        <v>3567</v>
      </c>
      <c r="H28" s="275">
        <v>3357</v>
      </c>
    </row>
    <row r="29" spans="3:8" ht="15" customHeight="1" x14ac:dyDescent="0.35">
      <c r="C29" s="43" t="s">
        <v>102</v>
      </c>
      <c r="D29" s="275">
        <v>8319</v>
      </c>
      <c r="E29" s="275">
        <v>8710</v>
      </c>
      <c r="F29" s="275">
        <v>8385</v>
      </c>
      <c r="G29" s="275">
        <v>8107</v>
      </c>
      <c r="H29" s="275">
        <v>8489</v>
      </c>
    </row>
    <row r="30" spans="3:8" ht="15" customHeight="1" x14ac:dyDescent="0.35">
      <c r="C30" s="52" t="s">
        <v>103</v>
      </c>
      <c r="D30" s="275">
        <v>4113</v>
      </c>
      <c r="E30" s="275">
        <v>4350</v>
      </c>
      <c r="F30" s="275">
        <v>4477</v>
      </c>
      <c r="G30" s="275">
        <v>4470</v>
      </c>
      <c r="H30" s="275">
        <v>4624</v>
      </c>
    </row>
    <row r="31" spans="3:8" ht="15" customHeight="1" x14ac:dyDescent="0.35">
      <c r="C31" s="42" t="s">
        <v>104</v>
      </c>
      <c r="D31" s="275">
        <v>244</v>
      </c>
      <c r="E31" s="275">
        <v>330</v>
      </c>
      <c r="F31" s="275">
        <v>367</v>
      </c>
      <c r="G31" s="275">
        <v>363</v>
      </c>
      <c r="H31" s="275">
        <v>312</v>
      </c>
    </row>
    <row r="32" spans="3:8" ht="15" customHeight="1" x14ac:dyDescent="0.35">
      <c r="C32" s="42" t="s">
        <v>105</v>
      </c>
      <c r="D32" s="275">
        <v>3723</v>
      </c>
      <c r="E32" s="275">
        <v>3849</v>
      </c>
      <c r="F32" s="275">
        <v>3945</v>
      </c>
      <c r="G32" s="275">
        <v>3969</v>
      </c>
      <c r="H32" s="275">
        <v>4210</v>
      </c>
    </row>
    <row r="33" spans="2:8" ht="15" customHeight="1" x14ac:dyDescent="0.35">
      <c r="C33" s="42" t="s">
        <v>106</v>
      </c>
      <c r="D33" s="275">
        <v>146</v>
      </c>
      <c r="E33" s="275">
        <v>171</v>
      </c>
      <c r="F33" s="275">
        <v>165</v>
      </c>
      <c r="G33" s="275">
        <v>138</v>
      </c>
      <c r="H33" s="275">
        <v>102</v>
      </c>
    </row>
    <row r="34" spans="2:8" ht="15" customHeight="1" x14ac:dyDescent="0.35">
      <c r="C34" s="44" t="s">
        <v>107</v>
      </c>
      <c r="D34" s="275">
        <v>146</v>
      </c>
      <c r="E34" s="275">
        <v>171</v>
      </c>
      <c r="F34" s="275">
        <v>165</v>
      </c>
      <c r="G34" s="275">
        <v>138</v>
      </c>
      <c r="H34" s="275">
        <v>102</v>
      </c>
    </row>
    <row r="35" spans="2:8" ht="15" customHeight="1" x14ac:dyDescent="0.35">
      <c r="C35" s="52" t="s">
        <v>108</v>
      </c>
      <c r="D35" s="275">
        <v>829</v>
      </c>
      <c r="E35" s="275">
        <v>1034</v>
      </c>
      <c r="F35" s="275">
        <v>600</v>
      </c>
      <c r="G35" s="275">
        <v>451</v>
      </c>
      <c r="H35" s="275">
        <v>693</v>
      </c>
    </row>
    <row r="36" spans="2:8" ht="15" customHeight="1" x14ac:dyDescent="0.35">
      <c r="C36" s="42" t="s">
        <v>109</v>
      </c>
      <c r="D36" s="275">
        <v>304</v>
      </c>
      <c r="E36" s="275">
        <v>277</v>
      </c>
      <c r="F36" s="275">
        <v>238</v>
      </c>
      <c r="G36" s="275">
        <v>243</v>
      </c>
      <c r="H36" s="275">
        <v>241</v>
      </c>
    </row>
    <row r="37" spans="2:8" ht="15" customHeight="1" x14ac:dyDescent="0.35">
      <c r="C37" s="42" t="s">
        <v>110</v>
      </c>
      <c r="D37" s="275">
        <v>782</v>
      </c>
      <c r="E37" s="275">
        <v>932</v>
      </c>
      <c r="F37" s="275">
        <v>323</v>
      </c>
      <c r="G37" s="275">
        <v>103</v>
      </c>
      <c r="H37" s="275">
        <v>256</v>
      </c>
    </row>
    <row r="38" spans="2:8" ht="15" customHeight="1" x14ac:dyDescent="0.35">
      <c r="C38" s="42" t="s">
        <v>111</v>
      </c>
      <c r="D38" s="275">
        <v>351</v>
      </c>
      <c r="E38" s="275">
        <v>379</v>
      </c>
      <c r="F38" s="275">
        <v>515</v>
      </c>
      <c r="G38" s="275">
        <v>591</v>
      </c>
      <c r="H38" s="275">
        <v>678</v>
      </c>
    </row>
    <row r="39" spans="2:8" ht="15" customHeight="1" x14ac:dyDescent="0.35">
      <c r="C39" s="40" t="s">
        <v>112</v>
      </c>
      <c r="D39" s="277">
        <v>16269</v>
      </c>
      <c r="E39" s="277">
        <v>17044</v>
      </c>
      <c r="F39" s="277">
        <v>17527</v>
      </c>
      <c r="G39" s="277">
        <v>17483</v>
      </c>
      <c r="H39" s="277">
        <v>17673</v>
      </c>
    </row>
    <row r="40" spans="2:8" ht="15" customHeight="1" x14ac:dyDescent="0.35">
      <c r="C40" s="38" t="s">
        <v>113</v>
      </c>
      <c r="D40" s="279">
        <f>D26+D27+D28+D30+D37-D36+D38</f>
        <v>16269</v>
      </c>
      <c r="E40" s="279"/>
      <c r="F40" s="279"/>
      <c r="G40" s="279"/>
      <c r="H40" s="279"/>
    </row>
    <row r="41" spans="2:8" ht="15" customHeight="1" x14ac:dyDescent="0.35">
      <c r="C41" s="43" t="s">
        <v>114</v>
      </c>
      <c r="D41" s="275">
        <v>3377</v>
      </c>
      <c r="E41" s="275">
        <v>3326</v>
      </c>
      <c r="F41" s="275">
        <v>3308</v>
      </c>
      <c r="G41" s="275">
        <v>3186</v>
      </c>
      <c r="H41" s="275">
        <v>3172</v>
      </c>
    </row>
    <row r="42" spans="2:8" ht="15" customHeight="1" x14ac:dyDescent="0.35">
      <c r="C42" s="38" t="s">
        <v>115</v>
      </c>
      <c r="D42" s="279"/>
      <c r="E42" s="279"/>
      <c r="F42" s="279"/>
      <c r="G42" s="279"/>
      <c r="H42" s="279"/>
    </row>
    <row r="43" spans="2:8" ht="15" customHeight="1" x14ac:dyDescent="0.35">
      <c r="C43" s="52" t="s">
        <v>116</v>
      </c>
      <c r="D43" s="275">
        <v>-865</v>
      </c>
      <c r="E43" s="275">
        <v>-886</v>
      </c>
      <c r="F43" s="275">
        <v>-825</v>
      </c>
      <c r="G43" s="275">
        <v>-823</v>
      </c>
      <c r="H43" s="275">
        <v>-749</v>
      </c>
    </row>
    <row r="44" spans="2:8" ht="15" customHeight="1" x14ac:dyDescent="0.35">
      <c r="C44" s="42" t="s">
        <v>117</v>
      </c>
      <c r="D44" s="275">
        <v>872</v>
      </c>
      <c r="E44" s="275">
        <v>903</v>
      </c>
      <c r="F44" s="275">
        <v>838</v>
      </c>
      <c r="G44" s="275">
        <v>830</v>
      </c>
      <c r="H44" s="275">
        <v>749</v>
      </c>
    </row>
    <row r="45" spans="2:8" ht="15" customHeight="1" x14ac:dyDescent="0.35">
      <c r="C45" s="44" t="s">
        <v>118</v>
      </c>
      <c r="D45" s="276">
        <v>91</v>
      </c>
      <c r="E45" s="275">
        <v>134</v>
      </c>
      <c r="F45" s="275">
        <v>168</v>
      </c>
      <c r="G45" s="276">
        <v>56</v>
      </c>
      <c r="H45" s="276">
        <v>12</v>
      </c>
    </row>
    <row r="46" spans="2:8" ht="15" customHeight="1" x14ac:dyDescent="0.35">
      <c r="C46" s="44" t="s">
        <v>119</v>
      </c>
      <c r="D46" s="275">
        <v>963</v>
      </c>
      <c r="E46" s="275">
        <v>1037</v>
      </c>
      <c r="F46" s="275">
        <v>1006</v>
      </c>
      <c r="G46" s="275">
        <v>886</v>
      </c>
      <c r="H46" s="275">
        <v>761</v>
      </c>
    </row>
    <row r="47" spans="2:8" ht="15" customHeight="1" x14ac:dyDescent="0.35">
      <c r="C47" s="42" t="s">
        <v>120</v>
      </c>
      <c r="D47" s="276">
        <v>7</v>
      </c>
      <c r="E47" s="276">
        <v>17</v>
      </c>
      <c r="F47" s="276">
        <v>13</v>
      </c>
      <c r="G47" s="276">
        <v>7</v>
      </c>
      <c r="H47" s="277"/>
    </row>
    <row r="48" spans="2:8" ht="15" customHeight="1" x14ac:dyDescent="0.35">
      <c r="B48">
        <f>D41+D43+D49</f>
        <v>2486</v>
      </c>
      <c r="C48" s="44" t="s">
        <v>121</v>
      </c>
      <c r="D48" s="276">
        <v>7</v>
      </c>
      <c r="E48" s="276">
        <v>17</v>
      </c>
      <c r="F48" s="276">
        <v>13</v>
      </c>
      <c r="G48" s="276">
        <v>7</v>
      </c>
      <c r="H48" s="277"/>
    </row>
    <row r="49" spans="3:8" ht="15" customHeight="1" x14ac:dyDescent="0.35">
      <c r="C49" s="52" t="s">
        <v>122</v>
      </c>
      <c r="D49" s="276">
        <v>-26</v>
      </c>
      <c r="E49" s="276">
        <v>-19</v>
      </c>
      <c r="F49" s="276">
        <v>-20</v>
      </c>
      <c r="G49" s="276">
        <v>-14</v>
      </c>
      <c r="H49" s="277"/>
    </row>
    <row r="50" spans="3:8" ht="15" customHeight="1" x14ac:dyDescent="0.35">
      <c r="C50" s="40" t="s">
        <v>123</v>
      </c>
      <c r="D50" s="275">
        <v>2486</v>
      </c>
      <c r="E50" s="275">
        <v>2421</v>
      </c>
      <c r="F50" s="275">
        <v>2463</v>
      </c>
      <c r="G50" s="275">
        <v>2349</v>
      </c>
      <c r="H50" s="275">
        <v>2423</v>
      </c>
    </row>
    <row r="51" spans="3:8" ht="15" customHeight="1" x14ac:dyDescent="0.35">
      <c r="C51" s="38" t="s">
        <v>124</v>
      </c>
      <c r="D51" s="279"/>
      <c r="E51" s="279"/>
      <c r="F51" s="279"/>
      <c r="G51" s="279"/>
      <c r="H51" s="279"/>
    </row>
    <row r="52" spans="3:8" ht="15" customHeight="1" x14ac:dyDescent="0.35">
      <c r="C52" s="40" t="s">
        <v>125</v>
      </c>
      <c r="D52" s="275">
        <v>-840</v>
      </c>
      <c r="E52" s="275">
        <v>-1079</v>
      </c>
      <c r="F52" s="275">
        <v>-1256</v>
      </c>
      <c r="G52" s="275">
        <v>-561</v>
      </c>
      <c r="H52" s="275">
        <v>-460</v>
      </c>
    </row>
    <row r="53" spans="3:8" ht="15" customHeight="1" x14ac:dyDescent="0.35">
      <c r="C53" s="42" t="s">
        <v>126</v>
      </c>
      <c r="D53" s="276">
        <v>87</v>
      </c>
      <c r="E53" s="275">
        <v>211</v>
      </c>
      <c r="F53" s="275">
        <v>606</v>
      </c>
      <c r="G53" s="276">
        <v>76</v>
      </c>
      <c r="H53" s="277"/>
    </row>
    <row r="54" spans="3:8" ht="15" customHeight="1" x14ac:dyDescent="0.35">
      <c r="C54" s="44" t="s">
        <v>127</v>
      </c>
      <c r="D54" s="276">
        <v>48</v>
      </c>
      <c r="E54" s="275">
        <v>204</v>
      </c>
      <c r="F54" s="275">
        <v>118</v>
      </c>
      <c r="G54" s="276">
        <v>76</v>
      </c>
      <c r="H54" s="277"/>
    </row>
    <row r="55" spans="3:8" ht="15" customHeight="1" x14ac:dyDescent="0.35">
      <c r="C55" s="44" t="s">
        <v>128</v>
      </c>
      <c r="D55" s="277"/>
      <c r="E55" s="277"/>
      <c r="F55" s="275">
        <v>488</v>
      </c>
      <c r="G55" s="277"/>
      <c r="H55" s="277"/>
    </row>
    <row r="56" spans="3:8" ht="15" customHeight="1" x14ac:dyDescent="0.35">
      <c r="C56" s="44" t="s">
        <v>129</v>
      </c>
      <c r="D56" s="276">
        <v>39</v>
      </c>
      <c r="E56" s="276">
        <v>7</v>
      </c>
      <c r="F56" s="277"/>
      <c r="G56" s="277"/>
      <c r="H56" s="277"/>
    </row>
    <row r="57" spans="3:8" ht="15" customHeight="1" x14ac:dyDescent="0.35">
      <c r="C57" s="42" t="s">
        <v>130</v>
      </c>
      <c r="D57" s="276">
        <v>23</v>
      </c>
      <c r="E57" s="276">
        <v>44</v>
      </c>
      <c r="F57" s="277"/>
      <c r="G57" s="277"/>
      <c r="H57" s="277"/>
    </row>
    <row r="58" spans="3:8" ht="15" customHeight="1" x14ac:dyDescent="0.35">
      <c r="C58" s="42" t="s">
        <v>131</v>
      </c>
      <c r="D58" s="275">
        <v>336</v>
      </c>
      <c r="E58" s="275">
        <v>448</v>
      </c>
      <c r="F58" s="275">
        <v>388</v>
      </c>
      <c r="G58" s="275">
        <v>300</v>
      </c>
      <c r="H58" s="275">
        <v>347</v>
      </c>
    </row>
    <row r="59" spans="3:8" ht="15" customHeight="1" x14ac:dyDescent="0.35">
      <c r="C59" s="42" t="s">
        <v>132</v>
      </c>
      <c r="D59" s="276">
        <v>40</v>
      </c>
      <c r="E59" s="277"/>
      <c r="F59" s="277"/>
      <c r="G59" s="277"/>
      <c r="H59" s="277"/>
    </row>
    <row r="60" spans="3:8" ht="15" customHeight="1" x14ac:dyDescent="0.35">
      <c r="C60" s="42" t="s">
        <v>133</v>
      </c>
      <c r="D60" s="275">
        <v>-169</v>
      </c>
      <c r="E60" s="276">
        <v>-48</v>
      </c>
      <c r="F60" s="276">
        <v>-41</v>
      </c>
      <c r="G60" s="276">
        <v>11</v>
      </c>
      <c r="H60" s="276">
        <v>-72</v>
      </c>
    </row>
    <row r="61" spans="3:8" ht="15" customHeight="1" x14ac:dyDescent="0.35">
      <c r="C61" s="42" t="s">
        <v>134</v>
      </c>
      <c r="D61" s="276">
        <v>-1</v>
      </c>
      <c r="E61" s="276">
        <v>-75</v>
      </c>
      <c r="F61" s="277"/>
      <c r="G61" s="277"/>
      <c r="H61" s="277"/>
    </row>
    <row r="62" spans="3:8" ht="15" customHeight="1" x14ac:dyDescent="0.35">
      <c r="C62" s="42" t="s">
        <v>135</v>
      </c>
      <c r="D62" s="276">
        <v>-1</v>
      </c>
      <c r="E62" s="276">
        <v>-19</v>
      </c>
      <c r="F62" s="276">
        <v>22</v>
      </c>
      <c r="G62" s="275">
        <v>-144</v>
      </c>
      <c r="H62" s="276">
        <v>28</v>
      </c>
    </row>
    <row r="63" spans="3:8" ht="15" customHeight="1" x14ac:dyDescent="0.35">
      <c r="C63" s="42" t="s">
        <v>136</v>
      </c>
      <c r="D63" s="277"/>
      <c r="E63" s="277"/>
      <c r="F63" s="277"/>
      <c r="G63" s="277">
        <v>0</v>
      </c>
      <c r="H63" s="276">
        <v>19</v>
      </c>
    </row>
    <row r="64" spans="3:8" ht="15" customHeight="1" x14ac:dyDescent="0.35">
      <c r="C64" s="44" t="s">
        <v>137</v>
      </c>
      <c r="D64" s="277"/>
      <c r="E64" s="277"/>
      <c r="F64" s="277"/>
      <c r="G64" s="277">
        <v>0</v>
      </c>
      <c r="H64" s="276">
        <v>19</v>
      </c>
    </row>
    <row r="65" spans="2:8" ht="15" customHeight="1" x14ac:dyDescent="0.35">
      <c r="C65" s="42" t="s">
        <v>138</v>
      </c>
      <c r="D65" s="275">
        <v>-183</v>
      </c>
      <c r="E65" s="275">
        <v>-234</v>
      </c>
      <c r="F65" s="275">
        <v>-243</v>
      </c>
      <c r="G65" s="276">
        <v>-52</v>
      </c>
      <c r="H65" s="276">
        <v>-88</v>
      </c>
    </row>
    <row r="66" spans="2:8" ht="15" customHeight="1" x14ac:dyDescent="0.35">
      <c r="C66" s="38" t="s">
        <v>139</v>
      </c>
      <c r="D66" s="279"/>
      <c r="E66" s="279"/>
      <c r="F66" s="279"/>
      <c r="G66" s="279"/>
      <c r="H66" s="279"/>
    </row>
    <row r="67" spans="2:8" ht="15" customHeight="1" x14ac:dyDescent="0.35">
      <c r="B67">
        <f>B48+D52</f>
        <v>1646</v>
      </c>
      <c r="C67" s="43" t="s">
        <v>140</v>
      </c>
      <c r="D67" s="275">
        <v>1646</v>
      </c>
      <c r="E67" s="275">
        <v>1342</v>
      </c>
      <c r="F67" s="275">
        <v>1207</v>
      </c>
      <c r="G67" s="275">
        <v>1788</v>
      </c>
      <c r="H67" s="275">
        <v>1963</v>
      </c>
    </row>
    <row r="68" spans="2:8" ht="15" customHeight="1" x14ac:dyDescent="0.35">
      <c r="C68" s="38" t="s">
        <v>141</v>
      </c>
      <c r="D68" s="279"/>
      <c r="E68" s="279"/>
      <c r="F68" s="279"/>
      <c r="G68" s="279"/>
      <c r="H68" s="279"/>
    </row>
    <row r="69" spans="2:8" ht="15" customHeight="1" x14ac:dyDescent="0.35">
      <c r="C69" s="52" t="s">
        <v>142</v>
      </c>
      <c r="D69" s="275">
        <v>359</v>
      </c>
      <c r="E69" s="275">
        <v>280</v>
      </c>
      <c r="F69" s="275">
        <v>331</v>
      </c>
      <c r="G69" s="275">
        <v>-176</v>
      </c>
      <c r="H69" s="275">
        <v>689</v>
      </c>
    </row>
    <row r="70" spans="2:8" ht="15" customHeight="1" x14ac:dyDescent="0.35">
      <c r="C70" s="42" t="s">
        <v>143</v>
      </c>
      <c r="D70" s="276">
        <v>82</v>
      </c>
      <c r="E70" s="276">
        <v>84</v>
      </c>
      <c r="F70" s="276">
        <v>97</v>
      </c>
      <c r="G70" s="276">
        <v>-5</v>
      </c>
      <c r="H70" s="275">
        <v>-152</v>
      </c>
    </row>
    <row r="71" spans="2:8" ht="15" customHeight="1" x14ac:dyDescent="0.35">
      <c r="C71" s="44" t="s">
        <v>144</v>
      </c>
      <c r="D71" s="276">
        <v>51</v>
      </c>
      <c r="E71" s="276">
        <v>17</v>
      </c>
      <c r="F71" s="276">
        <v>10</v>
      </c>
      <c r="G71" s="277">
        <v>0</v>
      </c>
      <c r="H71" s="277">
        <v>0</v>
      </c>
    </row>
    <row r="72" spans="2:8" ht="15" customHeight="1" x14ac:dyDescent="0.35">
      <c r="C72" s="44" t="s">
        <v>145</v>
      </c>
      <c r="D72" s="276">
        <v>60</v>
      </c>
      <c r="E72" s="276">
        <v>71</v>
      </c>
      <c r="F72" s="276">
        <v>77</v>
      </c>
      <c r="G72" s="276">
        <v>67</v>
      </c>
      <c r="H72" s="276">
        <v>78</v>
      </c>
    </row>
    <row r="73" spans="2:8" ht="15" customHeight="1" x14ac:dyDescent="0.35">
      <c r="B73">
        <f>D74+D70</f>
        <v>359</v>
      </c>
      <c r="C73" s="44" t="s">
        <v>146</v>
      </c>
      <c r="D73" s="276">
        <v>-29</v>
      </c>
      <c r="E73" s="276">
        <v>-4</v>
      </c>
      <c r="F73" s="276">
        <v>10</v>
      </c>
      <c r="G73" s="276">
        <v>-72</v>
      </c>
      <c r="H73" s="275">
        <v>-230</v>
      </c>
    </row>
    <row r="74" spans="2:8" ht="15" customHeight="1" x14ac:dyDescent="0.35">
      <c r="C74" s="53" t="s">
        <v>147</v>
      </c>
      <c r="D74" s="275">
        <v>277</v>
      </c>
      <c r="E74" s="275">
        <v>196</v>
      </c>
      <c r="F74" s="275">
        <v>234</v>
      </c>
      <c r="G74" s="275">
        <v>-171</v>
      </c>
      <c r="H74" s="275">
        <v>841</v>
      </c>
    </row>
    <row r="75" spans="2:8" ht="15" customHeight="1" x14ac:dyDescent="0.35">
      <c r="C75" s="44" t="s">
        <v>148</v>
      </c>
      <c r="D75" s="277"/>
      <c r="E75" s="277"/>
      <c r="F75" s="277"/>
      <c r="G75" s="277">
        <v>0</v>
      </c>
      <c r="H75" s="275">
        <v>420</v>
      </c>
    </row>
    <row r="76" spans="2:8" ht="15" customHeight="1" x14ac:dyDescent="0.35">
      <c r="C76" s="44" t="s">
        <v>149</v>
      </c>
      <c r="D76" s="275">
        <v>277</v>
      </c>
      <c r="E76" s="275">
        <v>196</v>
      </c>
      <c r="F76" s="275">
        <v>234</v>
      </c>
      <c r="G76" s="275">
        <v>-171</v>
      </c>
      <c r="H76" s="275">
        <v>421</v>
      </c>
    </row>
    <row r="77" spans="2:8" ht="15" customHeight="1" x14ac:dyDescent="0.35">
      <c r="C77" s="38" t="s">
        <v>150</v>
      </c>
      <c r="D77" s="279"/>
      <c r="E77" s="279"/>
      <c r="F77" s="279"/>
      <c r="G77" s="279"/>
      <c r="H77" s="279"/>
    </row>
    <row r="78" spans="2:8" ht="15" customHeight="1" x14ac:dyDescent="0.35">
      <c r="B78">
        <f>B67-B73</f>
        <v>1287</v>
      </c>
      <c r="C78" s="40" t="s">
        <v>151</v>
      </c>
      <c r="D78" s="275">
        <v>1287</v>
      </c>
      <c r="E78" s="275">
        <v>1062</v>
      </c>
      <c r="F78" s="275">
        <v>876</v>
      </c>
      <c r="G78" s="275">
        <v>1964</v>
      </c>
      <c r="H78" s="275">
        <v>1274</v>
      </c>
    </row>
    <row r="79" spans="2:8" ht="15" customHeight="1" x14ac:dyDescent="0.35">
      <c r="C79" s="38" t="s">
        <v>152</v>
      </c>
      <c r="D79" s="279"/>
      <c r="E79" s="279"/>
      <c r="F79" s="279"/>
      <c r="G79" s="279"/>
      <c r="H79" s="279"/>
    </row>
    <row r="80" spans="2:8" ht="15" customHeight="1" x14ac:dyDescent="0.35">
      <c r="C80" s="40" t="s">
        <v>153</v>
      </c>
      <c r="D80" s="275">
        <v>-210</v>
      </c>
      <c r="E80" s="276">
        <v>-8</v>
      </c>
      <c r="F80" s="276">
        <v>-21</v>
      </c>
      <c r="G80" s="276">
        <v>-59</v>
      </c>
      <c r="H80" s="277">
        <v>0</v>
      </c>
    </row>
    <row r="81" spans="3:8" ht="15" customHeight="1" x14ac:dyDescent="0.35">
      <c r="C81" s="43" t="s">
        <v>154</v>
      </c>
      <c r="D81" s="275">
        <v>1077</v>
      </c>
      <c r="E81" s="275">
        <v>1054</v>
      </c>
      <c r="F81" s="275">
        <v>855</v>
      </c>
      <c r="G81" s="275">
        <v>1905</v>
      </c>
      <c r="H81" s="275">
        <v>1274</v>
      </c>
    </row>
    <row r="82" spans="3:8" ht="15" customHeight="1" x14ac:dyDescent="0.35">
      <c r="C82" s="40" t="s">
        <v>155</v>
      </c>
      <c r="D82" s="275">
        <v>1077</v>
      </c>
      <c r="E82" s="275">
        <v>1054</v>
      </c>
      <c r="F82" s="275">
        <v>855</v>
      </c>
      <c r="G82" s="275">
        <v>1905</v>
      </c>
      <c r="H82" s="275">
        <v>1274</v>
      </c>
    </row>
    <row r="83" spans="3:8" ht="15" customHeight="1" x14ac:dyDescent="0.35">
      <c r="C83" s="40" t="s">
        <v>156</v>
      </c>
      <c r="D83" s="275">
        <v>1077</v>
      </c>
      <c r="E83" s="275">
        <v>1054</v>
      </c>
      <c r="F83" s="275">
        <v>855</v>
      </c>
      <c r="G83" s="275">
        <v>1905</v>
      </c>
      <c r="H83" s="275">
        <v>1274</v>
      </c>
    </row>
    <row r="84" spans="3:8" ht="15" customHeight="1" x14ac:dyDescent="0.35">
      <c r="C84" s="38" t="s">
        <v>157</v>
      </c>
      <c r="D84" s="279"/>
      <c r="E84" s="279"/>
      <c r="F84" s="279"/>
      <c r="G84" s="279"/>
      <c r="H84" s="279"/>
    </row>
    <row r="85" spans="3:8" ht="15" customHeight="1" x14ac:dyDescent="0.35">
      <c r="C85" s="51" t="s">
        <v>158</v>
      </c>
      <c r="D85" s="275">
        <v>1077</v>
      </c>
      <c r="E85" s="275">
        <v>1054</v>
      </c>
      <c r="F85" s="275">
        <v>855</v>
      </c>
      <c r="G85" s="275">
        <v>1905</v>
      </c>
      <c r="H85" s="275">
        <v>1274</v>
      </c>
    </row>
    <row r="86" spans="3:8" ht="15" customHeight="1" x14ac:dyDescent="0.35">
      <c r="C86" s="38" t="s">
        <v>159</v>
      </c>
      <c r="D86" s="279"/>
      <c r="E86" s="279"/>
      <c r="F86" s="279"/>
      <c r="G86" s="279"/>
      <c r="H86" s="279"/>
    </row>
    <row r="87" spans="3:8" ht="15" customHeight="1" x14ac:dyDescent="0.35">
      <c r="C87" s="40" t="s">
        <v>160</v>
      </c>
      <c r="D87" s="275">
        <v>1077</v>
      </c>
      <c r="E87" s="275">
        <v>1054</v>
      </c>
      <c r="F87" s="275">
        <v>855</v>
      </c>
      <c r="G87" s="275">
        <v>1905</v>
      </c>
      <c r="H87" s="275">
        <v>1274</v>
      </c>
    </row>
    <row r="88" spans="3:8" ht="15" customHeight="1" x14ac:dyDescent="0.35">
      <c r="C88" s="40" t="s">
        <v>161</v>
      </c>
      <c r="D88" s="276">
        <v>-39</v>
      </c>
      <c r="E88" s="276">
        <v>-50</v>
      </c>
      <c r="F88" s="276">
        <v>-66</v>
      </c>
      <c r="G88" s="276">
        <v>87</v>
      </c>
      <c r="H88" s="276">
        <v>65</v>
      </c>
    </row>
    <row r="89" spans="3:8" ht="15" customHeight="1" x14ac:dyDescent="0.35">
      <c r="C89" s="40" t="s">
        <v>162</v>
      </c>
      <c r="D89" s="276">
        <v>3</v>
      </c>
      <c r="E89" s="276">
        <v>-6</v>
      </c>
      <c r="F89" s="277">
        <v>0</v>
      </c>
      <c r="G89" s="276">
        <v>-3</v>
      </c>
      <c r="H89" s="276">
        <v>6</v>
      </c>
    </row>
    <row r="90" spans="3:8" ht="15" customHeight="1" x14ac:dyDescent="0.35">
      <c r="C90" s="40" t="s">
        <v>163</v>
      </c>
      <c r="D90" s="275">
        <v>-183</v>
      </c>
      <c r="E90" s="275">
        <v>224</v>
      </c>
      <c r="F90" s="275">
        <v>-286</v>
      </c>
      <c r="G90" s="275">
        <v>342</v>
      </c>
      <c r="H90" s="275">
        <v>150</v>
      </c>
    </row>
    <row r="91" spans="3:8" ht="15" customHeight="1" x14ac:dyDescent="0.35">
      <c r="C91" s="40" t="s">
        <v>164</v>
      </c>
      <c r="D91" s="276">
        <v>11</v>
      </c>
      <c r="E91" s="276">
        <v>-5</v>
      </c>
      <c r="F91" s="276">
        <v>-11</v>
      </c>
      <c r="G91" s="276">
        <v>-1</v>
      </c>
      <c r="H91" s="277"/>
    </row>
    <row r="92" spans="3:8" ht="15" customHeight="1" x14ac:dyDescent="0.35">
      <c r="C92" s="40" t="s">
        <v>165</v>
      </c>
      <c r="D92" s="275">
        <v>-736</v>
      </c>
      <c r="E92" s="276">
        <v>88</v>
      </c>
      <c r="F92" s="275">
        <v>-2444</v>
      </c>
      <c r="G92" s="275">
        <v>-2876</v>
      </c>
      <c r="H92" s="275">
        <v>2865</v>
      </c>
    </row>
    <row r="93" spans="3:8" ht="15" customHeight="1" x14ac:dyDescent="0.35">
      <c r="C93" s="40" t="s">
        <v>166</v>
      </c>
      <c r="D93" s="275">
        <v>209</v>
      </c>
      <c r="E93" s="276">
        <v>-78</v>
      </c>
      <c r="F93" s="275">
        <v>678</v>
      </c>
      <c r="G93" s="275">
        <v>642</v>
      </c>
      <c r="H93" s="275">
        <v>-430</v>
      </c>
    </row>
    <row r="94" spans="3:8" ht="15" customHeight="1" x14ac:dyDescent="0.35">
      <c r="C94" s="40" t="s">
        <v>167</v>
      </c>
      <c r="D94" s="275">
        <v>-735</v>
      </c>
      <c r="E94" s="275">
        <v>173</v>
      </c>
      <c r="F94" s="275">
        <v>-2129</v>
      </c>
      <c r="G94" s="275">
        <v>-1809</v>
      </c>
      <c r="H94" s="275">
        <v>2656</v>
      </c>
    </row>
    <row r="95" spans="3:8" ht="15" customHeight="1" x14ac:dyDescent="0.35">
      <c r="C95" s="43" t="s">
        <v>168</v>
      </c>
      <c r="D95" s="275">
        <v>342</v>
      </c>
      <c r="E95" s="275">
        <v>1227</v>
      </c>
      <c r="F95" s="275">
        <v>-1274</v>
      </c>
      <c r="G95" s="276">
        <v>96</v>
      </c>
      <c r="H95" s="275">
        <v>3930</v>
      </c>
    </row>
    <row r="96" spans="3:8" ht="15" customHeight="1" x14ac:dyDescent="0.35">
      <c r="C96" s="40" t="s">
        <v>169</v>
      </c>
      <c r="D96" s="275">
        <v>342</v>
      </c>
      <c r="E96" s="275">
        <v>1227</v>
      </c>
      <c r="F96" s="275">
        <v>-1274</v>
      </c>
      <c r="G96" s="276">
        <v>96</v>
      </c>
      <c r="H96" s="275">
        <v>3930</v>
      </c>
    </row>
    <row r="97" spans="3:8" ht="15" customHeight="1" x14ac:dyDescent="0.35">
      <c r="C97" s="38" t="s">
        <v>170</v>
      </c>
      <c r="D97" s="279"/>
      <c r="E97" s="279"/>
      <c r="F97" s="279"/>
      <c r="G97" s="279"/>
      <c r="H97" s="279"/>
    </row>
    <row r="98" spans="3:8" ht="15" customHeight="1" x14ac:dyDescent="0.35">
      <c r="C98" s="40" t="s">
        <v>171</v>
      </c>
      <c r="D98" s="275">
        <v>1077</v>
      </c>
      <c r="E98" s="275">
        <v>1054</v>
      </c>
      <c r="F98" s="275">
        <v>855</v>
      </c>
      <c r="G98" s="275">
        <v>1905</v>
      </c>
      <c r="H98" s="275">
        <v>1274</v>
      </c>
    </row>
    <row r="99" spans="3:8" ht="15" customHeight="1" x14ac:dyDescent="0.35">
      <c r="C99" s="42" t="s">
        <v>172</v>
      </c>
      <c r="D99" s="275">
        <v>1077</v>
      </c>
      <c r="E99" s="275">
        <v>1054</v>
      </c>
      <c r="F99" s="275">
        <v>855</v>
      </c>
      <c r="G99" s="275">
        <v>1905</v>
      </c>
      <c r="H99" s="275">
        <v>1274</v>
      </c>
    </row>
    <row r="100" spans="3:8" ht="15" customHeight="1" x14ac:dyDescent="0.35">
      <c r="C100" s="42" t="s">
        <v>173</v>
      </c>
      <c r="D100" s="275">
        <v>9818</v>
      </c>
      <c r="E100" s="275">
        <v>9779</v>
      </c>
      <c r="F100" s="275">
        <v>9823</v>
      </c>
      <c r="G100" s="275">
        <v>9803</v>
      </c>
      <c r="H100" s="275">
        <v>9866</v>
      </c>
    </row>
    <row r="101" spans="3:8" ht="15" customHeight="1" x14ac:dyDescent="0.35">
      <c r="C101" s="44" t="s">
        <v>174</v>
      </c>
      <c r="D101" s="276">
        <v>0.11</v>
      </c>
      <c r="E101" s="276">
        <v>0.11</v>
      </c>
      <c r="F101" s="276">
        <v>0.09</v>
      </c>
      <c r="G101" s="276">
        <v>0.19</v>
      </c>
      <c r="H101" s="276">
        <v>0.13</v>
      </c>
    </row>
    <row r="102" spans="3:8" ht="15" customHeight="1" x14ac:dyDescent="0.35">
      <c r="C102" s="44" t="s">
        <v>175</v>
      </c>
      <c r="D102" s="276">
        <v>0.11</v>
      </c>
      <c r="E102" s="276">
        <v>0.11</v>
      </c>
      <c r="F102" s="276">
        <v>0.09</v>
      </c>
      <c r="G102" s="276">
        <v>0.19</v>
      </c>
      <c r="H102" s="276">
        <v>0.13</v>
      </c>
    </row>
    <row r="103" spans="3:8" ht="15" customHeight="1" x14ac:dyDescent="0.35">
      <c r="C103" s="44" t="s">
        <v>176</v>
      </c>
      <c r="D103" s="276">
        <v>0.2</v>
      </c>
      <c r="E103" s="276">
        <v>0.22</v>
      </c>
      <c r="F103" s="276">
        <v>0.21</v>
      </c>
      <c r="G103" s="276">
        <v>0.25</v>
      </c>
      <c r="H103" s="276">
        <v>0.18</v>
      </c>
    </row>
    <row r="104" spans="3:8" ht="15" customHeight="1" x14ac:dyDescent="0.35">
      <c r="C104" s="40" t="s">
        <v>177</v>
      </c>
      <c r="D104" s="275">
        <v>1077</v>
      </c>
      <c r="E104" s="275">
        <v>1054</v>
      </c>
      <c r="F104" s="275">
        <v>855</v>
      </c>
      <c r="G104" s="275">
        <v>1905</v>
      </c>
      <c r="H104" s="275">
        <v>1274</v>
      </c>
    </row>
    <row r="105" spans="3:8" ht="15" customHeight="1" x14ac:dyDescent="0.35">
      <c r="C105" s="40" t="s">
        <v>178</v>
      </c>
      <c r="D105" s="276">
        <v>1</v>
      </c>
      <c r="E105" s="276">
        <v>1</v>
      </c>
      <c r="F105" s="276">
        <v>1</v>
      </c>
      <c r="G105" s="276">
        <v>1</v>
      </c>
      <c r="H105" s="276">
        <v>1</v>
      </c>
    </row>
    <row r="106" spans="3:8" ht="15" customHeight="1" x14ac:dyDescent="0.35">
      <c r="C106" s="42" t="s">
        <v>179</v>
      </c>
      <c r="D106" s="275">
        <v>9818</v>
      </c>
      <c r="E106" s="275">
        <v>9779</v>
      </c>
      <c r="F106" s="275">
        <v>9823</v>
      </c>
      <c r="G106" s="275">
        <v>9803</v>
      </c>
      <c r="H106" s="275">
        <v>9866</v>
      </c>
    </row>
    <row r="107" spans="3:8" ht="15" customHeight="1" x14ac:dyDescent="0.35">
      <c r="C107" s="44" t="s">
        <v>180</v>
      </c>
      <c r="D107" s="276">
        <v>0.11</v>
      </c>
      <c r="E107" s="276">
        <v>0.11</v>
      </c>
      <c r="F107" s="276">
        <v>0.09</v>
      </c>
      <c r="G107" s="276">
        <v>0.19</v>
      </c>
      <c r="H107" s="276">
        <v>0.13</v>
      </c>
    </row>
    <row r="108" spans="3:8" ht="15" customHeight="1" x14ac:dyDescent="0.35">
      <c r="C108" s="44" t="s">
        <v>181</v>
      </c>
      <c r="D108" s="276">
        <v>0.11</v>
      </c>
      <c r="E108" s="276">
        <v>0.11</v>
      </c>
      <c r="F108" s="276">
        <v>0.09</v>
      </c>
      <c r="G108" s="276">
        <v>0.19</v>
      </c>
      <c r="H108" s="276">
        <v>0.13</v>
      </c>
    </row>
    <row r="109" spans="3:8" ht="15" customHeight="1" x14ac:dyDescent="0.35">
      <c r="C109" s="44" t="s">
        <v>182</v>
      </c>
      <c r="D109" s="276">
        <v>0.2</v>
      </c>
      <c r="E109" s="276">
        <v>0.22</v>
      </c>
      <c r="F109" s="276">
        <v>0.21</v>
      </c>
      <c r="G109" s="276">
        <v>0.25</v>
      </c>
      <c r="H109" s="276">
        <v>0.18</v>
      </c>
    </row>
    <row r="110" spans="3:8" ht="15" customHeight="1" x14ac:dyDescent="0.35">
      <c r="C110" s="40" t="s">
        <v>178</v>
      </c>
      <c r="D110" s="276">
        <v>1</v>
      </c>
      <c r="E110" s="276">
        <v>1</v>
      </c>
      <c r="F110" s="276">
        <v>1</v>
      </c>
      <c r="G110" s="276">
        <v>1</v>
      </c>
      <c r="H110" s="276">
        <v>1</v>
      </c>
    </row>
    <row r="111" spans="3:8" ht="15" customHeight="1" x14ac:dyDescent="0.35">
      <c r="C111" s="42" t="s">
        <v>183</v>
      </c>
      <c r="D111" s="275">
        <v>1963.6</v>
      </c>
      <c r="E111" s="275">
        <v>1955.8</v>
      </c>
      <c r="F111" s="275">
        <v>1964.6</v>
      </c>
      <c r="G111" s="275">
        <v>1960.6</v>
      </c>
      <c r="H111" s="275">
        <v>1973.2</v>
      </c>
    </row>
    <row r="112" spans="3:8" ht="15" customHeight="1" x14ac:dyDescent="0.35">
      <c r="C112" s="44" t="s">
        <v>184</v>
      </c>
      <c r="D112" s="276">
        <v>0.55000000000000004</v>
      </c>
      <c r="E112" s="276">
        <v>0.54</v>
      </c>
      <c r="F112" s="276">
        <v>0.44</v>
      </c>
      <c r="G112" s="276">
        <v>0.97</v>
      </c>
      <c r="H112" s="276">
        <v>0.65</v>
      </c>
    </row>
    <row r="113" spans="3:8" ht="15" customHeight="1" x14ac:dyDescent="0.35">
      <c r="C113" s="44" t="s">
        <v>185</v>
      </c>
      <c r="D113" s="276">
        <v>0.55000000000000004</v>
      </c>
      <c r="E113" s="276">
        <v>0.54</v>
      </c>
      <c r="F113" s="276">
        <v>0.44</v>
      </c>
      <c r="G113" s="276">
        <v>0.97</v>
      </c>
      <c r="H113" s="276">
        <v>0.65</v>
      </c>
    </row>
    <row r="114" spans="3:8" ht="15" customHeight="1" x14ac:dyDescent="0.35">
      <c r="C114" s="44" t="s">
        <v>186</v>
      </c>
      <c r="D114" s="276">
        <v>0.98</v>
      </c>
      <c r="E114" s="276">
        <v>1.0900000000000001</v>
      </c>
      <c r="F114" s="276">
        <v>1.07</v>
      </c>
      <c r="G114" s="276">
        <v>1.26</v>
      </c>
      <c r="H114" s="276">
        <v>0.88</v>
      </c>
    </row>
    <row r="115" spans="3:8" ht="15" customHeight="1" x14ac:dyDescent="0.35">
      <c r="C115" s="40" t="s">
        <v>187</v>
      </c>
      <c r="D115" s="277">
        <v>0</v>
      </c>
      <c r="E115" s="277">
        <v>0</v>
      </c>
      <c r="F115" s="277">
        <v>0</v>
      </c>
      <c r="G115" s="277">
        <v>0</v>
      </c>
      <c r="H115" s="277">
        <v>0</v>
      </c>
    </row>
    <row r="116" spans="3:8" ht="15" customHeight="1" x14ac:dyDescent="0.35">
      <c r="C116" s="40" t="s">
        <v>188</v>
      </c>
      <c r="D116" s="276">
        <v>0.03</v>
      </c>
      <c r="E116" s="276">
        <v>0.13</v>
      </c>
      <c r="F116" s="276">
        <v>-0.13</v>
      </c>
      <c r="G116" s="276">
        <v>0.01</v>
      </c>
      <c r="H116" s="276">
        <v>0.4</v>
      </c>
    </row>
    <row r="117" spans="3:8" ht="15" customHeight="1" x14ac:dyDescent="0.35">
      <c r="C117" s="40" t="s">
        <v>189</v>
      </c>
      <c r="D117" s="276">
        <v>0.17</v>
      </c>
      <c r="E117" s="276">
        <v>0.63</v>
      </c>
      <c r="F117" s="276">
        <v>-0.65</v>
      </c>
      <c r="G117" s="276">
        <v>0.05</v>
      </c>
      <c r="H117" s="276">
        <v>1.99</v>
      </c>
    </row>
    <row r="118" spans="3:8" ht="15" customHeight="1" x14ac:dyDescent="0.35">
      <c r="C118" s="38" t="s">
        <v>190</v>
      </c>
      <c r="D118" s="279"/>
      <c r="E118" s="279"/>
      <c r="F118" s="279"/>
      <c r="G118" s="279"/>
      <c r="H118" s="279"/>
    </row>
    <row r="119" spans="3:8" ht="15" customHeight="1" x14ac:dyDescent="0.35">
      <c r="C119" s="40" t="s">
        <v>191</v>
      </c>
      <c r="D119" s="275">
        <v>1077</v>
      </c>
      <c r="E119" s="275">
        <v>1054</v>
      </c>
      <c r="F119" s="275">
        <v>855</v>
      </c>
      <c r="G119" s="275">
        <v>1905</v>
      </c>
      <c r="H119" s="275">
        <v>1274</v>
      </c>
    </row>
    <row r="120" spans="3:8" ht="15" customHeight="1" x14ac:dyDescent="0.35">
      <c r="C120" s="42" t="s">
        <v>192</v>
      </c>
      <c r="D120" s="275">
        <v>1077</v>
      </c>
      <c r="E120" s="275">
        <v>1054</v>
      </c>
      <c r="F120" s="275">
        <v>855</v>
      </c>
      <c r="G120" s="275">
        <v>1905</v>
      </c>
      <c r="H120" s="275">
        <v>1274</v>
      </c>
    </row>
    <row r="121" spans="3:8" ht="15" customHeight="1" x14ac:dyDescent="0.35">
      <c r="C121" s="42" t="s">
        <v>193</v>
      </c>
      <c r="D121" s="275">
        <v>9939</v>
      </c>
      <c r="E121" s="275">
        <v>9960</v>
      </c>
      <c r="F121" s="275">
        <v>9998</v>
      </c>
      <c r="G121" s="277">
        <v>10057</v>
      </c>
      <c r="H121" s="277">
        <v>10136</v>
      </c>
    </row>
    <row r="122" spans="3:8" ht="15" customHeight="1" x14ac:dyDescent="0.35">
      <c r="C122" s="44" t="s">
        <v>194</v>
      </c>
      <c r="D122" s="276">
        <v>0.11</v>
      </c>
      <c r="E122" s="276">
        <v>0.11</v>
      </c>
      <c r="F122" s="276">
        <v>0.09</v>
      </c>
      <c r="G122" s="276">
        <v>0.19</v>
      </c>
      <c r="H122" s="276">
        <v>0.13</v>
      </c>
    </row>
    <row r="123" spans="3:8" ht="15" customHeight="1" x14ac:dyDescent="0.35">
      <c r="C123" s="44" t="s">
        <v>195</v>
      </c>
      <c r="D123" s="276">
        <v>0.11</v>
      </c>
      <c r="E123" s="276">
        <v>0.11</v>
      </c>
      <c r="F123" s="276">
        <v>0.09</v>
      </c>
      <c r="G123" s="276">
        <v>0.19</v>
      </c>
      <c r="H123" s="276">
        <v>0.13</v>
      </c>
    </row>
    <row r="124" spans="3:8" ht="15" customHeight="1" x14ac:dyDescent="0.35">
      <c r="C124" s="44" t="s">
        <v>196</v>
      </c>
      <c r="D124" s="276">
        <v>0.19</v>
      </c>
      <c r="E124" s="276">
        <v>0.21</v>
      </c>
      <c r="F124" s="276">
        <v>0.21</v>
      </c>
      <c r="G124" s="276">
        <v>0.25</v>
      </c>
      <c r="H124" s="276">
        <v>0.17</v>
      </c>
    </row>
    <row r="125" spans="3:8" ht="15" customHeight="1" x14ac:dyDescent="0.35">
      <c r="C125" s="40" t="s">
        <v>197</v>
      </c>
      <c r="D125" s="275">
        <v>1077</v>
      </c>
      <c r="E125" s="275">
        <v>1054</v>
      </c>
      <c r="F125" s="275">
        <v>855</v>
      </c>
      <c r="G125" s="275">
        <v>1905</v>
      </c>
      <c r="H125" s="275">
        <v>1274</v>
      </c>
    </row>
    <row r="126" spans="3:8" ht="15" customHeight="1" x14ac:dyDescent="0.35">
      <c r="C126" s="40" t="s">
        <v>198</v>
      </c>
      <c r="D126" s="276">
        <v>1</v>
      </c>
      <c r="E126" s="276">
        <v>1</v>
      </c>
      <c r="F126" s="276">
        <v>1</v>
      </c>
      <c r="G126" s="276">
        <v>1</v>
      </c>
      <c r="H126" s="276">
        <v>1</v>
      </c>
    </row>
    <row r="127" spans="3:8" ht="15" customHeight="1" x14ac:dyDescent="0.35">
      <c r="C127" s="42" t="s">
        <v>199</v>
      </c>
      <c r="D127" s="275">
        <v>9939</v>
      </c>
      <c r="E127" s="275">
        <v>9960</v>
      </c>
      <c r="F127" s="275">
        <v>9998</v>
      </c>
      <c r="G127" s="277">
        <v>10057</v>
      </c>
      <c r="H127" s="277">
        <v>10136</v>
      </c>
    </row>
    <row r="128" spans="3:8" ht="15" customHeight="1" x14ac:dyDescent="0.35">
      <c r="C128" s="44" t="s">
        <v>200</v>
      </c>
      <c r="D128" s="276">
        <v>0.11</v>
      </c>
      <c r="E128" s="276">
        <v>0.11</v>
      </c>
      <c r="F128" s="276">
        <v>0.09</v>
      </c>
      <c r="G128" s="276">
        <v>0.19</v>
      </c>
      <c r="H128" s="276">
        <v>0.13</v>
      </c>
    </row>
    <row r="129" spans="3:8" ht="15" customHeight="1" x14ac:dyDescent="0.35">
      <c r="C129" s="44" t="s">
        <v>201</v>
      </c>
      <c r="D129" s="276">
        <v>0.11</v>
      </c>
      <c r="E129" s="276">
        <v>0.11</v>
      </c>
      <c r="F129" s="276">
        <v>0.09</v>
      </c>
      <c r="G129" s="276">
        <v>0.19</v>
      </c>
      <c r="H129" s="276">
        <v>0.13</v>
      </c>
    </row>
    <row r="130" spans="3:8" ht="15" customHeight="1" x14ac:dyDescent="0.35">
      <c r="C130" s="44" t="s">
        <v>202</v>
      </c>
      <c r="D130" s="276">
        <v>0.19</v>
      </c>
      <c r="E130" s="276">
        <v>0.21</v>
      </c>
      <c r="F130" s="276">
        <v>0.21</v>
      </c>
      <c r="G130" s="276">
        <v>0.25</v>
      </c>
      <c r="H130" s="276">
        <v>0.17</v>
      </c>
    </row>
    <row r="131" spans="3:8" ht="15" customHeight="1" x14ac:dyDescent="0.35">
      <c r="C131" s="40" t="s">
        <v>198</v>
      </c>
      <c r="D131" s="276">
        <v>1</v>
      </c>
      <c r="E131" s="276">
        <v>1</v>
      </c>
      <c r="F131" s="276">
        <v>1</v>
      </c>
      <c r="G131" s="276">
        <v>1</v>
      </c>
      <c r="H131" s="276">
        <v>1</v>
      </c>
    </row>
    <row r="132" spans="3:8" ht="15" customHeight="1" x14ac:dyDescent="0.35">
      <c r="C132" s="42" t="s">
        <v>203</v>
      </c>
      <c r="D132" s="275">
        <v>1987.8</v>
      </c>
      <c r="E132" s="275">
        <v>1992</v>
      </c>
      <c r="F132" s="275">
        <v>1999.6</v>
      </c>
      <c r="G132" s="275">
        <v>2011.4</v>
      </c>
      <c r="H132" s="275">
        <v>2027.2</v>
      </c>
    </row>
    <row r="133" spans="3:8" ht="15" customHeight="1" x14ac:dyDescent="0.35">
      <c r="C133" s="44" t="s">
        <v>204</v>
      </c>
      <c r="D133" s="276">
        <v>0.54</v>
      </c>
      <c r="E133" s="276">
        <v>0.53</v>
      </c>
      <c r="F133" s="276">
        <v>0.43</v>
      </c>
      <c r="G133" s="276">
        <v>0.95</v>
      </c>
      <c r="H133" s="276">
        <v>0.63</v>
      </c>
    </row>
    <row r="134" spans="3:8" ht="15" customHeight="1" x14ac:dyDescent="0.35">
      <c r="C134" s="44" t="s">
        <v>205</v>
      </c>
      <c r="D134" s="276">
        <v>0.54</v>
      </c>
      <c r="E134" s="276">
        <v>0.53</v>
      </c>
      <c r="F134" s="276">
        <v>0.43</v>
      </c>
      <c r="G134" s="276">
        <v>0.95</v>
      </c>
      <c r="H134" s="276">
        <v>0.63</v>
      </c>
    </row>
    <row r="135" spans="3:8" ht="15" customHeight="1" x14ac:dyDescent="0.35">
      <c r="C135" s="44" t="s">
        <v>206</v>
      </c>
      <c r="D135" s="276">
        <v>0.96</v>
      </c>
      <c r="E135" s="276">
        <v>1.07</v>
      </c>
      <c r="F135" s="276">
        <v>1.06</v>
      </c>
      <c r="G135" s="276">
        <v>1.23</v>
      </c>
      <c r="H135" s="276">
        <v>0.86</v>
      </c>
    </row>
    <row r="136" spans="3:8" ht="15" customHeight="1" x14ac:dyDescent="0.35">
      <c r="C136" s="40" t="s">
        <v>207</v>
      </c>
      <c r="D136" s="277">
        <v>0</v>
      </c>
      <c r="E136" s="277">
        <v>0</v>
      </c>
      <c r="F136" s="277">
        <v>0</v>
      </c>
      <c r="G136" s="277">
        <v>0</v>
      </c>
      <c r="H136" s="277">
        <v>0</v>
      </c>
    </row>
    <row r="137" spans="3:8" ht="15" customHeight="1" x14ac:dyDescent="0.35">
      <c r="C137" s="40" t="s">
        <v>208</v>
      </c>
      <c r="D137" s="276">
        <v>0.03</v>
      </c>
      <c r="E137" s="276">
        <v>0.12</v>
      </c>
      <c r="F137" s="276">
        <v>-0.13</v>
      </c>
      <c r="G137" s="276">
        <v>0.01</v>
      </c>
      <c r="H137" s="276">
        <v>0.39</v>
      </c>
    </row>
    <row r="138" spans="3:8" ht="15" customHeight="1" x14ac:dyDescent="0.35">
      <c r="C138" s="40" t="s">
        <v>209</v>
      </c>
      <c r="D138" s="276">
        <v>0.17</v>
      </c>
      <c r="E138" s="276">
        <v>0.62</v>
      </c>
      <c r="F138" s="276">
        <v>-0.64</v>
      </c>
      <c r="G138" s="276">
        <v>0.05</v>
      </c>
      <c r="H138" s="276">
        <v>1.94</v>
      </c>
    </row>
    <row r="139" spans="3:8" ht="15" customHeight="1" x14ac:dyDescent="0.35">
      <c r="C139" s="38" t="s">
        <v>210</v>
      </c>
      <c r="D139" s="279"/>
      <c r="E139" s="279"/>
      <c r="F139" s="279"/>
      <c r="G139" s="279"/>
      <c r="H139" s="279"/>
    </row>
    <row r="140" spans="3:8" ht="15" customHeight="1" x14ac:dyDescent="0.35">
      <c r="C140" s="40" t="s">
        <v>211</v>
      </c>
      <c r="D140" s="276">
        <v>0.08</v>
      </c>
      <c r="E140" s="276">
        <v>0.08</v>
      </c>
      <c r="F140" s="276">
        <v>0.08</v>
      </c>
      <c r="G140" s="276">
        <v>0.08</v>
      </c>
      <c r="H140" s="276">
        <v>0.02</v>
      </c>
    </row>
    <row r="141" spans="3:8" ht="15" customHeight="1" x14ac:dyDescent="0.35">
      <c r="C141" s="40" t="s">
        <v>212</v>
      </c>
      <c r="D141" s="276">
        <v>0.08</v>
      </c>
      <c r="E141" s="276">
        <v>0.08</v>
      </c>
      <c r="F141" s="276">
        <v>0.08</v>
      </c>
      <c r="G141" s="276">
        <v>0.08</v>
      </c>
      <c r="H141" s="276">
        <v>0.02</v>
      </c>
    </row>
    <row r="142" spans="3:8" ht="15" customHeight="1" x14ac:dyDescent="0.35">
      <c r="C142" s="40" t="s">
        <v>213</v>
      </c>
      <c r="D142" s="277">
        <v>0</v>
      </c>
      <c r="E142" s="277">
        <v>0</v>
      </c>
      <c r="F142" s="277">
        <v>0</v>
      </c>
      <c r="G142" s="277">
        <v>0</v>
      </c>
      <c r="H142" s="277">
        <v>0</v>
      </c>
    </row>
    <row r="143" spans="3:8" ht="15" customHeight="1" x14ac:dyDescent="0.35">
      <c r="C143" s="40" t="s">
        <v>214</v>
      </c>
      <c r="D143" s="277">
        <v>0</v>
      </c>
      <c r="E143" s="277">
        <v>0</v>
      </c>
      <c r="F143" s="277">
        <v>0</v>
      </c>
      <c r="G143" s="277">
        <v>0</v>
      </c>
      <c r="H143" s="277">
        <v>0</v>
      </c>
    </row>
    <row r="144" spans="3:8" ht="15" customHeight="1" x14ac:dyDescent="0.35">
      <c r="C144" s="38" t="s">
        <v>215</v>
      </c>
      <c r="D144" s="279"/>
      <c r="E144" s="279"/>
      <c r="F144" s="279"/>
      <c r="G144" s="279"/>
      <c r="H144" s="279"/>
    </row>
    <row r="145" spans="3:8" ht="15" customHeight="1" x14ac:dyDescent="0.35">
      <c r="C145" s="40" t="s">
        <v>216</v>
      </c>
      <c r="D145" s="275">
        <v>3377</v>
      </c>
      <c r="E145" s="275">
        <v>3326</v>
      </c>
      <c r="F145" s="275">
        <v>3308</v>
      </c>
      <c r="G145" s="275">
        <v>3186</v>
      </c>
      <c r="H145" s="275">
        <v>3172</v>
      </c>
    </row>
    <row r="146" spans="3:8" ht="15" customHeight="1" x14ac:dyDescent="0.35">
      <c r="C146" s="40" t="s">
        <v>217</v>
      </c>
      <c r="D146" s="275">
        <v>8230</v>
      </c>
      <c r="E146" s="275">
        <v>8209</v>
      </c>
      <c r="F146" s="275">
        <v>8100</v>
      </c>
      <c r="G146" s="275">
        <v>7928</v>
      </c>
      <c r="H146" s="275">
        <v>7577</v>
      </c>
    </row>
    <row r="147" spans="3:8" ht="15" customHeight="1" x14ac:dyDescent="0.35">
      <c r="C147" s="38" t="s">
        <v>218</v>
      </c>
      <c r="D147" s="279"/>
      <c r="E147" s="279"/>
      <c r="F147" s="279"/>
      <c r="G147" s="279"/>
      <c r="H147" s="279"/>
    </row>
    <row r="148" spans="3:8" ht="15" customHeight="1" x14ac:dyDescent="0.35">
      <c r="C148" s="40" t="s">
        <v>219</v>
      </c>
      <c r="D148" s="275">
        <v>4853</v>
      </c>
      <c r="E148" s="275">
        <v>4883</v>
      </c>
      <c r="F148" s="275">
        <v>4792</v>
      </c>
      <c r="G148" s="275">
        <v>4742</v>
      </c>
      <c r="H148" s="275">
        <v>4405</v>
      </c>
    </row>
    <row r="149" spans="3:8" ht="15" customHeight="1" x14ac:dyDescent="0.35">
      <c r="C149" s="42" t="s">
        <v>220</v>
      </c>
      <c r="D149" s="275">
        <v>3579</v>
      </c>
      <c r="E149" s="275">
        <v>3583</v>
      </c>
      <c r="F149" s="275">
        <v>3544</v>
      </c>
      <c r="G149" s="275">
        <v>3567</v>
      </c>
      <c r="H149" s="275">
        <v>3357</v>
      </c>
    </row>
    <row r="150" spans="3:8" ht="15" customHeight="1" x14ac:dyDescent="0.35">
      <c r="C150" s="44" t="s">
        <v>221</v>
      </c>
      <c r="D150" s="275">
        <v>610</v>
      </c>
      <c r="E150" s="275">
        <v>644</v>
      </c>
      <c r="F150" s="275">
        <v>652</v>
      </c>
      <c r="G150" s="275">
        <v>689</v>
      </c>
      <c r="H150" s="275">
        <v>688</v>
      </c>
    </row>
    <row r="151" spans="3:8" ht="15" customHeight="1" x14ac:dyDescent="0.35">
      <c r="C151" s="42" t="s">
        <v>222</v>
      </c>
      <c r="D151" s="275">
        <v>1274</v>
      </c>
      <c r="E151" s="275">
        <v>1300</v>
      </c>
      <c r="F151" s="275">
        <v>1248</v>
      </c>
      <c r="G151" s="275">
        <v>1175</v>
      </c>
      <c r="H151" s="275">
        <v>1048</v>
      </c>
    </row>
    <row r="152" spans="3:8" ht="15" customHeight="1" x14ac:dyDescent="0.35">
      <c r="C152" s="44" t="s">
        <v>223</v>
      </c>
      <c r="D152" s="275">
        <v>1274</v>
      </c>
      <c r="E152" s="275">
        <v>1300</v>
      </c>
      <c r="F152" s="275">
        <v>1248</v>
      </c>
      <c r="G152" s="275">
        <v>1175</v>
      </c>
      <c r="H152" s="275">
        <v>1048</v>
      </c>
    </row>
    <row r="153" spans="3:8" ht="15" customHeight="1" x14ac:dyDescent="0.35">
      <c r="C153" s="49" t="s">
        <v>224</v>
      </c>
      <c r="D153" s="275">
        <v>185</v>
      </c>
      <c r="E153" s="275">
        <v>186</v>
      </c>
      <c r="F153" s="275">
        <v>185</v>
      </c>
      <c r="G153" s="275">
        <v>185</v>
      </c>
      <c r="H153" s="275">
        <v>179</v>
      </c>
    </row>
    <row r="154" spans="3:8" ht="15" customHeight="1" x14ac:dyDescent="0.35">
      <c r="C154" s="49" t="s">
        <v>225</v>
      </c>
      <c r="D154" s="275">
        <v>909</v>
      </c>
      <c r="E154" s="275">
        <v>887</v>
      </c>
      <c r="F154" s="275">
        <v>832</v>
      </c>
      <c r="G154" s="275">
        <v>749</v>
      </c>
      <c r="H154" s="275">
        <v>638</v>
      </c>
    </row>
    <row r="155" spans="3:8" ht="15" customHeight="1" x14ac:dyDescent="0.35">
      <c r="C155" s="38" t="s">
        <v>226</v>
      </c>
      <c r="D155" s="279"/>
      <c r="E155" s="279"/>
      <c r="F155" s="279"/>
      <c r="G155" s="279"/>
      <c r="H155" s="279"/>
    </row>
    <row r="156" spans="3:8" ht="15" customHeight="1" x14ac:dyDescent="0.35">
      <c r="C156" s="52" t="s">
        <v>227</v>
      </c>
      <c r="D156" s="275">
        <v>4853</v>
      </c>
      <c r="E156" s="275">
        <v>4883</v>
      </c>
      <c r="F156" s="275">
        <v>4792</v>
      </c>
      <c r="G156" s="275">
        <v>4742</v>
      </c>
      <c r="H156" s="275">
        <v>4405</v>
      </c>
    </row>
    <row r="157" spans="3:8" ht="15" customHeight="1" x14ac:dyDescent="0.35">
      <c r="C157" s="42" t="s">
        <v>228</v>
      </c>
      <c r="D157" s="275">
        <v>3579</v>
      </c>
      <c r="E157" s="275">
        <v>3583</v>
      </c>
      <c r="F157" s="275">
        <v>3544</v>
      </c>
      <c r="G157" s="275">
        <v>3567</v>
      </c>
      <c r="H157" s="275">
        <v>3357</v>
      </c>
    </row>
    <row r="158" spans="3:8" ht="15" customHeight="1" x14ac:dyDescent="0.35">
      <c r="C158" s="42" t="s">
        <v>229</v>
      </c>
      <c r="D158" s="275">
        <v>1274</v>
      </c>
      <c r="E158" s="275">
        <v>1300</v>
      </c>
      <c r="F158" s="275">
        <v>1248</v>
      </c>
      <c r="G158" s="275">
        <v>1175</v>
      </c>
      <c r="H158" s="275">
        <v>1048</v>
      </c>
    </row>
    <row r="159" spans="3:8" ht="15" customHeight="1" x14ac:dyDescent="0.35">
      <c r="C159" s="38" t="s">
        <v>230</v>
      </c>
      <c r="D159" s="279"/>
      <c r="E159" s="279"/>
      <c r="F159" s="279"/>
      <c r="G159" s="279"/>
      <c r="H159" s="279"/>
    </row>
    <row r="160" spans="3:8" ht="15" customHeight="1" x14ac:dyDescent="0.35">
      <c r="C160" s="52" t="s">
        <v>231</v>
      </c>
      <c r="D160" s="275">
        <v>847</v>
      </c>
      <c r="E160" s="275">
        <v>790</v>
      </c>
      <c r="F160" s="275">
        <v>726</v>
      </c>
      <c r="G160" s="275">
        <v>683</v>
      </c>
      <c r="H160" s="275">
        <v>604</v>
      </c>
    </row>
    <row r="161" spans="3:8" ht="15" customHeight="1" x14ac:dyDescent="0.35">
      <c r="C161" s="42" t="s">
        <v>232</v>
      </c>
      <c r="D161" s="275">
        <v>847</v>
      </c>
      <c r="E161" s="275">
        <v>790</v>
      </c>
      <c r="F161" s="275">
        <v>726</v>
      </c>
      <c r="G161" s="275">
        <v>683</v>
      </c>
      <c r="H161" s="275">
        <v>604</v>
      </c>
    </row>
    <row r="162" spans="3:8" ht="15" customHeight="1" x14ac:dyDescent="0.35">
      <c r="C162" s="38" t="s">
        <v>233</v>
      </c>
      <c r="D162" s="279"/>
      <c r="E162" s="279"/>
      <c r="F162" s="279"/>
      <c r="G162" s="279"/>
      <c r="H162" s="279"/>
    </row>
    <row r="163" spans="3:8" ht="15" customHeight="1" x14ac:dyDescent="0.35">
      <c r="C163" s="40" t="s">
        <v>234</v>
      </c>
      <c r="D163" s="275">
        <v>3772</v>
      </c>
      <c r="E163" s="275">
        <v>3911</v>
      </c>
      <c r="F163" s="275">
        <v>4016</v>
      </c>
      <c r="G163" s="275">
        <v>4049</v>
      </c>
      <c r="H163" s="275">
        <v>4318</v>
      </c>
    </row>
    <row r="164" spans="3:8" ht="15" customHeight="1" x14ac:dyDescent="0.35">
      <c r="C164" s="40" t="s">
        <v>235</v>
      </c>
      <c r="D164" s="275">
        <v>3723</v>
      </c>
      <c r="E164" s="275">
        <v>3849</v>
      </c>
      <c r="F164" s="275">
        <v>3945</v>
      </c>
      <c r="G164" s="275">
        <v>3969</v>
      </c>
      <c r="H164" s="275">
        <v>4210</v>
      </c>
    </row>
    <row r="165" spans="3:8" ht="15" customHeight="1" x14ac:dyDescent="0.35">
      <c r="C165" s="42" t="s">
        <v>236</v>
      </c>
      <c r="D165" s="276">
        <v>39.69</v>
      </c>
      <c r="E165" s="276">
        <v>50.22</v>
      </c>
      <c r="F165" s="276">
        <v>57.51</v>
      </c>
      <c r="G165" s="276">
        <v>64.8</v>
      </c>
      <c r="H165" s="276">
        <v>87.48</v>
      </c>
    </row>
    <row r="166" spans="3:8" ht="15" customHeight="1" x14ac:dyDescent="0.35">
      <c r="C166" s="44" t="s">
        <v>237</v>
      </c>
      <c r="D166" s="276">
        <v>49</v>
      </c>
      <c r="E166" s="276">
        <v>62</v>
      </c>
      <c r="F166" s="276">
        <v>71</v>
      </c>
      <c r="G166" s="276">
        <v>80</v>
      </c>
      <c r="H166" s="275">
        <v>108</v>
      </c>
    </row>
    <row r="167" spans="3:8" ht="15" customHeight="1" x14ac:dyDescent="0.35">
      <c r="C167" s="44" t="s">
        <v>238</v>
      </c>
      <c r="D167" s="276">
        <v>9.31</v>
      </c>
      <c r="E167" s="276">
        <v>11.78</v>
      </c>
      <c r="F167" s="276">
        <v>13.49</v>
      </c>
      <c r="G167" s="276">
        <v>15.2</v>
      </c>
      <c r="H167" s="276">
        <v>20.52</v>
      </c>
    </row>
    <row r="168" spans="3:8" ht="15" customHeight="1" x14ac:dyDescent="0.35">
      <c r="C168" s="38" t="s">
        <v>239</v>
      </c>
      <c r="D168" s="279"/>
      <c r="E168" s="279"/>
      <c r="F168" s="279"/>
      <c r="G168" s="279"/>
      <c r="H168" s="279"/>
    </row>
    <row r="169" spans="3:8" ht="15" customHeight="1" x14ac:dyDescent="0.35">
      <c r="C169" s="40" t="s">
        <v>239</v>
      </c>
      <c r="D169" s="276">
        <v>23.51</v>
      </c>
      <c r="E169" s="276">
        <v>26.82</v>
      </c>
      <c r="F169" s="276">
        <v>25.15</v>
      </c>
      <c r="G169" s="276">
        <v>24.08</v>
      </c>
      <c r="H169" s="276">
        <v>22.32</v>
      </c>
    </row>
    <row r="170" spans="3:8" ht="15" customHeight="1" x14ac:dyDescent="0.35">
      <c r="C170" s="42" t="s">
        <v>240</v>
      </c>
      <c r="D170" s="276">
        <v>23.46</v>
      </c>
      <c r="E170" s="276">
        <v>26.78</v>
      </c>
      <c r="F170" s="276">
        <v>25.05</v>
      </c>
      <c r="G170" s="276">
        <v>24.02</v>
      </c>
      <c r="H170" s="276">
        <v>22.2</v>
      </c>
    </row>
    <row r="171" spans="3:8" ht="15" customHeight="1" x14ac:dyDescent="0.35">
      <c r="C171" s="42" t="s">
        <v>241</v>
      </c>
      <c r="D171" s="276">
        <v>0.05</v>
      </c>
      <c r="E171" s="276">
        <v>0.04</v>
      </c>
      <c r="F171" s="276">
        <v>0.11</v>
      </c>
      <c r="G171" s="276">
        <v>0.06</v>
      </c>
      <c r="H171" s="276">
        <v>0.13</v>
      </c>
    </row>
    <row r="172" spans="3:8" ht="15" customHeight="1" x14ac:dyDescent="0.35">
      <c r="C172" s="38" t="s">
        <v>242</v>
      </c>
      <c r="D172" s="279"/>
      <c r="E172" s="279"/>
      <c r="F172" s="279"/>
      <c r="G172" s="279"/>
      <c r="H172" s="279"/>
    </row>
    <row r="173" spans="3:8" ht="15" customHeight="1" x14ac:dyDescent="0.35">
      <c r="C173" s="40" t="s">
        <v>243</v>
      </c>
      <c r="D173" s="277">
        <v>19646</v>
      </c>
      <c r="E173" s="277">
        <v>20370</v>
      </c>
      <c r="F173" s="277">
        <v>20835</v>
      </c>
      <c r="G173" s="277">
        <v>20669</v>
      </c>
      <c r="H173" s="277">
        <v>20845</v>
      </c>
    </row>
    <row r="174" spans="3:8" ht="15" customHeight="1" x14ac:dyDescent="0.35">
      <c r="C174" s="40" t="s">
        <v>244</v>
      </c>
      <c r="D174" s="275">
        <v>3355</v>
      </c>
      <c r="E174" s="275">
        <v>3276</v>
      </c>
      <c r="F174" s="277"/>
      <c r="G174" s="277"/>
      <c r="H174" s="277"/>
    </row>
    <row r="175" spans="3:8" ht="15" customHeight="1" x14ac:dyDescent="0.35">
      <c r="C175" s="40" t="s">
        <v>245</v>
      </c>
      <c r="D175" s="275">
        <v>1793</v>
      </c>
      <c r="E175" s="275">
        <v>1835</v>
      </c>
      <c r="F175" s="277"/>
      <c r="G175" s="277"/>
      <c r="H175" s="277"/>
    </row>
    <row r="176" spans="3:8" ht="15" customHeight="1" x14ac:dyDescent="0.35">
      <c r="C176" s="40" t="s">
        <v>246</v>
      </c>
      <c r="D176" s="275">
        <v>8230</v>
      </c>
      <c r="E176" s="275">
        <v>8209</v>
      </c>
      <c r="F176" s="275">
        <v>8100</v>
      </c>
      <c r="G176" s="275">
        <v>7928</v>
      </c>
      <c r="H176" s="275">
        <v>7577</v>
      </c>
    </row>
    <row r="177" spans="3:8" ht="15" customHeight="1" x14ac:dyDescent="0.35">
      <c r="C177" s="40" t="s">
        <v>247</v>
      </c>
      <c r="D177" s="276">
        <v>0.18</v>
      </c>
      <c r="E177" s="276">
        <v>0.19</v>
      </c>
      <c r="F177" s="276">
        <v>0.19</v>
      </c>
      <c r="G177" s="276">
        <v>0.21</v>
      </c>
      <c r="H177" s="276">
        <v>0.2</v>
      </c>
    </row>
    <row r="178" spans="3:8" ht="15" customHeight="1" x14ac:dyDescent="0.35">
      <c r="C178" s="40" t="s">
        <v>248</v>
      </c>
      <c r="D178" s="276">
        <v>0.18</v>
      </c>
      <c r="E178" s="276">
        <v>0.18</v>
      </c>
      <c r="F178" s="276">
        <v>0.18</v>
      </c>
      <c r="G178" s="276">
        <v>0.22</v>
      </c>
      <c r="H178" s="276">
        <v>0.2</v>
      </c>
    </row>
    <row r="179" spans="3:8" ht="15" customHeight="1" x14ac:dyDescent="0.35">
      <c r="C179" s="40" t="s">
        <v>249</v>
      </c>
      <c r="D179" s="275">
        <v>151</v>
      </c>
      <c r="E179" s="275">
        <v>200</v>
      </c>
      <c r="F179" s="275">
        <v>145</v>
      </c>
      <c r="G179" s="275">
        <v>308</v>
      </c>
      <c r="H179" s="276">
        <v>80</v>
      </c>
    </row>
    <row r="180" spans="3:8" ht="15" customHeight="1" x14ac:dyDescent="0.35">
      <c r="C180" s="38" t="s">
        <v>250</v>
      </c>
      <c r="D180" s="279"/>
      <c r="E180" s="279"/>
      <c r="F180" s="279"/>
      <c r="G180" s="279"/>
      <c r="H180" s="279"/>
    </row>
    <row r="181" spans="3:8" ht="15" customHeight="1" x14ac:dyDescent="0.35">
      <c r="C181" s="40" t="s">
        <v>251</v>
      </c>
      <c r="D181" s="275">
        <v>2127</v>
      </c>
      <c r="E181" s="275">
        <v>2141</v>
      </c>
      <c r="F181" s="275">
        <v>2132</v>
      </c>
      <c r="G181" s="275">
        <v>2525</v>
      </c>
      <c r="H181" s="275">
        <v>1734</v>
      </c>
    </row>
    <row r="182" spans="3:8" ht="15" customHeight="1" x14ac:dyDescent="0.35">
      <c r="C182" s="40" t="s">
        <v>252</v>
      </c>
      <c r="D182" s="275">
        <v>1917</v>
      </c>
      <c r="E182" s="275">
        <v>2133</v>
      </c>
      <c r="F182" s="275">
        <v>2111</v>
      </c>
      <c r="G182" s="275">
        <v>2466</v>
      </c>
      <c r="H182" s="275">
        <v>1734</v>
      </c>
    </row>
    <row r="183" spans="3:8" ht="15" customHeight="1" x14ac:dyDescent="0.35">
      <c r="C183" s="40" t="s">
        <v>253</v>
      </c>
      <c r="D183" s="275">
        <v>1917</v>
      </c>
      <c r="E183" s="275">
        <v>2133</v>
      </c>
      <c r="F183" s="275">
        <v>2111</v>
      </c>
      <c r="G183" s="275">
        <v>2466</v>
      </c>
      <c r="H183" s="275">
        <v>1734</v>
      </c>
    </row>
    <row r="184" spans="3:8" ht="15" customHeight="1" x14ac:dyDescent="0.35">
      <c r="C184" s="40" t="s">
        <v>254</v>
      </c>
      <c r="D184" s="275">
        <v>3358</v>
      </c>
      <c r="E184" s="275">
        <v>3324</v>
      </c>
      <c r="F184" s="275">
        <v>3301</v>
      </c>
      <c r="G184" s="275">
        <v>3179</v>
      </c>
      <c r="H184" s="275">
        <v>3172</v>
      </c>
    </row>
    <row r="185" spans="3:8" ht="15" customHeight="1" x14ac:dyDescent="0.35">
      <c r="C185" s="40" t="s">
        <v>255</v>
      </c>
      <c r="D185" s="275">
        <v>8211</v>
      </c>
      <c r="E185" s="275">
        <v>8207</v>
      </c>
      <c r="F185" s="275">
        <v>8093</v>
      </c>
      <c r="G185" s="275">
        <v>7921</v>
      </c>
      <c r="H185" s="275">
        <v>7577</v>
      </c>
    </row>
    <row r="186" spans="3:8" ht="15" customHeight="1" x14ac:dyDescent="0.35">
      <c r="C186" s="38" t="s">
        <v>256</v>
      </c>
      <c r="D186" s="279"/>
      <c r="E186" s="279"/>
      <c r="F186" s="279"/>
      <c r="G186" s="279"/>
      <c r="H186" s="279"/>
    </row>
    <row r="187" spans="3:8" ht="15" customHeight="1" x14ac:dyDescent="0.35">
      <c r="C187" s="40" t="s">
        <v>257</v>
      </c>
      <c r="D187" s="275">
        <v>-169</v>
      </c>
      <c r="E187" s="276">
        <v>-48</v>
      </c>
      <c r="F187" s="276">
        <v>-41</v>
      </c>
      <c r="G187" s="276">
        <v>11</v>
      </c>
      <c r="H187" s="276">
        <v>-72</v>
      </c>
    </row>
    <row r="188" spans="3:8" ht="15" customHeight="1" x14ac:dyDescent="0.35">
      <c r="C188" s="42" t="s">
        <v>258</v>
      </c>
      <c r="D188" s="275">
        <v>-169</v>
      </c>
      <c r="E188" s="276">
        <v>-48</v>
      </c>
      <c r="F188" s="276">
        <v>-41</v>
      </c>
      <c r="G188" s="276">
        <v>11</v>
      </c>
      <c r="H188" s="276">
        <v>-72</v>
      </c>
    </row>
    <row r="189" spans="3:8" ht="15" customHeight="1" x14ac:dyDescent="0.35">
      <c r="C189" s="38" t="s">
        <v>259</v>
      </c>
      <c r="D189" s="279"/>
      <c r="E189" s="279"/>
      <c r="F189" s="279"/>
      <c r="G189" s="279"/>
      <c r="H189" s="279"/>
    </row>
    <row r="190" spans="3:8" ht="15" customHeight="1" x14ac:dyDescent="0.35">
      <c r="C190" s="40" t="s">
        <v>260</v>
      </c>
      <c r="D190" s="277"/>
      <c r="E190" s="277"/>
      <c r="F190" s="277"/>
      <c r="G190" s="277"/>
      <c r="H190" s="277"/>
    </row>
    <row r="191" spans="3:8" ht="15" customHeight="1" x14ac:dyDescent="0.35">
      <c r="C191" s="42" t="s">
        <v>261</v>
      </c>
      <c r="D191" s="276">
        <v>0.04</v>
      </c>
      <c r="E191" s="276">
        <v>38</v>
      </c>
      <c r="F191" s="276">
        <v>39</v>
      </c>
      <c r="G191" s="276">
        <v>38</v>
      </c>
      <c r="H191" s="276">
        <v>24</v>
      </c>
    </row>
    <row r="192" spans="3:8" ht="15" customHeight="1" x14ac:dyDescent="0.35">
      <c r="C192" s="42" t="s">
        <v>262</v>
      </c>
      <c r="D192" s="275">
        <v>133</v>
      </c>
      <c r="E192" s="275">
        <v>135</v>
      </c>
      <c r="F192" s="275">
        <v>134</v>
      </c>
      <c r="G192" s="275">
        <v>133</v>
      </c>
      <c r="H192" s="275">
        <v>133</v>
      </c>
    </row>
    <row r="193" spans="1:8" ht="15" customHeight="1" x14ac:dyDescent="0.35">
      <c r="C193" s="38" t="s">
        <v>263</v>
      </c>
      <c r="D193" s="279"/>
      <c r="E193" s="279"/>
      <c r="F193" s="279"/>
      <c r="G193" s="279"/>
      <c r="H193" s="279"/>
    </row>
    <row r="194" spans="1:8" ht="15" customHeight="1" x14ac:dyDescent="0.35">
      <c r="C194" s="40" t="s">
        <v>264</v>
      </c>
      <c r="D194" s="277">
        <v>11327</v>
      </c>
      <c r="E194" s="277">
        <v>11660</v>
      </c>
      <c r="F194" s="277">
        <v>12450</v>
      </c>
      <c r="G194" s="277">
        <v>12562</v>
      </c>
      <c r="H194" s="277">
        <v>12356</v>
      </c>
    </row>
    <row r="195" spans="1:8" ht="15" customHeight="1" x14ac:dyDescent="0.35">
      <c r="C195" s="40" t="s">
        <v>265</v>
      </c>
      <c r="D195" s="275">
        <v>6474</v>
      </c>
      <c r="E195" s="275">
        <v>6777</v>
      </c>
      <c r="F195" s="275">
        <v>7658</v>
      </c>
      <c r="G195" s="275">
        <v>7820</v>
      </c>
      <c r="H195" s="275">
        <v>7951</v>
      </c>
    </row>
    <row r="196" spans="1:8" ht="15" customHeight="1" x14ac:dyDescent="0.35">
      <c r="C196" s="52" t="s">
        <v>266</v>
      </c>
      <c r="D196" s="275">
        <v>963</v>
      </c>
      <c r="E196" s="275">
        <v>1037</v>
      </c>
      <c r="F196" s="275">
        <v>1006</v>
      </c>
      <c r="G196" s="275">
        <v>886</v>
      </c>
      <c r="H196" s="275">
        <v>761</v>
      </c>
    </row>
    <row r="197" spans="1:8" ht="15" customHeight="1" x14ac:dyDescent="0.35">
      <c r="C197" s="52" t="s">
        <v>96</v>
      </c>
      <c r="D197" s="277">
        <v>16269</v>
      </c>
      <c r="E197" s="277">
        <v>17044</v>
      </c>
      <c r="F197" s="277">
        <v>17527</v>
      </c>
      <c r="G197" s="277">
        <v>17483</v>
      </c>
      <c r="H197" s="277">
        <v>17673</v>
      </c>
    </row>
    <row r="198" spans="1:8" ht="15" customHeight="1" x14ac:dyDescent="0.35">
      <c r="C198" s="52" t="s">
        <v>267</v>
      </c>
      <c r="D198" s="275">
        <v>3266</v>
      </c>
      <c r="E198" s="275">
        <v>3560</v>
      </c>
      <c r="F198" s="275">
        <v>3751</v>
      </c>
      <c r="G198" s="275">
        <v>3787</v>
      </c>
      <c r="H198" s="275">
        <v>4020</v>
      </c>
    </row>
    <row r="199" spans="1:8" ht="15" customHeight="1" x14ac:dyDescent="0.35">
      <c r="C199" s="38" t="s">
        <v>268</v>
      </c>
      <c r="D199" s="279"/>
      <c r="E199" s="279"/>
      <c r="F199" s="279"/>
      <c r="G199" s="279"/>
      <c r="H199" s="279"/>
    </row>
    <row r="200" spans="1:8" ht="15" customHeight="1" x14ac:dyDescent="0.35">
      <c r="C200" s="40" t="s">
        <v>269</v>
      </c>
      <c r="D200" s="277">
        <v>81600</v>
      </c>
      <c r="E200" s="277">
        <v>89000</v>
      </c>
      <c r="F200" s="277">
        <v>94900</v>
      </c>
      <c r="G200" s="277">
        <v>98800</v>
      </c>
      <c r="H200" s="277">
        <v>99000</v>
      </c>
    </row>
    <row r="202" spans="1:8" s="56" customFormat="1" x14ac:dyDescent="0.35"/>
    <row r="203" spans="1:8" x14ac:dyDescent="0.35">
      <c r="C203" s="17" t="s">
        <v>564</v>
      </c>
      <c r="D203" s="32" t="s">
        <v>74</v>
      </c>
      <c r="E203" s="32" t="s">
        <v>75</v>
      </c>
      <c r="F203" s="32" t="s">
        <v>76</v>
      </c>
      <c r="G203" s="32" t="s">
        <v>77</v>
      </c>
      <c r="H203" s="32" t="s">
        <v>78</v>
      </c>
    </row>
    <row r="204" spans="1:8" x14ac:dyDescent="0.35">
      <c r="C204" t="s">
        <v>563</v>
      </c>
      <c r="D204">
        <f>D22</f>
        <v>19646</v>
      </c>
      <c r="E204">
        <f t="shared" ref="E204:H204" si="0">E22</f>
        <v>20370</v>
      </c>
      <c r="F204">
        <f t="shared" si="0"/>
        <v>20835</v>
      </c>
      <c r="G204">
        <f t="shared" si="0"/>
        <v>20669</v>
      </c>
      <c r="H204">
        <f t="shared" si="0"/>
        <v>20845</v>
      </c>
    </row>
    <row r="206" spans="1:8" x14ac:dyDescent="0.35">
      <c r="A206" s="17" t="s">
        <v>96</v>
      </c>
      <c r="B206" s="17"/>
      <c r="D206" s="17"/>
      <c r="E206" s="17"/>
      <c r="F206" s="17"/>
      <c r="G206" s="17"/>
      <c r="H206" s="17"/>
    </row>
    <row r="207" spans="1:8" x14ac:dyDescent="0.35">
      <c r="C207" t="s">
        <v>565</v>
      </c>
      <c r="D207">
        <f>D26</f>
        <v>6474</v>
      </c>
      <c r="E207">
        <f t="shared" ref="E207:H207" si="1">E26</f>
        <v>6777</v>
      </c>
      <c r="F207">
        <f t="shared" si="1"/>
        <v>7658</v>
      </c>
      <c r="G207">
        <f t="shared" si="1"/>
        <v>7820</v>
      </c>
      <c r="H207">
        <f t="shared" si="1"/>
        <v>7951</v>
      </c>
    </row>
    <row r="208" spans="1:8" x14ac:dyDescent="0.35">
      <c r="D208">
        <f>D204-D207</f>
        <v>13172</v>
      </c>
    </row>
    <row r="209" spans="1:8" x14ac:dyDescent="0.35">
      <c r="A209" s="17" t="s">
        <v>566</v>
      </c>
      <c r="B209" s="17"/>
      <c r="D209">
        <f>D208/D204</f>
        <v>0.67046727069123491</v>
      </c>
    </row>
    <row r="210" spans="1:8" x14ac:dyDescent="0.35">
      <c r="C210" s="17" t="str">
        <f>C30</f>
        <v>Selling, General &amp; Administrative Expenses - Total</v>
      </c>
      <c r="D210" s="17">
        <f>D30</f>
        <v>4113</v>
      </c>
      <c r="E210" s="17">
        <f t="shared" ref="E210:H210" si="2">E30</f>
        <v>4350</v>
      </c>
      <c r="F210" s="17">
        <f t="shared" si="2"/>
        <v>4477</v>
      </c>
      <c r="G210" s="17">
        <f t="shared" si="2"/>
        <v>4470</v>
      </c>
      <c r="H210" s="17">
        <f t="shared" si="2"/>
        <v>4624</v>
      </c>
    </row>
    <row r="211" spans="1:8" x14ac:dyDescent="0.35">
      <c r="C211" t="str">
        <f>C31</f>
        <v>Selling, General &amp; Administrative Expenses - Unclassified</v>
      </c>
      <c r="D211">
        <f t="shared" ref="D211:H213" si="3">D31</f>
        <v>244</v>
      </c>
      <c r="E211">
        <f t="shared" si="3"/>
        <v>330</v>
      </c>
      <c r="F211">
        <f t="shared" si="3"/>
        <v>367</v>
      </c>
      <c r="G211">
        <f t="shared" si="3"/>
        <v>363</v>
      </c>
      <c r="H211">
        <f t="shared" si="3"/>
        <v>312</v>
      </c>
    </row>
    <row r="212" spans="1:8" x14ac:dyDescent="0.35">
      <c r="C212" t="str">
        <f t="shared" ref="C212:C213" si="4">C32</f>
        <v>Labor &amp; Related Expenses including Stock-Based Compensation in Selling, General &amp; Administrative Expenses</v>
      </c>
      <c r="D212">
        <f t="shared" si="3"/>
        <v>3723</v>
      </c>
      <c r="E212">
        <f t="shared" si="3"/>
        <v>3849</v>
      </c>
      <c r="F212">
        <f t="shared" si="3"/>
        <v>3945</v>
      </c>
      <c r="G212">
        <f t="shared" si="3"/>
        <v>3969</v>
      </c>
      <c r="H212">
        <f t="shared" si="3"/>
        <v>4210</v>
      </c>
    </row>
    <row r="213" spans="1:8" x14ac:dyDescent="0.35">
      <c r="C213" t="str">
        <f t="shared" si="4"/>
        <v>Selling, General &amp; Administrative Expenses - Other - Total</v>
      </c>
      <c r="D213">
        <f t="shared" si="3"/>
        <v>146</v>
      </c>
      <c r="E213">
        <f t="shared" si="3"/>
        <v>171</v>
      </c>
      <c r="F213">
        <f t="shared" si="3"/>
        <v>165</v>
      </c>
      <c r="G213">
        <f t="shared" si="3"/>
        <v>138</v>
      </c>
      <c r="H213">
        <f t="shared" si="3"/>
        <v>102</v>
      </c>
    </row>
    <row r="214" spans="1:8" x14ac:dyDescent="0.35">
      <c r="C214" t="s">
        <v>569</v>
      </c>
      <c r="D214">
        <f>D35</f>
        <v>829</v>
      </c>
      <c r="E214">
        <f t="shared" ref="E214:H214" si="5">E35</f>
        <v>1034</v>
      </c>
      <c r="F214">
        <f t="shared" si="5"/>
        <v>600</v>
      </c>
      <c r="G214">
        <f t="shared" si="5"/>
        <v>451</v>
      </c>
      <c r="H214">
        <f t="shared" si="5"/>
        <v>693</v>
      </c>
    </row>
    <row r="215" spans="1:8" x14ac:dyDescent="0.35">
      <c r="C215" t="str">
        <f>C49</f>
        <v>Other Non-Operating Income/(Expense) - Total</v>
      </c>
      <c r="D215">
        <f>-D49</f>
        <v>26</v>
      </c>
      <c r="E215">
        <f t="shared" ref="E215:H215" si="6">-E49</f>
        <v>19</v>
      </c>
      <c r="F215">
        <f t="shared" si="6"/>
        <v>20</v>
      </c>
      <c r="G215">
        <f t="shared" si="6"/>
        <v>14</v>
      </c>
      <c r="H215">
        <f t="shared" si="6"/>
        <v>0</v>
      </c>
    </row>
    <row r="216" spans="1:8" x14ac:dyDescent="0.35">
      <c r="C216" t="str">
        <f>C52</f>
        <v>Non-Recurring Income/(Expense) - Total</v>
      </c>
      <c r="D216">
        <f>-D52</f>
        <v>840</v>
      </c>
      <c r="E216">
        <f t="shared" ref="E216:H216" si="7">-E52</f>
        <v>1079</v>
      </c>
      <c r="F216">
        <f t="shared" si="7"/>
        <v>1256</v>
      </c>
      <c r="G216">
        <f t="shared" si="7"/>
        <v>561</v>
      </c>
      <c r="H216">
        <f t="shared" si="7"/>
        <v>460</v>
      </c>
    </row>
    <row r="217" spans="1:8" x14ac:dyDescent="0.35">
      <c r="C217" s="17" t="s">
        <v>567</v>
      </c>
      <c r="D217" s="17">
        <f>SUM(D211:D216)</f>
        <v>5808</v>
      </c>
      <c r="E217" s="17">
        <f t="shared" ref="E217:H217" si="8">SUM(E211:E216)</f>
        <v>6482</v>
      </c>
      <c r="F217" s="17">
        <f t="shared" si="8"/>
        <v>6353</v>
      </c>
      <c r="G217" s="17">
        <f t="shared" si="8"/>
        <v>5496</v>
      </c>
      <c r="H217" s="17">
        <f t="shared" si="8"/>
        <v>5777</v>
      </c>
    </row>
    <row r="219" spans="1:8" x14ac:dyDescent="0.35">
      <c r="A219" s="17"/>
      <c r="B219" s="17"/>
      <c r="C219" s="17" t="s">
        <v>568</v>
      </c>
      <c r="D219">
        <f>D156</f>
        <v>4853</v>
      </c>
      <c r="E219">
        <f t="shared" ref="E219:H219" si="9">E156</f>
        <v>4883</v>
      </c>
      <c r="F219">
        <f t="shared" si="9"/>
        <v>4792</v>
      </c>
      <c r="G219">
        <f t="shared" si="9"/>
        <v>4742</v>
      </c>
      <c r="H219">
        <f t="shared" si="9"/>
        <v>4405</v>
      </c>
    </row>
    <row r="222" spans="1:8" x14ac:dyDescent="0.35">
      <c r="A222" s="17" t="s">
        <v>570</v>
      </c>
      <c r="B222" s="17"/>
    </row>
    <row r="223" spans="1:8" x14ac:dyDescent="0.35">
      <c r="C223" s="17" t="str">
        <f>C43</f>
        <v>Financing Income/(Expense) - Net - Total</v>
      </c>
      <c r="D223" s="17">
        <f>D43</f>
        <v>-865</v>
      </c>
      <c r="E223" s="17">
        <f t="shared" ref="E223:H223" si="10">E43</f>
        <v>-886</v>
      </c>
      <c r="F223" s="17">
        <f t="shared" si="10"/>
        <v>-825</v>
      </c>
      <c r="G223" s="17">
        <f t="shared" si="10"/>
        <v>-823</v>
      </c>
      <c r="H223" s="17">
        <f t="shared" si="10"/>
        <v>-749</v>
      </c>
    </row>
    <row r="224" spans="1:8" x14ac:dyDescent="0.35">
      <c r="C224" t="str">
        <f>C46</f>
        <v>Interest Expense - Net of Capitalized Interest</v>
      </c>
      <c r="D224">
        <f>D46</f>
        <v>963</v>
      </c>
      <c r="E224">
        <f t="shared" ref="E224:H224" si="11">E46</f>
        <v>1037</v>
      </c>
      <c r="F224">
        <f t="shared" si="11"/>
        <v>1006</v>
      </c>
      <c r="G224">
        <f t="shared" si="11"/>
        <v>886</v>
      </c>
      <c r="H224">
        <f t="shared" si="11"/>
        <v>761</v>
      </c>
    </row>
    <row r="225" spans="2:8" x14ac:dyDescent="0.35">
      <c r="C225" t="str">
        <f>C45</f>
        <v>Interest Income - Non-Bank</v>
      </c>
      <c r="D225">
        <f>D45</f>
        <v>91</v>
      </c>
      <c r="E225">
        <f t="shared" ref="E225:H225" si="12">E45</f>
        <v>134</v>
      </c>
      <c r="F225">
        <f t="shared" si="12"/>
        <v>168</v>
      </c>
      <c r="G225">
        <f t="shared" si="12"/>
        <v>56</v>
      </c>
      <c r="H225">
        <f t="shared" si="12"/>
        <v>12</v>
      </c>
    </row>
    <row r="226" spans="2:8" x14ac:dyDescent="0.35">
      <c r="C226" t="str">
        <f>C47</f>
        <v>Non-Interest Financial Income/(Expense) - Total</v>
      </c>
      <c r="D226">
        <f>D47</f>
        <v>7</v>
      </c>
      <c r="E226">
        <f t="shared" ref="E226:H226" si="13">E47</f>
        <v>17</v>
      </c>
      <c r="F226">
        <f t="shared" si="13"/>
        <v>13</v>
      </c>
      <c r="G226">
        <f t="shared" si="13"/>
        <v>7</v>
      </c>
      <c r="H226">
        <f t="shared" si="13"/>
        <v>0</v>
      </c>
    </row>
    <row r="227" spans="2:8" x14ac:dyDescent="0.35">
      <c r="C227" t="s">
        <v>564</v>
      </c>
    </row>
    <row r="228" spans="2:8" x14ac:dyDescent="0.35">
      <c r="C228" t="s">
        <v>571</v>
      </c>
      <c r="D228">
        <f>D225+D226</f>
        <v>98</v>
      </c>
      <c r="E228">
        <f t="shared" ref="E228:H228" si="14">E225+E226</f>
        <v>151</v>
      </c>
      <c r="F228">
        <f t="shared" si="14"/>
        <v>181</v>
      </c>
      <c r="G228">
        <f t="shared" si="14"/>
        <v>63</v>
      </c>
      <c r="H228">
        <f t="shared" si="14"/>
        <v>12</v>
      </c>
    </row>
    <row r="229" spans="2:8" x14ac:dyDescent="0.35">
      <c r="C229" t="s">
        <v>266</v>
      </c>
      <c r="D229">
        <f>D224</f>
        <v>963</v>
      </c>
      <c r="E229">
        <f t="shared" ref="E229:H229" si="15">E224</f>
        <v>1037</v>
      </c>
      <c r="F229">
        <f t="shared" si="15"/>
        <v>1006</v>
      </c>
      <c r="G229">
        <f t="shared" si="15"/>
        <v>886</v>
      </c>
      <c r="H229">
        <f t="shared" si="15"/>
        <v>761</v>
      </c>
    </row>
    <row r="230" spans="2:8" x14ac:dyDescent="0.35">
      <c r="C230" s="17" t="s">
        <v>570</v>
      </c>
      <c r="D230" s="17">
        <f>D229-D228</f>
        <v>865</v>
      </c>
      <c r="E230" s="17">
        <f t="shared" ref="E230:H230" si="16">E229-E228</f>
        <v>886</v>
      </c>
      <c r="F230" s="17">
        <f t="shared" si="16"/>
        <v>825</v>
      </c>
      <c r="G230" s="17">
        <f t="shared" si="16"/>
        <v>823</v>
      </c>
      <c r="H230" s="17">
        <f t="shared" si="16"/>
        <v>749</v>
      </c>
    </row>
    <row r="232" spans="2:8" x14ac:dyDescent="0.35">
      <c r="B232" t="s">
        <v>572</v>
      </c>
      <c r="D232">
        <f>D204-D207-D217-D219-D230</f>
        <v>1646</v>
      </c>
      <c r="E232">
        <f t="shared" ref="E232:H232" si="17">E204-E207-E217-E219-E230</f>
        <v>1342</v>
      </c>
      <c r="F232">
        <f t="shared" si="17"/>
        <v>1207</v>
      </c>
      <c r="G232">
        <f t="shared" si="17"/>
        <v>1788</v>
      </c>
      <c r="H232">
        <f t="shared" si="17"/>
        <v>1963</v>
      </c>
    </row>
    <row r="234" spans="2:8" x14ac:dyDescent="0.35">
      <c r="C234" t="s">
        <v>141</v>
      </c>
    </row>
    <row r="235" spans="2:8" x14ac:dyDescent="0.35">
      <c r="C235" t="str">
        <f>C70</f>
        <v>Income Taxes for the Year - Current</v>
      </c>
      <c r="D235">
        <f>D70</f>
        <v>82</v>
      </c>
      <c r="E235">
        <f t="shared" ref="E235:H235" si="18">E70</f>
        <v>84</v>
      </c>
      <c r="F235">
        <f t="shared" si="18"/>
        <v>97</v>
      </c>
      <c r="G235">
        <f t="shared" si="18"/>
        <v>-5</v>
      </c>
      <c r="H235">
        <f t="shared" si="18"/>
        <v>-152</v>
      </c>
    </row>
    <row r="236" spans="2:8" x14ac:dyDescent="0.35">
      <c r="C236" t="str">
        <f>C74</f>
        <v>Income Taxes - Deferred</v>
      </c>
      <c r="D236">
        <f>D74</f>
        <v>277</v>
      </c>
      <c r="E236">
        <f t="shared" ref="E236:H236" si="19">E74</f>
        <v>196</v>
      </c>
      <c r="F236">
        <f t="shared" si="19"/>
        <v>234</v>
      </c>
      <c r="G236">
        <f t="shared" si="19"/>
        <v>-171</v>
      </c>
      <c r="H236">
        <f t="shared" si="19"/>
        <v>841</v>
      </c>
    </row>
    <row r="237" spans="2:8" x14ac:dyDescent="0.35">
      <c r="C237" s="17" t="s">
        <v>573</v>
      </c>
      <c r="D237" s="17">
        <f>SUM(D235:D236)</f>
        <v>359</v>
      </c>
      <c r="E237" s="17">
        <f t="shared" ref="E237:H237" si="20">SUM(E235:E236)</f>
        <v>280</v>
      </c>
      <c r="F237" s="17">
        <f t="shared" si="20"/>
        <v>331</v>
      </c>
      <c r="G237" s="17">
        <f t="shared" si="20"/>
        <v>-176</v>
      </c>
      <c r="H237" s="17">
        <f t="shared" si="20"/>
        <v>689</v>
      </c>
    </row>
    <row r="239" spans="2:8" x14ac:dyDescent="0.35">
      <c r="C239" t="str">
        <f>C80</f>
        <v>Equity in Earnings/(Loss) of Affiliates (after Taxes)</v>
      </c>
      <c r="D239">
        <f>-D80</f>
        <v>210</v>
      </c>
      <c r="E239">
        <f t="shared" ref="E239:H239" si="21">-E80</f>
        <v>8</v>
      </c>
      <c r="F239">
        <f t="shared" si="21"/>
        <v>21</v>
      </c>
      <c r="G239">
        <f t="shared" si="21"/>
        <v>59</v>
      </c>
      <c r="H239">
        <f t="shared" si="21"/>
        <v>0</v>
      </c>
    </row>
    <row r="241" spans="3:8" x14ac:dyDescent="0.35">
      <c r="C241" s="17" t="s">
        <v>157</v>
      </c>
      <c r="D241" s="17">
        <f>D232-D237-D239</f>
        <v>1077</v>
      </c>
      <c r="E241" s="17">
        <f t="shared" ref="E241:H241" si="22">E232-E237-E239</f>
        <v>1054</v>
      </c>
      <c r="F241" s="17">
        <f t="shared" si="22"/>
        <v>855</v>
      </c>
      <c r="G241" s="17">
        <f t="shared" si="22"/>
        <v>1905</v>
      </c>
      <c r="H241" s="17">
        <f t="shared" si="22"/>
        <v>1274</v>
      </c>
    </row>
    <row r="248" spans="3:8" x14ac:dyDescent="0.35">
      <c r="D248">
        <f>D232-D237-D239</f>
        <v>1077</v>
      </c>
      <c r="E248">
        <f t="shared" ref="E248:H248" si="23">E232-E237-E239</f>
        <v>1054</v>
      </c>
      <c r="F248">
        <f t="shared" si="23"/>
        <v>855</v>
      </c>
      <c r="G248">
        <f t="shared" si="23"/>
        <v>1905</v>
      </c>
      <c r="H248">
        <f t="shared" si="23"/>
        <v>1274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CC9F6-2F32-449E-BA76-549C567D697D}">
  <sheetPr>
    <tabColor theme="8" tint="0.39997558519241921"/>
  </sheetPr>
  <dimension ref="A1:G101"/>
  <sheetViews>
    <sheetView zoomScale="55" zoomScaleNormal="55" workbookViewId="0"/>
  </sheetViews>
  <sheetFormatPr defaultRowHeight="14.5" outlineLevelRow="1" x14ac:dyDescent="0.35"/>
  <cols>
    <col min="1" max="1" width="85.7265625" customWidth="1"/>
    <col min="2" max="6" width="15.7265625" customWidth="1"/>
    <col min="7" max="7" width="24.81640625" bestFit="1" customWidth="1"/>
  </cols>
  <sheetData>
    <row r="1" spans="1:6" ht="15" customHeight="1" thickBot="1" x14ac:dyDescent="0.4">
      <c r="A1" s="26" t="s">
        <v>483</v>
      </c>
      <c r="B1" s="27"/>
      <c r="C1" s="27"/>
      <c r="D1" s="27"/>
      <c r="E1" s="27"/>
      <c r="F1" s="27"/>
    </row>
    <row r="2" spans="1:6" ht="15" customHeight="1" thickTop="1" x14ac:dyDescent="0.35">
      <c r="A2" s="28" t="s">
        <v>57</v>
      </c>
      <c r="B2" s="29" t="s">
        <v>58</v>
      </c>
    </row>
    <row r="3" spans="1:6" x14ac:dyDescent="0.35">
      <c r="A3" s="28" t="s">
        <v>59</v>
      </c>
      <c r="B3" s="28" t="s">
        <v>60</v>
      </c>
    </row>
    <row r="4" spans="1:6" x14ac:dyDescent="0.35">
      <c r="A4" s="28" t="s">
        <v>61</v>
      </c>
      <c r="B4" s="28" t="s">
        <v>60</v>
      </c>
    </row>
    <row r="5" spans="1:6" x14ac:dyDescent="0.35">
      <c r="A5" s="28" t="s">
        <v>62</v>
      </c>
      <c r="B5" s="28" t="s">
        <v>63</v>
      </c>
    </row>
    <row r="6" spans="1:6" x14ac:dyDescent="0.35">
      <c r="A6" s="28" t="s">
        <v>64</v>
      </c>
      <c r="B6" s="28" t="s">
        <v>65</v>
      </c>
    </row>
    <row r="7" spans="1:6" x14ac:dyDescent="0.35">
      <c r="A7" s="28" t="s">
        <v>66</v>
      </c>
      <c r="B7" s="28" t="s">
        <v>67</v>
      </c>
    </row>
    <row r="8" spans="1:6" x14ac:dyDescent="0.35">
      <c r="A8" s="28" t="s">
        <v>68</v>
      </c>
      <c r="B8" s="28" t="s">
        <v>69</v>
      </c>
    </row>
    <row r="9" spans="1:6" x14ac:dyDescent="0.35">
      <c r="A9" s="28" t="s">
        <v>70</v>
      </c>
      <c r="B9" s="28" t="s">
        <v>71</v>
      </c>
    </row>
    <row r="10" spans="1:6" x14ac:dyDescent="0.35">
      <c r="A10" s="28" t="s">
        <v>72</v>
      </c>
      <c r="B10" s="30">
        <v>46298.7507513194</v>
      </c>
    </row>
    <row r="11" spans="1:6" x14ac:dyDescent="0.35">
      <c r="A11" s="31" t="s">
        <v>73</v>
      </c>
      <c r="B11" s="32" t="s">
        <v>74</v>
      </c>
      <c r="C11" s="32" t="s">
        <v>75</v>
      </c>
      <c r="D11" s="32" t="s">
        <v>76</v>
      </c>
      <c r="E11" s="32" t="s">
        <v>77</v>
      </c>
      <c r="F11" s="32" t="s">
        <v>78</v>
      </c>
    </row>
    <row r="12" spans="1:6" ht="15" customHeight="1" outlineLevel="1" x14ac:dyDescent="0.35">
      <c r="A12" s="33" t="s">
        <v>79</v>
      </c>
      <c r="B12" s="34">
        <v>46112</v>
      </c>
      <c r="C12" s="34">
        <v>45747</v>
      </c>
      <c r="D12" s="34">
        <v>45382</v>
      </c>
      <c r="E12" s="34">
        <v>45016</v>
      </c>
      <c r="F12" s="34">
        <v>44651</v>
      </c>
    </row>
    <row r="13" spans="1:6" ht="15" customHeight="1" outlineLevel="1" x14ac:dyDescent="0.35">
      <c r="A13" s="33" t="s">
        <v>80</v>
      </c>
      <c r="B13" s="34">
        <v>46112</v>
      </c>
      <c r="C13" s="34">
        <v>45747</v>
      </c>
      <c r="D13" s="34">
        <v>45382</v>
      </c>
      <c r="E13" s="34">
        <v>45016</v>
      </c>
      <c r="F13" s="34">
        <v>44651</v>
      </c>
    </row>
    <row r="14" spans="1:6" ht="15" customHeight="1" outlineLevel="1" x14ac:dyDescent="0.35">
      <c r="A14" s="33" t="s">
        <v>81</v>
      </c>
      <c r="B14" s="35" t="s">
        <v>82</v>
      </c>
      <c r="C14" s="35" t="s">
        <v>82</v>
      </c>
      <c r="D14" s="35" t="s">
        <v>82</v>
      </c>
      <c r="E14" s="35" t="s">
        <v>82</v>
      </c>
      <c r="F14" s="35" t="s">
        <v>82</v>
      </c>
    </row>
    <row r="15" spans="1:6" ht="15" customHeight="1" outlineLevel="1" x14ac:dyDescent="0.35">
      <c r="A15" s="33" t="s">
        <v>83</v>
      </c>
      <c r="B15" s="35" t="s">
        <v>484</v>
      </c>
      <c r="C15" s="35" t="s">
        <v>484</v>
      </c>
      <c r="D15" s="35" t="s">
        <v>484</v>
      </c>
      <c r="E15" s="35" t="s">
        <v>484</v>
      </c>
      <c r="F15" s="35" t="s">
        <v>484</v>
      </c>
    </row>
    <row r="17" spans="1:6" x14ac:dyDescent="0.35">
      <c r="A17" s="36" t="s">
        <v>485</v>
      </c>
      <c r="B17" s="31"/>
      <c r="C17" s="31"/>
      <c r="D17" s="31"/>
      <c r="E17" s="31"/>
      <c r="F17" s="31"/>
    </row>
    <row r="18" spans="1:6" x14ac:dyDescent="0.35">
      <c r="A18" s="36" t="s">
        <v>86</v>
      </c>
      <c r="B18" s="37" t="s">
        <v>87</v>
      </c>
      <c r="C18" s="37" t="s">
        <v>88</v>
      </c>
      <c r="D18" s="37" t="s">
        <v>89</v>
      </c>
      <c r="E18" s="37" t="s">
        <v>90</v>
      </c>
      <c r="F18" s="37" t="s">
        <v>91</v>
      </c>
    </row>
    <row r="19" spans="1:6" ht="15" customHeight="1" x14ac:dyDescent="0.35">
      <c r="A19" s="38" t="s">
        <v>486</v>
      </c>
      <c r="B19" s="39"/>
      <c r="C19" s="39"/>
      <c r="D19" s="39"/>
      <c r="E19" s="39"/>
      <c r="F19" s="39"/>
    </row>
    <row r="20" spans="1:6" ht="15" customHeight="1" x14ac:dyDescent="0.35">
      <c r="A20" s="40" t="s">
        <v>487</v>
      </c>
      <c r="B20" s="275">
        <v>1436</v>
      </c>
      <c r="C20" s="275">
        <v>1334</v>
      </c>
      <c r="D20" s="275">
        <v>1186</v>
      </c>
      <c r="E20" s="275">
        <v>1729</v>
      </c>
      <c r="F20" s="275">
        <v>1963</v>
      </c>
    </row>
    <row r="21" spans="1:6" ht="15" customHeight="1" x14ac:dyDescent="0.35">
      <c r="A21" s="40" t="s">
        <v>488</v>
      </c>
      <c r="B21" s="275">
        <v>6369</v>
      </c>
      <c r="C21" s="275">
        <v>6350</v>
      </c>
      <c r="D21" s="275">
        <v>6490</v>
      </c>
      <c r="E21" s="275">
        <v>5956</v>
      </c>
      <c r="F21" s="275">
        <v>5366</v>
      </c>
    </row>
    <row r="22" spans="1:6" ht="15" customHeight="1" x14ac:dyDescent="0.35">
      <c r="A22" s="42" t="s">
        <v>489</v>
      </c>
      <c r="B22" s="275">
        <v>210</v>
      </c>
      <c r="C22" s="276">
        <v>8</v>
      </c>
      <c r="D22" s="276">
        <v>21</v>
      </c>
      <c r="E22" s="276">
        <v>59</v>
      </c>
      <c r="F22" s="277">
        <v>0</v>
      </c>
    </row>
    <row r="23" spans="1:6" ht="15" customHeight="1" x14ac:dyDescent="0.35">
      <c r="A23" s="42" t="s">
        <v>490</v>
      </c>
      <c r="B23" s="275">
        <v>1251</v>
      </c>
      <c r="C23" s="275">
        <v>1150</v>
      </c>
      <c r="D23" s="275">
        <v>1007</v>
      </c>
      <c r="E23" s="275">
        <v>831</v>
      </c>
      <c r="F23" s="275">
        <v>922</v>
      </c>
    </row>
    <row r="24" spans="1:6" ht="15" customHeight="1" x14ac:dyDescent="0.35">
      <c r="A24" s="42" t="s">
        <v>491</v>
      </c>
      <c r="B24" s="276">
        <v>34</v>
      </c>
      <c r="C24" s="276">
        <v>55</v>
      </c>
      <c r="D24" s="276">
        <v>76</v>
      </c>
      <c r="E24" s="276">
        <v>89</v>
      </c>
      <c r="F24" s="276">
        <v>76</v>
      </c>
    </row>
    <row r="25" spans="1:6" ht="15" customHeight="1" x14ac:dyDescent="0.35">
      <c r="A25" s="42" t="s">
        <v>492</v>
      </c>
      <c r="B25" s="275">
        <v>4940</v>
      </c>
      <c r="C25" s="275">
        <v>5094</v>
      </c>
      <c r="D25" s="275">
        <v>5398</v>
      </c>
      <c r="E25" s="275">
        <v>4818</v>
      </c>
      <c r="F25" s="275">
        <v>4405</v>
      </c>
    </row>
    <row r="26" spans="1:6" ht="15" customHeight="1" x14ac:dyDescent="0.35">
      <c r="A26" s="44" t="s">
        <v>493</v>
      </c>
      <c r="B26" s="275">
        <v>4913</v>
      </c>
      <c r="C26" s="275">
        <v>4978</v>
      </c>
      <c r="D26" s="277"/>
      <c r="E26" s="275">
        <v>4818</v>
      </c>
      <c r="F26" s="275">
        <v>4405</v>
      </c>
    </row>
    <row r="27" spans="1:6" ht="15" customHeight="1" x14ac:dyDescent="0.35">
      <c r="A27" s="44" t="s">
        <v>494</v>
      </c>
      <c r="B27" s="276">
        <v>27</v>
      </c>
      <c r="C27" s="275">
        <v>116</v>
      </c>
      <c r="D27" s="277"/>
      <c r="E27" s="277"/>
      <c r="F27" s="277"/>
    </row>
    <row r="28" spans="1:6" ht="15" customHeight="1" x14ac:dyDescent="0.35">
      <c r="A28" s="42" t="s">
        <v>495</v>
      </c>
      <c r="B28" s="276">
        <v>-67</v>
      </c>
      <c r="C28" s="276">
        <v>-32</v>
      </c>
      <c r="D28" s="276">
        <v>-12</v>
      </c>
      <c r="E28" s="275">
        <v>159</v>
      </c>
      <c r="F28" s="276">
        <v>-37</v>
      </c>
    </row>
    <row r="29" spans="1:6" ht="15" customHeight="1" x14ac:dyDescent="0.35">
      <c r="A29" s="42" t="s">
        <v>496</v>
      </c>
      <c r="B29" s="276">
        <v>1</v>
      </c>
      <c r="C29" s="276">
        <v>75</v>
      </c>
      <c r="D29" s="277"/>
      <c r="E29" s="277"/>
      <c r="F29" s="277"/>
    </row>
    <row r="30" spans="1:6" ht="15" customHeight="1" x14ac:dyDescent="0.35">
      <c r="A30" s="40" t="s">
        <v>497</v>
      </c>
      <c r="B30" s="276">
        <v>58</v>
      </c>
      <c r="C30" s="276">
        <v>-35</v>
      </c>
      <c r="D30" s="276">
        <v>59</v>
      </c>
      <c r="E30" s="275">
        <v>-136</v>
      </c>
      <c r="F30" s="276">
        <v>52</v>
      </c>
    </row>
    <row r="31" spans="1:6" ht="15" customHeight="1" x14ac:dyDescent="0.35">
      <c r="A31" s="40" t="s">
        <v>498</v>
      </c>
      <c r="B31" s="275">
        <v>1028</v>
      </c>
      <c r="C31" s="275">
        <v>956</v>
      </c>
      <c r="D31" s="275">
        <v>865</v>
      </c>
      <c r="E31" s="275">
        <v>709</v>
      </c>
      <c r="F31" s="275">
        <v>755</v>
      </c>
    </row>
    <row r="32" spans="1:6" ht="15" customHeight="1" x14ac:dyDescent="0.35">
      <c r="A32" s="40" t="s">
        <v>999</v>
      </c>
      <c r="B32" s="276">
        <v>96</v>
      </c>
      <c r="C32" s="275">
        <v>132</v>
      </c>
      <c r="D32" s="275">
        <v>140</v>
      </c>
      <c r="E32" s="276">
        <v>41</v>
      </c>
      <c r="F32" s="276">
        <v>6</v>
      </c>
    </row>
    <row r="33" spans="1:7" ht="15" customHeight="1" x14ac:dyDescent="0.35">
      <c r="A33" s="40" t="s">
        <v>499</v>
      </c>
      <c r="B33" s="275">
        <v>6815</v>
      </c>
      <c r="C33" s="275">
        <v>6895</v>
      </c>
      <c r="D33" s="275">
        <v>6892</v>
      </c>
      <c r="E33" s="275">
        <v>7153</v>
      </c>
      <c r="F33" s="275">
        <v>6528</v>
      </c>
    </row>
    <row r="34" spans="1:7" s="112" customFormat="1" ht="15" customHeight="1" x14ac:dyDescent="0.35">
      <c r="A34" s="52" t="s">
        <v>500</v>
      </c>
      <c r="B34" s="278">
        <v>-717</v>
      </c>
      <c r="C34" s="278">
        <v>-730</v>
      </c>
      <c r="D34" s="278">
        <v>-1664</v>
      </c>
      <c r="E34" s="278">
        <v>-1097</v>
      </c>
      <c r="F34" s="278">
        <v>-1367</v>
      </c>
      <c r="G34" s="112" t="s">
        <v>983</v>
      </c>
    </row>
    <row r="35" spans="1:7" ht="15" customHeight="1" x14ac:dyDescent="0.35">
      <c r="A35" s="42" t="s">
        <v>501</v>
      </c>
      <c r="B35" s="276">
        <v>80</v>
      </c>
      <c r="C35" s="275">
        <v>454</v>
      </c>
      <c r="D35" s="275">
        <v>-686</v>
      </c>
      <c r="E35" s="275">
        <v>-302</v>
      </c>
      <c r="F35" s="275">
        <v>-104</v>
      </c>
    </row>
    <row r="36" spans="1:7" ht="15" customHeight="1" x14ac:dyDescent="0.35">
      <c r="A36" s="42" t="s">
        <v>502</v>
      </c>
      <c r="B36" s="276">
        <v>-35</v>
      </c>
      <c r="C36" s="276">
        <v>78</v>
      </c>
      <c r="D36" s="276">
        <v>-60</v>
      </c>
      <c r="E36" s="276">
        <v>-47</v>
      </c>
      <c r="F36" s="276">
        <v>-3</v>
      </c>
    </row>
    <row r="37" spans="1:7" ht="15" customHeight="1" x14ac:dyDescent="0.35">
      <c r="A37" s="42" t="s">
        <v>503</v>
      </c>
      <c r="B37" s="277"/>
      <c r="C37" s="277"/>
      <c r="D37" s="277">
        <v>0</v>
      </c>
      <c r="E37" s="276">
        <v>7</v>
      </c>
      <c r="F37" s="276">
        <v>-17</v>
      </c>
    </row>
    <row r="38" spans="1:7" ht="15" customHeight="1" x14ac:dyDescent="0.35">
      <c r="A38" s="42" t="s">
        <v>504</v>
      </c>
      <c r="B38" s="276">
        <v>28</v>
      </c>
      <c r="C38" s="275">
        <v>-386</v>
      </c>
      <c r="D38" s="276">
        <v>-89</v>
      </c>
      <c r="E38" s="275">
        <v>232</v>
      </c>
      <c r="F38" s="276">
        <v>99</v>
      </c>
    </row>
    <row r="39" spans="1:7" ht="15" customHeight="1" x14ac:dyDescent="0.35">
      <c r="A39" s="42" t="s">
        <v>505</v>
      </c>
      <c r="B39" s="275">
        <v>-790</v>
      </c>
      <c r="C39" s="275">
        <v>-876</v>
      </c>
      <c r="D39" s="275">
        <v>-829</v>
      </c>
      <c r="E39" s="275">
        <v>-987</v>
      </c>
      <c r="F39" s="275">
        <v>-1342</v>
      </c>
    </row>
    <row r="40" spans="1:7" ht="15" customHeight="1" x14ac:dyDescent="0.35">
      <c r="A40" s="43" t="s">
        <v>506</v>
      </c>
      <c r="B40" s="275">
        <v>6098</v>
      </c>
      <c r="C40" s="275">
        <v>6165</v>
      </c>
      <c r="D40" s="275">
        <v>5228</v>
      </c>
      <c r="E40" s="275">
        <v>6056</v>
      </c>
      <c r="F40" s="275">
        <v>5161</v>
      </c>
    </row>
    <row r="41" spans="1:7" ht="15" customHeight="1" x14ac:dyDescent="0.35">
      <c r="A41" s="38" t="s">
        <v>507</v>
      </c>
      <c r="B41" s="279"/>
      <c r="C41" s="279"/>
      <c r="D41" s="279"/>
      <c r="E41" s="279"/>
      <c r="F41" s="279"/>
    </row>
    <row r="42" spans="1:7" ht="15" customHeight="1" x14ac:dyDescent="0.35">
      <c r="A42" s="40" t="s">
        <v>508</v>
      </c>
      <c r="B42" s="275">
        <v>5129</v>
      </c>
      <c r="C42" s="275">
        <v>4901</v>
      </c>
      <c r="D42" s="275">
        <v>4967</v>
      </c>
      <c r="E42" s="275">
        <v>5307</v>
      </c>
      <c r="F42" s="275">
        <v>4605</v>
      </c>
    </row>
    <row r="43" spans="1:7" ht="15" customHeight="1" x14ac:dyDescent="0.35">
      <c r="A43" s="42" t="s">
        <v>509</v>
      </c>
      <c r="B43" s="275">
        <v>5129</v>
      </c>
      <c r="C43" s="275">
        <v>4901</v>
      </c>
      <c r="D43" s="275">
        <v>4967</v>
      </c>
      <c r="E43" s="275">
        <v>5307</v>
      </c>
      <c r="F43" s="275">
        <v>4605</v>
      </c>
    </row>
    <row r="44" spans="1:7" ht="15" customHeight="1" x14ac:dyDescent="0.35">
      <c r="A44" s="44" t="s">
        <v>510</v>
      </c>
      <c r="B44" s="275">
        <v>5169</v>
      </c>
      <c r="C44" s="275">
        <v>4937</v>
      </c>
      <c r="D44" s="275">
        <v>4969</v>
      </c>
      <c r="E44" s="275">
        <v>5307</v>
      </c>
      <c r="F44" s="275">
        <v>4607</v>
      </c>
    </row>
    <row r="45" spans="1:7" ht="15" customHeight="1" x14ac:dyDescent="0.35">
      <c r="A45" s="44" t="s">
        <v>511</v>
      </c>
      <c r="B45" s="276">
        <v>40</v>
      </c>
      <c r="C45" s="276">
        <v>36</v>
      </c>
      <c r="D45" s="276">
        <v>2</v>
      </c>
      <c r="E45" s="277">
        <v>0</v>
      </c>
      <c r="F45" s="276">
        <v>2</v>
      </c>
    </row>
    <row r="46" spans="1:7" ht="15" customHeight="1" x14ac:dyDescent="0.35">
      <c r="A46" s="42" t="s">
        <v>512</v>
      </c>
      <c r="B46" s="275">
        <v>5169</v>
      </c>
      <c r="C46" s="275">
        <v>4937</v>
      </c>
      <c r="D46" s="275">
        <v>4969</v>
      </c>
      <c r="E46" s="275">
        <v>5307</v>
      </c>
      <c r="F46" s="275">
        <v>4607</v>
      </c>
    </row>
    <row r="47" spans="1:7" ht="15" customHeight="1" x14ac:dyDescent="0.35">
      <c r="A47" s="40" t="s">
        <v>513</v>
      </c>
      <c r="B47" s="276">
        <v>81</v>
      </c>
      <c r="C47" s="275">
        <v>145</v>
      </c>
      <c r="D47" s="275">
        <v>198</v>
      </c>
      <c r="E47" s="275">
        <v>-236</v>
      </c>
      <c r="F47" s="276">
        <v>76</v>
      </c>
    </row>
    <row r="48" spans="1:7" ht="15" customHeight="1" x14ac:dyDescent="0.35">
      <c r="A48" s="42" t="s">
        <v>514</v>
      </c>
      <c r="B48" s="277"/>
      <c r="C48" s="277"/>
      <c r="D48" s="277"/>
      <c r="E48" s="275">
        <v>265</v>
      </c>
      <c r="F48" s="277">
        <v>0</v>
      </c>
    </row>
    <row r="49" spans="1:6" ht="15" customHeight="1" x14ac:dyDescent="0.35">
      <c r="A49" s="42" t="s">
        <v>515</v>
      </c>
      <c r="B49" s="277"/>
      <c r="C49" s="277"/>
      <c r="D49" s="277"/>
      <c r="E49" s="276">
        <v>29</v>
      </c>
      <c r="F49" s="276">
        <v>76</v>
      </c>
    </row>
    <row r="50" spans="1:6" ht="15" customHeight="1" x14ac:dyDescent="0.35">
      <c r="A50" s="40" t="s">
        <v>516</v>
      </c>
      <c r="B50" s="275">
        <v>1145</v>
      </c>
      <c r="C50" s="275">
        <v>-267</v>
      </c>
      <c r="D50" s="275">
        <v>1173</v>
      </c>
      <c r="E50" s="275">
        <v>-842</v>
      </c>
      <c r="F50" s="275">
        <v>962</v>
      </c>
    </row>
    <row r="51" spans="1:6" ht="15" customHeight="1" x14ac:dyDescent="0.35">
      <c r="A51" s="42" t="s">
        <v>517</v>
      </c>
      <c r="B51" s="275">
        <v>1145</v>
      </c>
      <c r="C51" s="275">
        <v>-267</v>
      </c>
      <c r="D51" s="275">
        <v>1173</v>
      </c>
      <c r="E51" s="275">
        <v>-842</v>
      </c>
      <c r="F51" s="275">
        <v>962</v>
      </c>
    </row>
    <row r="52" spans="1:6" ht="15" customHeight="1" x14ac:dyDescent="0.35">
      <c r="A52" s="44" t="s">
        <v>518</v>
      </c>
      <c r="B52" s="277">
        <v>12840</v>
      </c>
      <c r="C52" s="277">
        <v>13891</v>
      </c>
      <c r="D52" s="277">
        <v>12389</v>
      </c>
      <c r="E52" s="277">
        <v>11868</v>
      </c>
      <c r="F52" s="277">
        <v>13402</v>
      </c>
    </row>
    <row r="53" spans="1:6" ht="15" customHeight="1" x14ac:dyDescent="0.35">
      <c r="A53" s="44" t="s">
        <v>519</v>
      </c>
      <c r="B53" s="277">
        <v>11695</v>
      </c>
      <c r="C53" s="277">
        <v>14158</v>
      </c>
      <c r="D53" s="277">
        <v>11216</v>
      </c>
      <c r="E53" s="277">
        <v>12710</v>
      </c>
      <c r="F53" s="277">
        <v>12440</v>
      </c>
    </row>
    <row r="54" spans="1:6" ht="15" customHeight="1" x14ac:dyDescent="0.35">
      <c r="A54" s="40" t="s">
        <v>520</v>
      </c>
      <c r="B54" s="275">
        <v>112</v>
      </c>
      <c r="C54" s="276">
        <v>63</v>
      </c>
      <c r="D54" s="277"/>
      <c r="E54" s="277"/>
      <c r="F54" s="277"/>
    </row>
    <row r="55" spans="1:6" ht="15" customHeight="1" x14ac:dyDescent="0.35">
      <c r="A55" s="40" t="s">
        <v>521</v>
      </c>
      <c r="B55" s="276">
        <v>-77</v>
      </c>
      <c r="C55" s="275">
        <v>-183</v>
      </c>
      <c r="D55" s="276">
        <v>-86</v>
      </c>
      <c r="E55" s="276">
        <v>-52</v>
      </c>
      <c r="F55" s="276">
        <v>1</v>
      </c>
    </row>
    <row r="56" spans="1:6" ht="15" customHeight="1" x14ac:dyDescent="0.35">
      <c r="A56" s="43" t="s">
        <v>522</v>
      </c>
      <c r="B56" s="275">
        <v>-3868</v>
      </c>
      <c r="C56" s="275">
        <v>-5143</v>
      </c>
      <c r="D56" s="275">
        <v>-3682</v>
      </c>
      <c r="E56" s="275">
        <v>-6437</v>
      </c>
      <c r="F56" s="275">
        <v>-3566</v>
      </c>
    </row>
    <row r="57" spans="1:6" ht="15" customHeight="1" x14ac:dyDescent="0.35">
      <c r="A57" s="38" t="s">
        <v>523</v>
      </c>
      <c r="B57" s="279"/>
      <c r="C57" s="279"/>
      <c r="D57" s="279"/>
      <c r="E57" s="279"/>
      <c r="F57" s="279"/>
    </row>
    <row r="58" spans="1:6" ht="15" customHeight="1" x14ac:dyDescent="0.35">
      <c r="A58" s="40" t="s">
        <v>524</v>
      </c>
      <c r="B58" s="275">
        <v>807</v>
      </c>
      <c r="C58" s="275">
        <v>788</v>
      </c>
      <c r="D58" s="275">
        <v>759</v>
      </c>
      <c r="E58" s="275">
        <v>751</v>
      </c>
      <c r="F58" s="275">
        <v>228</v>
      </c>
    </row>
    <row r="59" spans="1:6" ht="15" customHeight="1" x14ac:dyDescent="0.35">
      <c r="A59" s="53" t="s">
        <v>525</v>
      </c>
      <c r="B59" s="275">
        <v>807</v>
      </c>
      <c r="C59" s="275">
        <v>788</v>
      </c>
      <c r="D59" s="275">
        <v>759</v>
      </c>
      <c r="E59" s="275">
        <v>751</v>
      </c>
      <c r="F59" s="275">
        <v>228</v>
      </c>
    </row>
    <row r="60" spans="1:6" ht="15" customHeight="1" x14ac:dyDescent="0.35">
      <c r="A60" s="40" t="s">
        <v>526</v>
      </c>
      <c r="B60" s="276">
        <v>-30</v>
      </c>
      <c r="C60" s="276">
        <v>-73</v>
      </c>
      <c r="D60" s="276">
        <v>-76</v>
      </c>
      <c r="E60" s="275">
        <v>-133</v>
      </c>
      <c r="F60" s="275">
        <v>-171</v>
      </c>
    </row>
    <row r="61" spans="1:6" ht="15" customHeight="1" x14ac:dyDescent="0.35">
      <c r="A61" s="42" t="s">
        <v>527</v>
      </c>
      <c r="B61" s="275">
        <v>-126</v>
      </c>
      <c r="C61" s="276">
        <v>-79</v>
      </c>
      <c r="D61" s="275">
        <v>-133</v>
      </c>
      <c r="E61" s="275">
        <v>-138</v>
      </c>
      <c r="F61" s="275">
        <v>-184</v>
      </c>
    </row>
    <row r="62" spans="1:6" ht="15" customHeight="1" x14ac:dyDescent="0.35">
      <c r="A62" s="44" t="s">
        <v>528</v>
      </c>
      <c r="B62" s="275">
        <v>-126</v>
      </c>
      <c r="C62" s="276">
        <v>-79</v>
      </c>
      <c r="D62" s="275">
        <v>-133</v>
      </c>
      <c r="E62" s="275">
        <v>-138</v>
      </c>
      <c r="F62" s="275">
        <v>-184</v>
      </c>
    </row>
    <row r="63" spans="1:6" ht="15" customHeight="1" x14ac:dyDescent="0.35">
      <c r="A63" s="49" t="s">
        <v>529</v>
      </c>
      <c r="B63" s="275">
        <v>126</v>
      </c>
      <c r="C63" s="276">
        <v>79</v>
      </c>
      <c r="D63" s="275">
        <v>133</v>
      </c>
      <c r="E63" s="275">
        <v>138</v>
      </c>
      <c r="F63" s="275">
        <v>184</v>
      </c>
    </row>
    <row r="64" spans="1:6" ht="15" customHeight="1" x14ac:dyDescent="0.35">
      <c r="A64" s="42" t="s">
        <v>530</v>
      </c>
      <c r="B64" s="276">
        <v>96</v>
      </c>
      <c r="C64" s="276">
        <v>6</v>
      </c>
      <c r="D64" s="276">
        <v>57</v>
      </c>
      <c r="E64" s="276">
        <v>5</v>
      </c>
      <c r="F64" s="276">
        <v>13</v>
      </c>
    </row>
    <row r="65" spans="1:6" ht="15" customHeight="1" x14ac:dyDescent="0.35">
      <c r="A65" s="40" t="s">
        <v>531</v>
      </c>
      <c r="B65" s="275">
        <v>-1235</v>
      </c>
      <c r="C65" s="275">
        <v>-282</v>
      </c>
      <c r="D65" s="275">
        <v>-182</v>
      </c>
      <c r="E65" s="275">
        <v>963</v>
      </c>
      <c r="F65" s="275">
        <v>-1289</v>
      </c>
    </row>
    <row r="66" spans="1:6" ht="15" customHeight="1" x14ac:dyDescent="0.35">
      <c r="A66" s="42" t="s">
        <v>532</v>
      </c>
      <c r="B66" s="275">
        <v>-504</v>
      </c>
      <c r="C66" s="275">
        <v>457</v>
      </c>
      <c r="D66" s="275">
        <v>566</v>
      </c>
      <c r="E66" s="275">
        <v>1690</v>
      </c>
      <c r="F66" s="275">
        <v>-630</v>
      </c>
    </row>
    <row r="67" spans="1:6" ht="15" customHeight="1" x14ac:dyDescent="0.35">
      <c r="A67" s="44" t="s">
        <v>533</v>
      </c>
      <c r="B67" s="275">
        <v>1843</v>
      </c>
      <c r="C67" s="275">
        <v>2552</v>
      </c>
      <c r="D67" s="275">
        <v>2242</v>
      </c>
      <c r="E67" s="275">
        <v>2203</v>
      </c>
      <c r="F67" s="275">
        <v>744</v>
      </c>
    </row>
    <row r="68" spans="1:6" ht="15" customHeight="1" x14ac:dyDescent="0.35">
      <c r="A68" s="44" t="s">
        <v>534</v>
      </c>
      <c r="B68" s="275">
        <v>2347</v>
      </c>
      <c r="C68" s="275">
        <v>2095</v>
      </c>
      <c r="D68" s="275">
        <v>1676</v>
      </c>
      <c r="E68" s="275">
        <v>513</v>
      </c>
      <c r="F68" s="275">
        <v>1374</v>
      </c>
    </row>
    <row r="69" spans="1:6" ht="15" customHeight="1" x14ac:dyDescent="0.35">
      <c r="A69" s="42" t="s">
        <v>535</v>
      </c>
      <c r="B69" s="275">
        <v>-731</v>
      </c>
      <c r="C69" s="275">
        <v>-739</v>
      </c>
      <c r="D69" s="275">
        <v>-748</v>
      </c>
      <c r="E69" s="275">
        <v>-727</v>
      </c>
      <c r="F69" s="275">
        <v>-659</v>
      </c>
    </row>
    <row r="70" spans="1:6" ht="15" customHeight="1" x14ac:dyDescent="0.35">
      <c r="A70" s="44" t="s">
        <v>536</v>
      </c>
      <c r="B70" s="275">
        <v>-731</v>
      </c>
      <c r="C70" s="275">
        <v>-739</v>
      </c>
      <c r="D70" s="275">
        <v>-748</v>
      </c>
      <c r="E70" s="275">
        <v>-727</v>
      </c>
      <c r="F70" s="275">
        <v>-659</v>
      </c>
    </row>
    <row r="71" spans="1:6" ht="15" customHeight="1" x14ac:dyDescent="0.35">
      <c r="A71" s="44" t="s">
        <v>537</v>
      </c>
      <c r="B71" s="275">
        <v>731</v>
      </c>
      <c r="C71" s="275">
        <v>739</v>
      </c>
      <c r="D71" s="275">
        <v>748</v>
      </c>
      <c r="E71" s="275">
        <v>727</v>
      </c>
      <c r="F71" s="275">
        <v>659</v>
      </c>
    </row>
    <row r="72" spans="1:6" ht="15" customHeight="1" x14ac:dyDescent="0.35">
      <c r="A72" s="49" t="s">
        <v>538</v>
      </c>
      <c r="B72" s="275">
        <v>731</v>
      </c>
      <c r="C72" s="275">
        <v>739</v>
      </c>
      <c r="D72" s="275">
        <v>748</v>
      </c>
      <c r="E72" s="275">
        <v>727</v>
      </c>
      <c r="F72" s="275">
        <v>659</v>
      </c>
    </row>
    <row r="73" spans="1:6" ht="15" customHeight="1" x14ac:dyDescent="0.35">
      <c r="A73" s="40" t="s">
        <v>539</v>
      </c>
      <c r="B73" s="276">
        <v>-6</v>
      </c>
      <c r="C73" s="276">
        <v>-12</v>
      </c>
      <c r="D73" s="275">
        <v>-546</v>
      </c>
      <c r="E73" s="276">
        <v>-6</v>
      </c>
      <c r="F73" s="275">
        <v>-115</v>
      </c>
    </row>
    <row r="74" spans="1:6" ht="15" customHeight="1" x14ac:dyDescent="0.35">
      <c r="A74" s="43" t="s">
        <v>540</v>
      </c>
      <c r="B74" s="275">
        <v>-2078</v>
      </c>
      <c r="C74" s="275">
        <v>-1155</v>
      </c>
      <c r="D74" s="275">
        <v>-1563</v>
      </c>
      <c r="E74" s="276">
        <v>73</v>
      </c>
      <c r="F74" s="275">
        <v>-1803</v>
      </c>
    </row>
    <row r="75" spans="1:6" ht="15" customHeight="1" x14ac:dyDescent="0.35">
      <c r="A75" s="38" t="s">
        <v>541</v>
      </c>
      <c r="B75" s="279"/>
      <c r="C75" s="279"/>
      <c r="D75" s="279"/>
      <c r="E75" s="279"/>
      <c r="F75" s="279"/>
    </row>
    <row r="76" spans="1:6" ht="15" customHeight="1" x14ac:dyDescent="0.35">
      <c r="A76" s="40" t="s">
        <v>542</v>
      </c>
      <c r="B76" s="276">
        <v>-10</v>
      </c>
      <c r="C76" s="276">
        <v>-9</v>
      </c>
      <c r="D76" s="276">
        <v>-8</v>
      </c>
      <c r="E76" s="276">
        <v>-3</v>
      </c>
      <c r="F76" s="276">
        <v>4</v>
      </c>
    </row>
    <row r="77" spans="1:6" ht="15" customHeight="1" x14ac:dyDescent="0.35">
      <c r="A77" s="38" t="s">
        <v>543</v>
      </c>
      <c r="B77" s="279"/>
      <c r="C77" s="279"/>
      <c r="D77" s="279"/>
      <c r="E77" s="279"/>
      <c r="F77" s="279"/>
    </row>
    <row r="78" spans="1:6" ht="15" customHeight="1" x14ac:dyDescent="0.35">
      <c r="A78" s="43" t="s">
        <v>544</v>
      </c>
      <c r="B78" s="275">
        <v>142</v>
      </c>
      <c r="C78" s="275">
        <v>-142</v>
      </c>
      <c r="D78" s="276">
        <v>-25</v>
      </c>
      <c r="E78" s="275">
        <v>-311</v>
      </c>
      <c r="F78" s="275">
        <v>-204</v>
      </c>
    </row>
    <row r="79" spans="1:6" ht="15" customHeight="1" x14ac:dyDescent="0.35">
      <c r="A79" s="42" t="s">
        <v>545</v>
      </c>
      <c r="B79" s="275">
        <v>142</v>
      </c>
      <c r="C79" s="275">
        <v>-142</v>
      </c>
      <c r="D79" s="276">
        <v>-25</v>
      </c>
      <c r="E79" s="275">
        <v>-311</v>
      </c>
      <c r="F79" s="275">
        <v>-204</v>
      </c>
    </row>
    <row r="80" spans="1:6" ht="15" customHeight="1" x14ac:dyDescent="0.35">
      <c r="A80" s="40" t="s">
        <v>546</v>
      </c>
      <c r="B80" s="275">
        <v>214</v>
      </c>
      <c r="C80" s="275">
        <v>356</v>
      </c>
      <c r="D80" s="275">
        <v>381</v>
      </c>
      <c r="E80" s="275">
        <v>692</v>
      </c>
      <c r="F80" s="275">
        <v>896</v>
      </c>
    </row>
    <row r="81" spans="1:6" ht="15" customHeight="1" x14ac:dyDescent="0.35">
      <c r="A81" s="40" t="s">
        <v>547</v>
      </c>
      <c r="B81" s="275">
        <v>356</v>
      </c>
      <c r="C81" s="275">
        <v>214</v>
      </c>
      <c r="D81" s="275">
        <v>356</v>
      </c>
      <c r="E81" s="275">
        <v>381</v>
      </c>
      <c r="F81" s="275">
        <v>692</v>
      </c>
    </row>
    <row r="82" spans="1:6" ht="15" customHeight="1" x14ac:dyDescent="0.35">
      <c r="A82" s="38" t="s">
        <v>548</v>
      </c>
      <c r="B82" s="279"/>
      <c r="C82" s="279"/>
      <c r="D82" s="279"/>
      <c r="E82" s="279"/>
      <c r="F82" s="279"/>
    </row>
    <row r="83" spans="1:6" ht="15" customHeight="1" x14ac:dyDescent="0.35">
      <c r="A83" s="40" t="s">
        <v>549</v>
      </c>
      <c r="B83" s="276">
        <v>58</v>
      </c>
      <c r="C83" s="276">
        <v>-35</v>
      </c>
      <c r="D83" s="276">
        <v>59</v>
      </c>
      <c r="E83" s="275">
        <v>-136</v>
      </c>
      <c r="F83" s="276">
        <v>52</v>
      </c>
    </row>
    <row r="84" spans="1:6" ht="15" customHeight="1" x14ac:dyDescent="0.35">
      <c r="A84" s="40" t="s">
        <v>550</v>
      </c>
      <c r="B84" s="275">
        <v>1028</v>
      </c>
      <c r="C84" s="275">
        <v>956</v>
      </c>
      <c r="D84" s="275">
        <v>865</v>
      </c>
      <c r="E84" s="275">
        <v>709</v>
      </c>
      <c r="F84" s="275">
        <v>755</v>
      </c>
    </row>
    <row r="85" spans="1:6" ht="15" customHeight="1" x14ac:dyDescent="0.35">
      <c r="A85" s="40" t="s">
        <v>551</v>
      </c>
      <c r="B85" s="276">
        <v>96</v>
      </c>
      <c r="C85" s="275">
        <v>132</v>
      </c>
      <c r="D85" s="275">
        <v>140</v>
      </c>
      <c r="E85" s="276">
        <v>41</v>
      </c>
      <c r="F85" s="276">
        <v>6</v>
      </c>
    </row>
    <row r="86" spans="1:6" ht="15" customHeight="1" x14ac:dyDescent="0.35">
      <c r="A86" s="40" t="s">
        <v>552</v>
      </c>
      <c r="B86" s="275">
        <v>7843</v>
      </c>
      <c r="C86" s="275">
        <v>7851</v>
      </c>
      <c r="D86" s="275">
        <v>7757</v>
      </c>
      <c r="E86" s="275">
        <v>7862</v>
      </c>
      <c r="F86" s="275">
        <v>7283</v>
      </c>
    </row>
    <row r="87" spans="1:6" ht="15" customHeight="1" x14ac:dyDescent="0.35">
      <c r="A87" s="40" t="s">
        <v>553</v>
      </c>
      <c r="B87" s="275">
        <v>1901</v>
      </c>
      <c r="C87" s="275">
        <v>2088</v>
      </c>
      <c r="D87" s="275">
        <v>986</v>
      </c>
      <c r="E87" s="275">
        <v>1300</v>
      </c>
      <c r="F87" s="277"/>
    </row>
    <row r="88" spans="1:6" ht="15" customHeight="1" x14ac:dyDescent="0.35">
      <c r="A88" s="40" t="s">
        <v>554</v>
      </c>
      <c r="B88" s="275">
        <v>100</v>
      </c>
      <c r="C88" s="275">
        <v>219</v>
      </c>
      <c r="D88" s="275">
        <v>157</v>
      </c>
      <c r="E88" s="276">
        <v>-17</v>
      </c>
      <c r="F88" s="276">
        <v>-51</v>
      </c>
    </row>
    <row r="89" spans="1:6" ht="15" customHeight="1" x14ac:dyDescent="0.35">
      <c r="A89" s="40" t="s">
        <v>555</v>
      </c>
      <c r="B89" s="276">
        <v>77</v>
      </c>
      <c r="C89" s="276">
        <v>99</v>
      </c>
      <c r="D89" s="276">
        <v>39</v>
      </c>
      <c r="E89" s="276">
        <v>41</v>
      </c>
      <c r="F89" s="276">
        <v>-93</v>
      </c>
    </row>
    <row r="90" spans="1:6" ht="15" customHeight="1" x14ac:dyDescent="0.35">
      <c r="A90" s="40" t="s">
        <v>556</v>
      </c>
      <c r="B90" s="275">
        <v>933</v>
      </c>
      <c r="C90" s="275">
        <v>867</v>
      </c>
      <c r="D90" s="275">
        <v>892</v>
      </c>
      <c r="E90" s="275">
        <v>889</v>
      </c>
      <c r="F90" s="275">
        <v>412</v>
      </c>
    </row>
    <row r="91" spans="1:6" ht="15" customHeight="1" x14ac:dyDescent="0.35">
      <c r="A91" s="40" t="s">
        <v>557</v>
      </c>
      <c r="B91" s="275">
        <v>126</v>
      </c>
      <c r="C91" s="276">
        <v>79</v>
      </c>
      <c r="D91" s="275">
        <v>133</v>
      </c>
      <c r="E91" s="275">
        <v>138</v>
      </c>
      <c r="F91" s="275">
        <v>184</v>
      </c>
    </row>
    <row r="92" spans="1:6" ht="15" customHeight="1" x14ac:dyDescent="0.35">
      <c r="A92" s="40" t="s">
        <v>558</v>
      </c>
      <c r="B92" s="275">
        <v>4913</v>
      </c>
      <c r="C92" s="275">
        <v>4978</v>
      </c>
      <c r="D92" s="277"/>
      <c r="E92" s="275">
        <v>4818</v>
      </c>
      <c r="F92" s="275">
        <v>4405</v>
      </c>
    </row>
    <row r="93" spans="1:6" ht="15" customHeight="1" x14ac:dyDescent="0.35">
      <c r="A93" s="40" t="s">
        <v>559</v>
      </c>
      <c r="B93" s="275">
        <v>-266</v>
      </c>
      <c r="C93" s="275">
        <v>982</v>
      </c>
      <c r="D93" s="276">
        <v>79</v>
      </c>
      <c r="E93" s="275">
        <v>1712</v>
      </c>
      <c r="F93" s="275">
        <v>-733</v>
      </c>
    </row>
    <row r="94" spans="1:6" ht="15" customHeight="1" x14ac:dyDescent="0.35">
      <c r="A94" s="40" t="s">
        <v>560</v>
      </c>
      <c r="B94" s="275">
        <v>122</v>
      </c>
      <c r="C94" s="275">
        <v>440</v>
      </c>
      <c r="D94" s="275">
        <v>-500</v>
      </c>
      <c r="E94" s="276">
        <v>-2</v>
      </c>
      <c r="F94" s="275">
        <v>326</v>
      </c>
    </row>
    <row r="95" spans="1:6" ht="15" customHeight="1" x14ac:dyDescent="0.35">
      <c r="A95" s="40" t="s">
        <v>561</v>
      </c>
      <c r="B95" s="275">
        <v>929</v>
      </c>
      <c r="C95" s="275">
        <v>1228</v>
      </c>
      <c r="D95" s="275">
        <v>259</v>
      </c>
      <c r="E95" s="275">
        <v>749</v>
      </c>
      <c r="F95" s="275">
        <v>554</v>
      </c>
    </row>
    <row r="96" spans="1:6" ht="15" customHeight="1" x14ac:dyDescent="0.35">
      <c r="A96" s="40" t="s">
        <v>562</v>
      </c>
      <c r="B96" s="275">
        <v>822</v>
      </c>
      <c r="C96" s="275">
        <v>801</v>
      </c>
      <c r="D96" s="275">
        <v>783</v>
      </c>
      <c r="E96" s="275">
        <v>760</v>
      </c>
      <c r="F96" s="275">
        <v>755</v>
      </c>
    </row>
    <row r="101" spans="2:4" x14ac:dyDescent="0.35">
      <c r="B101">
        <f>B96/'3-Statement'!M36</f>
        <v>0.76323119777158777</v>
      </c>
      <c r="C101">
        <f>'Hist - CS'!C96/'3-Statement'!L36</f>
        <v>0.75996204933586342</v>
      </c>
      <c r="D101">
        <f>D96/'3-Statement'!K36</f>
        <v>0.91578947368421049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18578-908C-4D87-ADCC-0BFC71FF1DCF}">
  <sheetPr>
    <tabColor theme="8" tint="0.39997558519241921"/>
  </sheetPr>
  <dimension ref="A1:C802"/>
  <sheetViews>
    <sheetView workbookViewId="0"/>
  </sheetViews>
  <sheetFormatPr defaultRowHeight="14.5" x14ac:dyDescent="0.35"/>
  <cols>
    <col min="1" max="1" width="15.26953125" bestFit="1" customWidth="1"/>
  </cols>
  <sheetData>
    <row r="1" spans="1:3" x14ac:dyDescent="0.35">
      <c r="A1" s="8" t="s">
        <v>19</v>
      </c>
      <c r="B1" s="8" t="s">
        <v>20</v>
      </c>
      <c r="C1" s="8" t="s">
        <v>21</v>
      </c>
    </row>
    <row r="2" spans="1:3" x14ac:dyDescent="0.35">
      <c r="A2" s="9">
        <v>21916</v>
      </c>
      <c r="B2" s="9" t="str">
        <f>TEXT(A2,"mm/YYYY")</f>
        <v>01/1960</v>
      </c>
      <c r="C2" s="10">
        <v>5.33</v>
      </c>
    </row>
    <row r="3" spans="1:3" x14ac:dyDescent="0.35">
      <c r="A3" s="9">
        <v>21947</v>
      </c>
      <c r="B3" s="9" t="str">
        <f t="shared" ref="B3:B66" si="0">TEXT(A3,"mm/YYYY")</f>
        <v>02/1960</v>
      </c>
      <c r="C3" s="10">
        <v>5.4</v>
      </c>
    </row>
    <row r="4" spans="1:3" x14ac:dyDescent="0.35">
      <c r="A4" s="9">
        <v>21976</v>
      </c>
      <c r="B4" s="9" t="str">
        <f t="shared" si="0"/>
        <v>03/1960</v>
      </c>
      <c r="C4" s="10">
        <v>5.59</v>
      </c>
    </row>
    <row r="5" spans="1:3" x14ac:dyDescent="0.35">
      <c r="A5" s="9">
        <v>22007</v>
      </c>
      <c r="B5" s="9" t="str">
        <f t="shared" si="0"/>
        <v>04/1960</v>
      </c>
      <c r="C5" s="10">
        <v>5.67</v>
      </c>
    </row>
    <row r="6" spans="1:3" x14ac:dyDescent="0.35">
      <c r="A6" s="9">
        <v>22037</v>
      </c>
      <c r="B6" s="9" t="str">
        <f t="shared" si="0"/>
        <v>05/1960</v>
      </c>
      <c r="C6" s="10">
        <v>5.69</v>
      </c>
    </row>
    <row r="7" spans="1:3" x14ac:dyDescent="0.35">
      <c r="A7" s="9">
        <v>22068</v>
      </c>
      <c r="B7" s="9" t="str">
        <f t="shared" si="0"/>
        <v>06/1960</v>
      </c>
      <c r="C7" s="10">
        <v>6.04</v>
      </c>
    </row>
    <row r="8" spans="1:3" x14ac:dyDescent="0.35">
      <c r="A8" s="9">
        <v>22098</v>
      </c>
      <c r="B8" s="9" t="str">
        <f t="shared" si="0"/>
        <v>07/1960</v>
      </c>
      <c r="C8" s="10">
        <v>6.01</v>
      </c>
    </row>
    <row r="9" spans="1:3" x14ac:dyDescent="0.35">
      <c r="A9" s="9">
        <v>22129</v>
      </c>
      <c r="B9" s="9" t="str">
        <f t="shared" si="0"/>
        <v>08/1960</v>
      </c>
      <c r="C9" s="10">
        <v>6.03</v>
      </c>
    </row>
    <row r="10" spans="1:3" x14ac:dyDescent="0.35">
      <c r="A10" s="9">
        <v>22160</v>
      </c>
      <c r="B10" s="9" t="str">
        <f t="shared" si="0"/>
        <v>09/1960</v>
      </c>
      <c r="C10" s="10">
        <v>6.1</v>
      </c>
    </row>
    <row r="11" spans="1:3" x14ac:dyDescent="0.35">
      <c r="A11" s="9">
        <v>22190</v>
      </c>
      <c r="B11" s="9" t="str">
        <f t="shared" si="0"/>
        <v>10/1960</v>
      </c>
      <c r="C11" s="10">
        <v>6.1</v>
      </c>
    </row>
    <row r="12" spans="1:3" x14ac:dyDescent="0.35">
      <c r="A12" s="9">
        <v>22221</v>
      </c>
      <c r="B12" s="9" t="str">
        <f t="shared" si="0"/>
        <v>11/1960</v>
      </c>
      <c r="C12" s="10">
        <v>6.14</v>
      </c>
    </row>
    <row r="13" spans="1:3" x14ac:dyDescent="0.35">
      <c r="A13" s="9">
        <v>22251</v>
      </c>
      <c r="B13" s="9" t="str">
        <f t="shared" si="0"/>
        <v>12/1960</v>
      </c>
      <c r="C13" s="10">
        <v>6.17</v>
      </c>
    </row>
    <row r="14" spans="1:3" x14ac:dyDescent="0.35">
      <c r="A14" s="9">
        <v>22282</v>
      </c>
      <c r="B14" s="9" t="str">
        <f t="shared" si="0"/>
        <v>01/1961</v>
      </c>
      <c r="C14" s="10">
        <v>6.15</v>
      </c>
    </row>
    <row r="15" spans="1:3" x14ac:dyDescent="0.35">
      <c r="A15" s="9">
        <v>22313</v>
      </c>
      <c r="B15" s="9" t="str">
        <f t="shared" si="0"/>
        <v>02/1961</v>
      </c>
      <c r="C15" s="10">
        <v>6</v>
      </c>
    </row>
    <row r="16" spans="1:3" x14ac:dyDescent="0.35">
      <c r="A16" s="9">
        <v>22341</v>
      </c>
      <c r="B16" s="9" t="str">
        <f t="shared" si="0"/>
        <v>03/1961</v>
      </c>
      <c r="C16" s="10">
        <v>6.06</v>
      </c>
    </row>
    <row r="17" spans="1:3" x14ac:dyDescent="0.35">
      <c r="A17" s="9">
        <v>22372</v>
      </c>
      <c r="B17" s="9" t="str">
        <f t="shared" si="0"/>
        <v>04/1961</v>
      </c>
      <c r="C17" s="10">
        <v>6.03</v>
      </c>
    </row>
    <row r="18" spans="1:3" x14ac:dyDescent="0.35">
      <c r="A18" s="9">
        <v>22402</v>
      </c>
      <c r="B18" s="9" t="str">
        <f t="shared" si="0"/>
        <v>05/1961</v>
      </c>
      <c r="C18" s="10">
        <v>6.09</v>
      </c>
    </row>
    <row r="19" spans="1:3" x14ac:dyDescent="0.35">
      <c r="A19" s="9">
        <v>22433</v>
      </c>
      <c r="B19" s="9" t="str">
        <f t="shared" si="0"/>
        <v>06/1961</v>
      </c>
      <c r="C19" s="10">
        <v>6.34</v>
      </c>
    </row>
    <row r="20" spans="1:3" x14ac:dyDescent="0.35">
      <c r="A20" s="9">
        <v>22463</v>
      </c>
      <c r="B20" s="9" t="str">
        <f t="shared" si="0"/>
        <v>07/1961</v>
      </c>
      <c r="C20" s="10">
        <v>6.56</v>
      </c>
    </row>
    <row r="21" spans="1:3" x14ac:dyDescent="0.35">
      <c r="A21" s="9">
        <v>22494</v>
      </c>
      <c r="B21" s="9" t="str">
        <f t="shared" si="0"/>
        <v>08/1961</v>
      </c>
      <c r="C21" s="10">
        <v>6.69</v>
      </c>
    </row>
    <row r="22" spans="1:3" x14ac:dyDescent="0.35">
      <c r="A22" s="9">
        <v>22525</v>
      </c>
      <c r="B22" s="9" t="str">
        <f t="shared" si="0"/>
        <v>09/1961</v>
      </c>
      <c r="C22" s="10">
        <v>6.68</v>
      </c>
    </row>
    <row r="23" spans="1:3" x14ac:dyDescent="0.35">
      <c r="A23" s="9">
        <v>22555</v>
      </c>
      <c r="B23" s="9" t="str">
        <f t="shared" si="0"/>
        <v>10/1961</v>
      </c>
      <c r="C23" s="10">
        <v>6.11</v>
      </c>
    </row>
    <row r="24" spans="1:3" x14ac:dyDescent="0.35">
      <c r="A24" s="9">
        <v>22586</v>
      </c>
      <c r="B24" s="9" t="str">
        <f t="shared" si="0"/>
        <v>11/1961</v>
      </c>
      <c r="C24" s="10">
        <v>6.21</v>
      </c>
    </row>
    <row r="25" spans="1:3" x14ac:dyDescent="0.35">
      <c r="A25" s="9">
        <v>22616</v>
      </c>
      <c r="B25" s="9" t="str">
        <f t="shared" si="0"/>
        <v>12/1961</v>
      </c>
      <c r="C25" s="10">
        <v>6.25</v>
      </c>
    </row>
    <row r="26" spans="1:3" x14ac:dyDescent="0.35">
      <c r="A26" s="9">
        <v>22647</v>
      </c>
      <c r="B26" s="9" t="str">
        <f t="shared" si="0"/>
        <v>01/1962</v>
      </c>
      <c r="C26" s="10">
        <v>6.2</v>
      </c>
    </row>
    <row r="27" spans="1:3" x14ac:dyDescent="0.35">
      <c r="A27" s="9">
        <v>22678</v>
      </c>
      <c r="B27" s="9" t="str">
        <f t="shared" si="0"/>
        <v>02/1962</v>
      </c>
      <c r="C27" s="10">
        <v>6.27</v>
      </c>
    </row>
    <row r="28" spans="1:3" x14ac:dyDescent="0.35">
      <c r="A28" s="9">
        <v>22706</v>
      </c>
      <c r="B28" s="9" t="str">
        <f t="shared" si="0"/>
        <v>03/1962</v>
      </c>
      <c r="C28" s="10">
        <v>6.27</v>
      </c>
    </row>
    <row r="29" spans="1:3" x14ac:dyDescent="0.35">
      <c r="A29" s="9">
        <v>22737</v>
      </c>
      <c r="B29" s="9" t="str">
        <f t="shared" si="0"/>
        <v>04/1962</v>
      </c>
      <c r="C29" s="10">
        <v>6.28</v>
      </c>
    </row>
    <row r="30" spans="1:3" x14ac:dyDescent="0.35">
      <c r="A30" s="9">
        <v>22767</v>
      </c>
      <c r="B30" s="9" t="str">
        <f t="shared" si="0"/>
        <v>05/1962</v>
      </c>
      <c r="C30" s="10">
        <v>6.28</v>
      </c>
    </row>
    <row r="31" spans="1:3" x14ac:dyDescent="0.35">
      <c r="A31" s="9">
        <v>22798</v>
      </c>
      <c r="B31" s="9" t="str">
        <f t="shared" si="0"/>
        <v>06/1962</v>
      </c>
      <c r="C31" s="10">
        <v>6.19</v>
      </c>
    </row>
    <row r="32" spans="1:3" x14ac:dyDescent="0.35">
      <c r="A32" s="9">
        <v>22828</v>
      </c>
      <c r="B32" s="9" t="str">
        <f t="shared" si="0"/>
        <v>07/1962</v>
      </c>
      <c r="C32" s="10">
        <v>5.81</v>
      </c>
    </row>
    <row r="33" spans="1:3" x14ac:dyDescent="0.35">
      <c r="A33" s="9">
        <v>22859</v>
      </c>
      <c r="B33" s="9" t="str">
        <f t="shared" si="0"/>
        <v>08/1962</v>
      </c>
      <c r="C33" s="10">
        <v>5.62</v>
      </c>
    </row>
    <row r="34" spans="1:3" x14ac:dyDescent="0.35">
      <c r="A34" s="9">
        <v>22890</v>
      </c>
      <c r="B34" s="9" t="str">
        <f t="shared" si="0"/>
        <v>09/1962</v>
      </c>
      <c r="C34" s="10">
        <v>4.8899999999999997</v>
      </c>
    </row>
    <row r="35" spans="1:3" x14ac:dyDescent="0.35">
      <c r="A35" s="9">
        <v>22920</v>
      </c>
      <c r="B35" s="9" t="str">
        <f t="shared" si="0"/>
        <v>10/1962</v>
      </c>
      <c r="C35" s="10">
        <v>5.05</v>
      </c>
    </row>
    <row r="36" spans="1:3" x14ac:dyDescent="0.35">
      <c r="A36" s="9">
        <v>22951</v>
      </c>
      <c r="B36" s="9" t="str">
        <f t="shared" si="0"/>
        <v>11/1962</v>
      </c>
      <c r="C36" s="10">
        <v>5.17</v>
      </c>
    </row>
    <row r="37" spans="1:3" x14ac:dyDescent="0.35">
      <c r="A37" s="9">
        <v>22981</v>
      </c>
      <c r="B37" s="9" t="str">
        <f t="shared" si="0"/>
        <v>12/1962</v>
      </c>
      <c r="C37" s="10">
        <v>5.14</v>
      </c>
    </row>
    <row r="38" spans="1:3" x14ac:dyDescent="0.35">
      <c r="A38" s="9">
        <v>23012</v>
      </c>
      <c r="B38" s="9" t="str">
        <f t="shared" si="0"/>
        <v>01/1963</v>
      </c>
      <c r="C38" s="10">
        <v>5.23</v>
      </c>
    </row>
    <row r="39" spans="1:3" x14ac:dyDescent="0.35">
      <c r="A39" s="9">
        <v>23043</v>
      </c>
      <c r="B39" s="9" t="str">
        <f t="shared" si="0"/>
        <v>02/1963</v>
      </c>
      <c r="C39" s="10">
        <v>5.43</v>
      </c>
    </row>
    <row r="40" spans="1:3" x14ac:dyDescent="0.35">
      <c r="A40" s="9">
        <v>23071</v>
      </c>
      <c r="B40" s="9" t="str">
        <f t="shared" si="0"/>
        <v>03/1963</v>
      </c>
      <c r="C40" s="10">
        <v>5.45</v>
      </c>
    </row>
    <row r="41" spans="1:3" x14ac:dyDescent="0.35">
      <c r="A41" s="9">
        <v>23102</v>
      </c>
      <c r="B41" s="9" t="str">
        <f t="shared" si="0"/>
        <v>04/1963</v>
      </c>
      <c r="C41" s="10">
        <v>5.29</v>
      </c>
    </row>
    <row r="42" spans="1:3" x14ac:dyDescent="0.35">
      <c r="A42" s="9">
        <v>23132</v>
      </c>
      <c r="B42" s="9" t="str">
        <f t="shared" si="0"/>
        <v>05/1963</v>
      </c>
      <c r="C42" s="10">
        <v>5.17</v>
      </c>
    </row>
    <row r="43" spans="1:3" x14ac:dyDescent="0.35">
      <c r="A43" s="9">
        <v>23163</v>
      </c>
      <c r="B43" s="9" t="str">
        <f t="shared" si="0"/>
        <v>06/1963</v>
      </c>
      <c r="C43" s="10">
        <v>5.08</v>
      </c>
    </row>
    <row r="44" spans="1:3" x14ac:dyDescent="0.35">
      <c r="A44" s="9">
        <v>23193</v>
      </c>
      <c r="B44" s="9" t="str">
        <f t="shared" si="0"/>
        <v>07/1963</v>
      </c>
      <c r="C44" s="10">
        <v>5.0599999999999996</v>
      </c>
    </row>
    <row r="45" spans="1:3" x14ac:dyDescent="0.35">
      <c r="A45" s="9">
        <v>23224</v>
      </c>
      <c r="B45" s="9" t="str">
        <f t="shared" si="0"/>
        <v>08/1963</v>
      </c>
      <c r="C45" s="10">
        <v>4.96</v>
      </c>
    </row>
    <row r="46" spans="1:3" x14ac:dyDescent="0.35">
      <c r="A46" s="9">
        <v>23255</v>
      </c>
      <c r="B46" s="9" t="str">
        <f t="shared" si="0"/>
        <v>09/1963</v>
      </c>
      <c r="C46" s="10">
        <v>4.9000000000000004</v>
      </c>
    </row>
    <row r="47" spans="1:3" x14ac:dyDescent="0.35">
      <c r="A47" s="9">
        <v>23285</v>
      </c>
      <c r="B47" s="9" t="str">
        <f t="shared" si="0"/>
        <v>10/1963</v>
      </c>
      <c r="C47" s="10">
        <v>4.97</v>
      </c>
    </row>
    <row r="48" spans="1:3" x14ac:dyDescent="0.35">
      <c r="A48" s="9">
        <v>23316</v>
      </c>
      <c r="B48" s="9" t="str">
        <f t="shared" si="0"/>
        <v>11/1963</v>
      </c>
      <c r="C48" s="10">
        <v>5.21</v>
      </c>
    </row>
    <row r="49" spans="1:3" x14ac:dyDescent="0.35">
      <c r="A49" s="9">
        <v>23346</v>
      </c>
      <c r="B49" s="9" t="str">
        <f t="shared" si="0"/>
        <v>12/1963</v>
      </c>
      <c r="C49" s="10">
        <v>5.24</v>
      </c>
    </row>
    <row r="50" spans="1:3" x14ac:dyDescent="0.35">
      <c r="A50" s="9">
        <v>23377</v>
      </c>
      <c r="B50" s="9" t="str">
        <f t="shared" si="0"/>
        <v>01/1964</v>
      </c>
      <c r="C50" s="10">
        <v>5.27</v>
      </c>
    </row>
    <row r="51" spans="1:3" x14ac:dyDescent="0.35">
      <c r="A51" s="9">
        <v>23408</v>
      </c>
      <c r="B51" s="9" t="str">
        <f t="shared" si="0"/>
        <v>02/1964</v>
      </c>
      <c r="C51" s="10">
        <v>5.45</v>
      </c>
    </row>
    <row r="52" spans="1:3" x14ac:dyDescent="0.35">
      <c r="A52" s="9">
        <v>23437</v>
      </c>
      <c r="B52" s="9" t="str">
        <f t="shared" si="0"/>
        <v>03/1964</v>
      </c>
      <c r="C52" s="10">
        <v>5.46</v>
      </c>
    </row>
    <row r="53" spans="1:3" x14ac:dyDescent="0.35">
      <c r="A53" s="9">
        <v>23468</v>
      </c>
      <c r="B53" s="9" t="str">
        <f t="shared" si="0"/>
        <v>04/1964</v>
      </c>
      <c r="C53" s="10">
        <v>5.49</v>
      </c>
    </row>
    <row r="54" spans="1:3" x14ac:dyDescent="0.35">
      <c r="A54" s="9">
        <v>23498</v>
      </c>
      <c r="B54" s="9" t="str">
        <f t="shared" si="0"/>
        <v>05/1964</v>
      </c>
      <c r="C54" s="10">
        <v>5.55</v>
      </c>
    </row>
    <row r="55" spans="1:3" x14ac:dyDescent="0.35">
      <c r="A55" s="9">
        <v>23529</v>
      </c>
      <c r="B55" s="9" t="str">
        <f t="shared" si="0"/>
        <v>06/1964</v>
      </c>
      <c r="C55" s="10">
        <v>5.64</v>
      </c>
    </row>
    <row r="56" spans="1:3" x14ac:dyDescent="0.35">
      <c r="A56" s="9">
        <v>23559</v>
      </c>
      <c r="B56" s="9" t="str">
        <f t="shared" si="0"/>
        <v>07/1964</v>
      </c>
      <c r="C56" s="10">
        <v>5.76</v>
      </c>
    </row>
    <row r="57" spans="1:3" x14ac:dyDescent="0.35">
      <c r="A57" s="9">
        <v>23590</v>
      </c>
      <c r="B57" s="9" t="str">
        <f t="shared" si="0"/>
        <v>08/1964</v>
      </c>
      <c r="C57" s="10">
        <v>5.75</v>
      </c>
    </row>
    <row r="58" spans="1:3" x14ac:dyDescent="0.35">
      <c r="A58" s="9">
        <v>23621</v>
      </c>
      <c r="B58" s="9" t="str">
        <f t="shared" si="0"/>
        <v>09/1964</v>
      </c>
      <c r="C58" s="10">
        <v>5.77</v>
      </c>
    </row>
    <row r="59" spans="1:3" x14ac:dyDescent="0.35">
      <c r="A59" s="9">
        <v>23651</v>
      </c>
      <c r="B59" s="9" t="str">
        <f t="shared" si="0"/>
        <v>10/1964</v>
      </c>
      <c r="C59" s="10">
        <v>5.84</v>
      </c>
    </row>
    <row r="60" spans="1:3" x14ac:dyDescent="0.35">
      <c r="A60" s="9">
        <v>23682</v>
      </c>
      <c r="B60" s="9" t="str">
        <f t="shared" si="0"/>
        <v>11/1964</v>
      </c>
      <c r="C60" s="10">
        <v>6.07</v>
      </c>
    </row>
    <row r="61" spans="1:3" x14ac:dyDescent="0.35">
      <c r="A61" s="9">
        <v>23712</v>
      </c>
      <c r="B61" s="9" t="str">
        <f t="shared" si="0"/>
        <v>12/1964</v>
      </c>
      <c r="C61" s="10">
        <v>6.38</v>
      </c>
    </row>
    <row r="62" spans="1:3" x14ac:dyDescent="0.35">
      <c r="A62" s="9">
        <v>23743</v>
      </c>
      <c r="B62" s="9" t="str">
        <f t="shared" si="0"/>
        <v>01/1965</v>
      </c>
      <c r="C62" s="10">
        <v>6.35</v>
      </c>
    </row>
    <row r="63" spans="1:3" x14ac:dyDescent="0.35">
      <c r="A63" s="9">
        <v>23774</v>
      </c>
      <c r="B63" s="9" t="str">
        <f t="shared" si="0"/>
        <v>02/1965</v>
      </c>
      <c r="C63" s="10">
        <v>6.36</v>
      </c>
    </row>
    <row r="64" spans="1:3" x14ac:dyDescent="0.35">
      <c r="A64" s="9">
        <v>23802</v>
      </c>
      <c r="B64" s="9" t="str">
        <f t="shared" si="0"/>
        <v>03/1965</v>
      </c>
      <c r="C64" s="10">
        <v>6.52</v>
      </c>
    </row>
    <row r="65" spans="1:3" x14ac:dyDescent="0.35">
      <c r="A65" s="9">
        <v>23833</v>
      </c>
      <c r="B65" s="9" t="str">
        <f t="shared" si="0"/>
        <v>04/1965</v>
      </c>
      <c r="C65" s="10">
        <v>6.6</v>
      </c>
    </row>
    <row r="66" spans="1:3" x14ac:dyDescent="0.35">
      <c r="A66" s="9">
        <v>23863</v>
      </c>
      <c r="B66" s="9" t="str">
        <f t="shared" si="0"/>
        <v>05/1965</v>
      </c>
      <c r="C66" s="10">
        <v>6.69</v>
      </c>
    </row>
    <row r="67" spans="1:3" x14ac:dyDescent="0.35">
      <c r="A67" s="9">
        <v>23894</v>
      </c>
      <c r="B67" s="9" t="str">
        <f t="shared" ref="B67:B130" si="1">TEXT(A67,"mm/YYYY")</f>
        <v>06/1965</v>
      </c>
      <c r="C67" s="10">
        <v>6.73</v>
      </c>
    </row>
    <row r="68" spans="1:3" x14ac:dyDescent="0.35">
      <c r="A68" s="9">
        <v>23924</v>
      </c>
      <c r="B68" s="9" t="str">
        <f t="shared" si="1"/>
        <v>07/1965</v>
      </c>
      <c r="C68" s="10">
        <v>6.79</v>
      </c>
    </row>
    <row r="69" spans="1:3" x14ac:dyDescent="0.35">
      <c r="A69" s="9">
        <v>23955</v>
      </c>
      <c r="B69" s="9" t="str">
        <f t="shared" si="1"/>
        <v>08/1965</v>
      </c>
      <c r="C69" s="10">
        <v>6.68</v>
      </c>
    </row>
    <row r="70" spans="1:3" x14ac:dyDescent="0.35">
      <c r="A70" s="9">
        <v>23986</v>
      </c>
      <c r="B70" s="9" t="str">
        <f t="shared" si="1"/>
        <v>09/1965</v>
      </c>
      <c r="C70" s="10">
        <v>6.47</v>
      </c>
    </row>
    <row r="71" spans="1:3" x14ac:dyDescent="0.35">
      <c r="A71" s="9">
        <v>24016</v>
      </c>
      <c r="B71" s="9" t="str">
        <f t="shared" si="1"/>
        <v>10/1965</v>
      </c>
      <c r="C71" s="10">
        <v>6.43</v>
      </c>
    </row>
    <row r="72" spans="1:3" x14ac:dyDescent="0.35">
      <c r="A72" s="9">
        <v>24047</v>
      </c>
      <c r="B72" s="9" t="str">
        <f t="shared" si="1"/>
        <v>11/1965</v>
      </c>
      <c r="C72" s="10">
        <v>6.41</v>
      </c>
    </row>
    <row r="73" spans="1:3" x14ac:dyDescent="0.35">
      <c r="A73" s="9">
        <v>24077</v>
      </c>
      <c r="B73" s="9" t="str">
        <f t="shared" si="1"/>
        <v>12/1965</v>
      </c>
      <c r="C73" s="10">
        <v>6.59</v>
      </c>
    </row>
    <row r="74" spans="1:3" x14ac:dyDescent="0.35">
      <c r="A74" s="9">
        <v>24108</v>
      </c>
      <c r="B74" s="9" t="str">
        <f t="shared" si="1"/>
        <v>01/1966</v>
      </c>
      <c r="C74" s="10">
        <v>6.42</v>
      </c>
    </row>
    <row r="75" spans="1:3" x14ac:dyDescent="0.35">
      <c r="A75" s="9">
        <v>24139</v>
      </c>
      <c r="B75" s="9" t="str">
        <f t="shared" si="1"/>
        <v>02/1966</v>
      </c>
      <c r="C75" s="10">
        <v>6.55</v>
      </c>
    </row>
    <row r="76" spans="1:3" x14ac:dyDescent="0.35">
      <c r="A76" s="9">
        <v>24167</v>
      </c>
      <c r="B76" s="9" t="str">
        <f t="shared" si="1"/>
        <v>03/1966</v>
      </c>
      <c r="C76" s="10">
        <v>6.73</v>
      </c>
    </row>
    <row r="77" spans="1:3" x14ac:dyDescent="0.35">
      <c r="A77" s="9">
        <v>24198</v>
      </c>
      <c r="B77" s="9" t="str">
        <f t="shared" si="1"/>
        <v>04/1966</v>
      </c>
      <c r="C77" s="10">
        <v>6.7</v>
      </c>
    </row>
    <row r="78" spans="1:3" x14ac:dyDescent="0.35">
      <c r="A78" s="9">
        <v>24228</v>
      </c>
      <c r="B78" s="9" t="str">
        <f t="shared" si="1"/>
        <v>05/1966</v>
      </c>
      <c r="C78" s="10">
        <v>6.76</v>
      </c>
    </row>
    <row r="79" spans="1:3" x14ac:dyDescent="0.35">
      <c r="A79" s="9">
        <v>24259</v>
      </c>
      <c r="B79" s="9" t="str">
        <f t="shared" si="1"/>
        <v>06/1966</v>
      </c>
      <c r="C79" s="10">
        <v>7</v>
      </c>
    </row>
    <row r="80" spans="1:3" x14ac:dyDescent="0.35">
      <c r="A80" s="9">
        <v>24289</v>
      </c>
      <c r="B80" s="9" t="str">
        <f t="shared" si="1"/>
        <v>07/1966</v>
      </c>
      <c r="C80" s="10">
        <v>7.34</v>
      </c>
    </row>
    <row r="81" spans="1:3" x14ac:dyDescent="0.35">
      <c r="A81" s="9">
        <v>24320</v>
      </c>
      <c r="B81" s="9" t="str">
        <f t="shared" si="1"/>
        <v>08/1966</v>
      </c>
      <c r="C81" s="10">
        <v>7.49</v>
      </c>
    </row>
    <row r="82" spans="1:3" x14ac:dyDescent="0.35">
      <c r="A82" s="9">
        <v>24351</v>
      </c>
      <c r="B82" s="9" t="str">
        <f t="shared" si="1"/>
        <v>09/1966</v>
      </c>
      <c r="C82" s="10">
        <v>7</v>
      </c>
    </row>
    <row r="83" spans="1:3" x14ac:dyDescent="0.35">
      <c r="A83" s="9">
        <v>24381</v>
      </c>
      <c r="B83" s="9" t="str">
        <f t="shared" si="1"/>
        <v>10/1966</v>
      </c>
      <c r="C83" s="10">
        <v>6.92</v>
      </c>
    </row>
    <row r="84" spans="1:3" x14ac:dyDescent="0.35">
      <c r="A84" s="9">
        <v>24412</v>
      </c>
      <c r="B84" s="9" t="str">
        <f t="shared" si="1"/>
        <v>11/1966</v>
      </c>
      <c r="C84" s="10">
        <v>6.86</v>
      </c>
    </row>
    <row r="85" spans="1:3" x14ac:dyDescent="0.35">
      <c r="A85" s="9">
        <v>24442</v>
      </c>
      <c r="B85" s="9" t="str">
        <f t="shared" si="1"/>
        <v>12/1966</v>
      </c>
      <c r="C85" s="10">
        <v>6.63</v>
      </c>
    </row>
    <row r="86" spans="1:3" x14ac:dyDescent="0.35">
      <c r="A86" s="9">
        <v>24473</v>
      </c>
      <c r="B86" s="9" t="str">
        <f t="shared" si="1"/>
        <v>01/1967</v>
      </c>
      <c r="C86" s="10">
        <v>6.57</v>
      </c>
    </row>
    <row r="87" spans="1:3" x14ac:dyDescent="0.35">
      <c r="A87" s="9">
        <v>24504</v>
      </c>
      <c r="B87" s="9" t="str">
        <f t="shared" si="1"/>
        <v>02/1967</v>
      </c>
      <c r="C87" s="10">
        <v>6.4</v>
      </c>
    </row>
    <row r="88" spans="1:3" x14ac:dyDescent="0.35">
      <c r="A88" s="9">
        <v>24532</v>
      </c>
      <c r="B88" s="9" t="str">
        <f t="shared" si="1"/>
        <v>03/1967</v>
      </c>
      <c r="C88" s="10">
        <v>6.43</v>
      </c>
    </row>
    <row r="89" spans="1:3" x14ac:dyDescent="0.35">
      <c r="A89" s="9">
        <v>24563</v>
      </c>
      <c r="B89" s="9" t="str">
        <f t="shared" si="1"/>
        <v>04/1967</v>
      </c>
      <c r="C89" s="10">
        <v>6.37</v>
      </c>
    </row>
    <row r="90" spans="1:3" x14ac:dyDescent="0.35">
      <c r="A90" s="9">
        <v>24593</v>
      </c>
      <c r="B90" s="9" t="str">
        <f t="shared" si="1"/>
        <v>05/1967</v>
      </c>
      <c r="C90" s="10">
        <v>6.42</v>
      </c>
    </row>
    <row r="91" spans="1:3" x14ac:dyDescent="0.35">
      <c r="A91" s="9">
        <v>24624</v>
      </c>
      <c r="B91" s="9" t="str">
        <f t="shared" si="1"/>
        <v>06/1967</v>
      </c>
      <c r="C91" s="10">
        <v>6.64</v>
      </c>
    </row>
    <row r="92" spans="1:3" x14ac:dyDescent="0.35">
      <c r="A92" s="9">
        <v>24654</v>
      </c>
      <c r="B92" s="9" t="str">
        <f t="shared" si="1"/>
        <v>07/1967</v>
      </c>
      <c r="C92" s="10">
        <v>6.81</v>
      </c>
    </row>
    <row r="93" spans="1:3" x14ac:dyDescent="0.35">
      <c r="A93" s="9">
        <v>24685</v>
      </c>
      <c r="B93" s="9" t="str">
        <f t="shared" si="1"/>
        <v>08/1967</v>
      </c>
      <c r="C93" s="10">
        <v>6.71</v>
      </c>
    </row>
    <row r="94" spans="1:3" x14ac:dyDescent="0.35">
      <c r="A94" s="9">
        <v>24716</v>
      </c>
      <c r="B94" s="9" t="str">
        <f t="shared" si="1"/>
        <v>09/1967</v>
      </c>
      <c r="C94" s="10">
        <v>6.74</v>
      </c>
    </row>
    <row r="95" spans="1:3" x14ac:dyDescent="0.35">
      <c r="A95" s="9">
        <v>24746</v>
      </c>
      <c r="B95" s="9" t="str">
        <f t="shared" si="1"/>
        <v>10/1967</v>
      </c>
      <c r="C95" s="10">
        <v>6.9</v>
      </c>
    </row>
    <row r="96" spans="1:3" x14ac:dyDescent="0.35">
      <c r="A96" s="9">
        <v>24777</v>
      </c>
      <c r="B96" s="9" t="str">
        <f t="shared" si="1"/>
        <v>11/1967</v>
      </c>
      <c r="C96" s="10">
        <v>7.1</v>
      </c>
    </row>
    <row r="97" spans="1:3" x14ac:dyDescent="0.35">
      <c r="A97" s="9">
        <v>24807</v>
      </c>
      <c r="B97" s="9" t="str">
        <f t="shared" si="1"/>
        <v>12/1967</v>
      </c>
      <c r="C97" s="10">
        <v>7.31</v>
      </c>
    </row>
    <row r="98" spans="1:3" x14ac:dyDescent="0.35">
      <c r="A98" s="9">
        <v>24838</v>
      </c>
      <c r="B98" s="9" t="str">
        <f t="shared" si="1"/>
        <v>01/1968</v>
      </c>
      <c r="C98" s="10">
        <v>7.3</v>
      </c>
    </row>
    <row r="99" spans="1:3" x14ac:dyDescent="0.35">
      <c r="A99" s="9">
        <v>24869</v>
      </c>
      <c r="B99" s="9" t="str">
        <f t="shared" si="1"/>
        <v>02/1968</v>
      </c>
      <c r="C99" s="10">
        <v>7.27</v>
      </c>
    </row>
    <row r="100" spans="1:3" x14ac:dyDescent="0.35">
      <c r="A100" s="9">
        <v>24898</v>
      </c>
      <c r="B100" s="9" t="str">
        <f t="shared" si="1"/>
        <v>03/1968</v>
      </c>
      <c r="C100" s="10">
        <v>7.3</v>
      </c>
    </row>
    <row r="101" spans="1:3" x14ac:dyDescent="0.35">
      <c r="A101" s="9">
        <v>24929</v>
      </c>
      <c r="B101" s="9" t="str">
        <f t="shared" si="1"/>
        <v>04/1968</v>
      </c>
      <c r="C101" s="10">
        <v>7.27</v>
      </c>
    </row>
    <row r="102" spans="1:3" x14ac:dyDescent="0.35">
      <c r="A102" s="9">
        <v>24959</v>
      </c>
      <c r="B102" s="9" t="str">
        <f t="shared" si="1"/>
        <v>05/1968</v>
      </c>
      <c r="C102" s="10">
        <v>7.36</v>
      </c>
    </row>
    <row r="103" spans="1:3" x14ac:dyDescent="0.35">
      <c r="A103" s="9">
        <v>24990</v>
      </c>
      <c r="B103" s="9" t="str">
        <f t="shared" si="1"/>
        <v>06/1968</v>
      </c>
      <c r="C103" s="10">
        <v>7.61</v>
      </c>
    </row>
    <row r="104" spans="1:3" x14ac:dyDescent="0.35">
      <c r="A104" s="9">
        <v>25020</v>
      </c>
      <c r="B104" s="9" t="str">
        <f t="shared" si="1"/>
        <v>07/1968</v>
      </c>
      <c r="C104" s="10">
        <v>7.69</v>
      </c>
    </row>
    <row r="105" spans="1:3" x14ac:dyDescent="0.35">
      <c r="A105" s="9">
        <v>25051</v>
      </c>
      <c r="B105" s="9" t="str">
        <f t="shared" si="1"/>
        <v>08/1968</v>
      </c>
      <c r="C105" s="10">
        <v>7.55</v>
      </c>
    </row>
    <row r="106" spans="1:3" x14ac:dyDescent="0.35">
      <c r="A106" s="9">
        <v>25082</v>
      </c>
      <c r="B106" s="9" t="str">
        <f t="shared" si="1"/>
        <v>09/1968</v>
      </c>
      <c r="C106" s="10">
        <v>7.5</v>
      </c>
    </row>
    <row r="107" spans="1:3" x14ac:dyDescent="0.35">
      <c r="A107" s="9">
        <v>25112</v>
      </c>
      <c r="B107" s="9" t="str">
        <f t="shared" si="1"/>
        <v>10/1968</v>
      </c>
      <c r="C107" s="10">
        <v>7.52</v>
      </c>
    </row>
    <row r="108" spans="1:3" x14ac:dyDescent="0.35">
      <c r="A108" s="9">
        <v>25143</v>
      </c>
      <c r="B108" s="9" t="str">
        <f t="shared" si="1"/>
        <v>11/1968</v>
      </c>
      <c r="C108" s="10">
        <v>7.73</v>
      </c>
    </row>
    <row r="109" spans="1:3" x14ac:dyDescent="0.35">
      <c r="A109" s="9">
        <v>25173</v>
      </c>
      <c r="B109" s="9" t="str">
        <f t="shared" si="1"/>
        <v>12/1968</v>
      </c>
      <c r="C109" s="10">
        <v>8.01</v>
      </c>
    </row>
    <row r="110" spans="1:3" x14ac:dyDescent="0.35">
      <c r="A110" s="9">
        <v>25204</v>
      </c>
      <c r="B110" s="9" t="str">
        <f t="shared" si="1"/>
        <v>01/1969</v>
      </c>
      <c r="C110" s="10">
        <v>8.26</v>
      </c>
    </row>
    <row r="111" spans="1:3" x14ac:dyDescent="0.35">
      <c r="A111" s="9">
        <v>25235</v>
      </c>
      <c r="B111" s="9" t="str">
        <f t="shared" si="1"/>
        <v>02/1969</v>
      </c>
      <c r="C111" s="10">
        <v>8.4</v>
      </c>
    </row>
    <row r="112" spans="1:3" x14ac:dyDescent="0.35">
      <c r="A112" s="9">
        <v>25263</v>
      </c>
      <c r="B112" s="9" t="str">
        <f t="shared" si="1"/>
        <v>03/1969</v>
      </c>
      <c r="C112" s="10">
        <v>8.66</v>
      </c>
    </row>
    <row r="113" spans="1:3" x14ac:dyDescent="0.35">
      <c r="A113" s="9">
        <v>25294</v>
      </c>
      <c r="B113" s="9" t="str">
        <f t="shared" si="1"/>
        <v>04/1969</v>
      </c>
      <c r="C113" s="10">
        <v>8.65</v>
      </c>
    </row>
    <row r="114" spans="1:3" x14ac:dyDescent="0.35">
      <c r="A114" s="9">
        <v>25324</v>
      </c>
      <c r="B114" s="9" t="str">
        <f t="shared" si="1"/>
        <v>05/1969</v>
      </c>
      <c r="C114" s="10">
        <v>8.9700000000000006</v>
      </c>
    </row>
    <row r="115" spans="1:3" x14ac:dyDescent="0.35">
      <c r="A115" s="9">
        <v>25355</v>
      </c>
      <c r="B115" s="9" t="str">
        <f t="shared" si="1"/>
        <v>06/1969</v>
      </c>
      <c r="C115" s="10">
        <v>9.2899999999999991</v>
      </c>
    </row>
    <row r="116" spans="1:3" x14ac:dyDescent="0.35">
      <c r="A116" s="9">
        <v>25385</v>
      </c>
      <c r="B116" s="9" t="str">
        <f t="shared" si="1"/>
        <v>07/1969</v>
      </c>
      <c r="C116" s="10">
        <v>8.98</v>
      </c>
    </row>
    <row r="117" spans="1:3" x14ac:dyDescent="0.35">
      <c r="A117" s="9">
        <v>25416</v>
      </c>
      <c r="B117" s="9" t="str">
        <f t="shared" si="1"/>
        <v>08/1969</v>
      </c>
      <c r="C117" s="10">
        <v>9.02</v>
      </c>
    </row>
    <row r="118" spans="1:3" x14ac:dyDescent="0.35">
      <c r="A118" s="9">
        <v>25447</v>
      </c>
      <c r="B118" s="9" t="str">
        <f t="shared" si="1"/>
        <v>09/1969</v>
      </c>
      <c r="C118" s="10">
        <v>9.06</v>
      </c>
    </row>
    <row r="119" spans="1:3" x14ac:dyDescent="0.35">
      <c r="A119" s="9">
        <v>25477</v>
      </c>
      <c r="B119" s="9" t="str">
        <f t="shared" si="1"/>
        <v>10/1969</v>
      </c>
      <c r="C119" s="10">
        <v>8.84</v>
      </c>
    </row>
    <row r="120" spans="1:3" x14ac:dyDescent="0.35">
      <c r="A120" s="9">
        <v>25508</v>
      </c>
      <c r="B120" s="9" t="str">
        <f t="shared" si="1"/>
        <v>11/1969</v>
      </c>
      <c r="C120" s="10">
        <v>8.92</v>
      </c>
    </row>
    <row r="121" spans="1:3" x14ac:dyDescent="0.35">
      <c r="A121" s="9">
        <v>25538</v>
      </c>
      <c r="B121" s="9" t="str">
        <f t="shared" si="1"/>
        <v>12/1969</v>
      </c>
      <c r="C121" s="10">
        <v>8.91</v>
      </c>
    </row>
    <row r="122" spans="1:3" x14ac:dyDescent="0.35">
      <c r="A122" s="9">
        <v>25569</v>
      </c>
      <c r="B122" s="9" t="str">
        <f t="shared" si="1"/>
        <v>01/1970</v>
      </c>
      <c r="C122" s="10">
        <v>8.89</v>
      </c>
    </row>
    <row r="123" spans="1:3" x14ac:dyDescent="0.35">
      <c r="A123" s="9">
        <v>25600</v>
      </c>
      <c r="B123" s="9" t="str">
        <f t="shared" si="1"/>
        <v>02/1970</v>
      </c>
      <c r="C123" s="10">
        <v>8.68</v>
      </c>
    </row>
    <row r="124" spans="1:3" x14ac:dyDescent="0.35">
      <c r="A124" s="9">
        <v>25628</v>
      </c>
      <c r="B124" s="9" t="str">
        <f t="shared" si="1"/>
        <v>03/1970</v>
      </c>
      <c r="C124" s="10">
        <v>8.5399999999999991</v>
      </c>
    </row>
    <row r="125" spans="1:3" x14ac:dyDescent="0.35">
      <c r="A125" s="9">
        <v>25659</v>
      </c>
      <c r="B125" s="9" t="str">
        <f t="shared" si="1"/>
        <v>04/1970</v>
      </c>
      <c r="C125" s="10">
        <v>8.5500000000000007</v>
      </c>
    </row>
    <row r="126" spans="1:3" x14ac:dyDescent="0.35">
      <c r="A126" s="9">
        <v>25689</v>
      </c>
      <c r="B126" s="9" t="str">
        <f t="shared" si="1"/>
        <v>05/1970</v>
      </c>
      <c r="C126" s="10">
        <v>8.8000000000000007</v>
      </c>
    </row>
    <row r="127" spans="1:3" x14ac:dyDescent="0.35">
      <c r="A127" s="9">
        <v>25720</v>
      </c>
      <c r="B127" s="9" t="str">
        <f t="shared" si="1"/>
        <v>06/1970</v>
      </c>
      <c r="C127" s="10">
        <v>8.85</v>
      </c>
    </row>
    <row r="128" spans="1:3" x14ac:dyDescent="0.35">
      <c r="A128" s="9">
        <v>25750</v>
      </c>
      <c r="B128" s="9" t="str">
        <f t="shared" si="1"/>
        <v>07/1970</v>
      </c>
      <c r="C128" s="10">
        <v>8.5</v>
      </c>
    </row>
    <row r="129" spans="1:3" x14ac:dyDescent="0.35">
      <c r="A129" s="9">
        <v>25781</v>
      </c>
      <c r="B129" s="9" t="str">
        <f t="shared" si="1"/>
        <v>08/1970</v>
      </c>
      <c r="C129" s="10">
        <v>8.33</v>
      </c>
    </row>
    <row r="130" spans="1:3" x14ac:dyDescent="0.35">
      <c r="A130" s="9">
        <v>25812</v>
      </c>
      <c r="B130" s="9" t="str">
        <f t="shared" si="1"/>
        <v>09/1970</v>
      </c>
      <c r="C130" s="10">
        <v>8.43</v>
      </c>
    </row>
    <row r="131" spans="1:3" x14ac:dyDescent="0.35">
      <c r="A131" s="9">
        <v>25842</v>
      </c>
      <c r="B131" s="9" t="str">
        <f t="shared" ref="B131:B194" si="2">TEXT(A131,"mm/YYYY")</f>
        <v>10/1970</v>
      </c>
      <c r="C131" s="10">
        <v>8.42</v>
      </c>
    </row>
    <row r="132" spans="1:3" x14ac:dyDescent="0.35">
      <c r="A132" s="9">
        <v>25873</v>
      </c>
      <c r="B132" s="9" t="str">
        <f t="shared" si="2"/>
        <v>11/1970</v>
      </c>
      <c r="C132" s="10">
        <v>8.69</v>
      </c>
    </row>
    <row r="133" spans="1:3" x14ac:dyDescent="0.35">
      <c r="A133" s="9">
        <v>25903</v>
      </c>
      <c r="B133" s="9" t="str">
        <f t="shared" si="2"/>
        <v>12/1970</v>
      </c>
      <c r="C133" s="10">
        <v>8.93</v>
      </c>
    </row>
    <row r="134" spans="1:3" x14ac:dyDescent="0.35">
      <c r="A134" s="9">
        <v>25934</v>
      </c>
      <c r="B134" s="9" t="str">
        <f t="shared" si="2"/>
        <v>01/1971</v>
      </c>
      <c r="C134" s="10">
        <v>8.8000000000000007</v>
      </c>
    </row>
    <row r="135" spans="1:3" x14ac:dyDescent="0.35">
      <c r="A135" s="9">
        <v>25965</v>
      </c>
      <c r="B135" s="9" t="str">
        <f t="shared" si="2"/>
        <v>02/1971</v>
      </c>
      <c r="C135" s="10">
        <v>8.59</v>
      </c>
    </row>
    <row r="136" spans="1:3" x14ac:dyDescent="0.35">
      <c r="A136" s="9">
        <v>25993</v>
      </c>
      <c r="B136" s="9" t="str">
        <f t="shared" si="2"/>
        <v>03/1971</v>
      </c>
      <c r="C136" s="10">
        <v>8.34</v>
      </c>
    </row>
    <row r="137" spans="1:3" x14ac:dyDescent="0.35">
      <c r="A137" s="9">
        <v>26024</v>
      </c>
      <c r="B137" s="9" t="str">
        <f t="shared" si="2"/>
        <v>04/1971</v>
      </c>
      <c r="C137" s="10">
        <v>8.2100000000000009</v>
      </c>
    </row>
    <row r="138" spans="1:3" x14ac:dyDescent="0.35">
      <c r="A138" s="9">
        <v>26054</v>
      </c>
      <c r="B138" s="9" t="str">
        <f t="shared" si="2"/>
        <v>05/1971</v>
      </c>
      <c r="C138" s="10">
        <v>8.09</v>
      </c>
    </row>
    <row r="139" spans="1:3" x14ac:dyDescent="0.35">
      <c r="A139" s="9">
        <v>26085</v>
      </c>
      <c r="B139" s="9" t="str">
        <f t="shared" si="2"/>
        <v>06/1971</v>
      </c>
      <c r="C139" s="10">
        <v>8.14</v>
      </c>
    </row>
    <row r="140" spans="1:3" x14ac:dyDescent="0.35">
      <c r="A140" s="9">
        <v>26115</v>
      </c>
      <c r="B140" s="9" t="str">
        <f t="shared" si="2"/>
        <v>07/1971</v>
      </c>
      <c r="C140" s="10">
        <v>7.71</v>
      </c>
    </row>
    <row r="141" spans="1:3" x14ac:dyDescent="0.35">
      <c r="A141" s="9">
        <v>26146</v>
      </c>
      <c r="B141" s="9" t="str">
        <f t="shared" si="2"/>
        <v>08/1971</v>
      </c>
      <c r="C141" s="10">
        <v>7.69</v>
      </c>
    </row>
    <row r="142" spans="1:3" x14ac:dyDescent="0.35">
      <c r="A142" s="9">
        <v>26177</v>
      </c>
      <c r="B142" s="9" t="str">
        <f t="shared" si="2"/>
        <v>09/1971</v>
      </c>
      <c r="C142" s="10">
        <v>7.47</v>
      </c>
    </row>
    <row r="143" spans="1:3" x14ac:dyDescent="0.35">
      <c r="A143" s="9">
        <v>26207</v>
      </c>
      <c r="B143" s="9" t="str">
        <f t="shared" si="2"/>
        <v>10/1971</v>
      </c>
      <c r="C143" s="10">
        <v>7.24</v>
      </c>
    </row>
    <row r="144" spans="1:3" x14ac:dyDescent="0.35">
      <c r="A144" s="9">
        <v>26238</v>
      </c>
      <c r="B144" s="9" t="str">
        <f t="shared" si="2"/>
        <v>11/1971</v>
      </c>
      <c r="C144" s="10">
        <v>7.05</v>
      </c>
    </row>
    <row r="145" spans="1:3" x14ac:dyDescent="0.35">
      <c r="A145" s="9">
        <v>26268</v>
      </c>
      <c r="B145" s="9" t="str">
        <f t="shared" si="2"/>
        <v>12/1971</v>
      </c>
      <c r="C145" s="10">
        <v>7.09</v>
      </c>
    </row>
    <row r="146" spans="1:3" x14ac:dyDescent="0.35">
      <c r="A146" s="9">
        <v>26299</v>
      </c>
      <c r="B146" s="9" t="str">
        <f t="shared" si="2"/>
        <v>01/1972</v>
      </c>
      <c r="C146" s="10">
        <v>7.03</v>
      </c>
    </row>
    <row r="147" spans="1:3" x14ac:dyDescent="0.35">
      <c r="A147" s="9">
        <v>26330</v>
      </c>
      <c r="B147" s="9" t="str">
        <f t="shared" si="2"/>
        <v>02/1972</v>
      </c>
      <c r="C147" s="10">
        <v>7.05</v>
      </c>
    </row>
    <row r="148" spans="1:3" x14ac:dyDescent="0.35">
      <c r="A148" s="9">
        <v>26359</v>
      </c>
      <c r="B148" s="9" t="str">
        <f t="shared" si="2"/>
        <v>03/1972</v>
      </c>
      <c r="C148" s="10">
        <v>7.39</v>
      </c>
    </row>
    <row r="149" spans="1:3" x14ac:dyDescent="0.35">
      <c r="A149" s="9">
        <v>26390</v>
      </c>
      <c r="B149" s="9" t="str">
        <f t="shared" si="2"/>
        <v>04/1972</v>
      </c>
      <c r="C149" s="10">
        <v>7.44</v>
      </c>
    </row>
    <row r="150" spans="1:3" x14ac:dyDescent="0.35">
      <c r="A150" s="9">
        <v>26420</v>
      </c>
      <c r="B150" s="9" t="str">
        <f t="shared" si="2"/>
        <v>05/1972</v>
      </c>
      <c r="C150" s="10">
        <v>7.85</v>
      </c>
    </row>
    <row r="151" spans="1:3" x14ac:dyDescent="0.35">
      <c r="A151" s="9">
        <v>26451</v>
      </c>
      <c r="B151" s="9" t="str">
        <f t="shared" si="2"/>
        <v>06/1972</v>
      </c>
      <c r="C151" s="10">
        <v>8.9499999999999993</v>
      </c>
    </row>
    <row r="152" spans="1:3" x14ac:dyDescent="0.35">
      <c r="A152" s="9">
        <v>26481</v>
      </c>
      <c r="B152" s="9" t="str">
        <f t="shared" si="2"/>
        <v>07/1972</v>
      </c>
      <c r="C152" s="10">
        <v>8.9</v>
      </c>
    </row>
    <row r="153" spans="1:3" x14ac:dyDescent="0.35">
      <c r="A153" s="9">
        <v>26512</v>
      </c>
      <c r="B153" s="9" t="str">
        <f t="shared" si="2"/>
        <v>08/1972</v>
      </c>
      <c r="C153" s="10">
        <v>9.0500000000000007</v>
      </c>
    </row>
    <row r="154" spans="1:3" x14ac:dyDescent="0.35">
      <c r="A154" s="9">
        <v>26543</v>
      </c>
      <c r="B154" s="9" t="str">
        <f t="shared" si="2"/>
        <v>09/1972</v>
      </c>
      <c r="C154" s="10">
        <v>9.2899999999999991</v>
      </c>
    </row>
    <row r="155" spans="1:3" x14ac:dyDescent="0.35">
      <c r="A155" s="9">
        <v>26573</v>
      </c>
      <c r="B155" s="9" t="str">
        <f t="shared" si="2"/>
        <v>10/1972</v>
      </c>
      <c r="C155" s="10">
        <v>9.1</v>
      </c>
    </row>
    <row r="156" spans="1:3" x14ac:dyDescent="0.35">
      <c r="A156" s="9">
        <v>26604</v>
      </c>
      <c r="B156" s="9" t="str">
        <f t="shared" si="2"/>
        <v>11/1972</v>
      </c>
      <c r="C156" s="10">
        <v>9.09</v>
      </c>
    </row>
    <row r="157" spans="1:3" x14ac:dyDescent="0.35">
      <c r="A157" s="9">
        <v>26634</v>
      </c>
      <c r="B157" s="9" t="str">
        <f t="shared" si="2"/>
        <v>12/1972</v>
      </c>
      <c r="C157" s="10">
        <v>9.36</v>
      </c>
    </row>
    <row r="158" spans="1:3" x14ac:dyDescent="0.35">
      <c r="A158" s="9">
        <v>26665</v>
      </c>
      <c r="B158" s="9" t="str">
        <f t="shared" si="2"/>
        <v>01/1973</v>
      </c>
      <c r="C158" s="10">
        <v>9.17</v>
      </c>
    </row>
    <row r="159" spans="1:3" x14ac:dyDescent="0.35">
      <c r="A159" s="9">
        <v>26696</v>
      </c>
      <c r="B159" s="9" t="str">
        <f t="shared" si="2"/>
        <v>02/1973</v>
      </c>
      <c r="C159" s="10">
        <v>9.33</v>
      </c>
    </row>
    <row r="160" spans="1:3" x14ac:dyDescent="0.35">
      <c r="A160" s="9">
        <v>26724</v>
      </c>
      <c r="B160" s="9" t="str">
        <f t="shared" si="2"/>
        <v>03/1973</v>
      </c>
      <c r="C160" s="10">
        <v>9.7799999999999994</v>
      </c>
    </row>
    <row r="161" spans="1:3" x14ac:dyDescent="0.35">
      <c r="A161" s="9">
        <v>26755</v>
      </c>
      <c r="B161" s="9" t="str">
        <f t="shared" si="2"/>
        <v>04/1973</v>
      </c>
      <c r="C161" s="10">
        <v>9.66</v>
      </c>
    </row>
    <row r="162" spans="1:3" x14ac:dyDescent="0.35">
      <c r="A162" s="9">
        <v>26785</v>
      </c>
      <c r="B162" s="9" t="str">
        <f t="shared" si="2"/>
        <v>05/1973</v>
      </c>
      <c r="C162" s="10">
        <v>9.74</v>
      </c>
    </row>
    <row r="163" spans="1:3" x14ac:dyDescent="0.35">
      <c r="A163" s="9">
        <v>26816</v>
      </c>
      <c r="B163" s="9" t="str">
        <f t="shared" si="2"/>
        <v>06/1973</v>
      </c>
      <c r="C163" s="10">
        <v>9.8800000000000008</v>
      </c>
    </row>
    <row r="164" spans="1:3" x14ac:dyDescent="0.35">
      <c r="A164" s="9">
        <v>26846</v>
      </c>
      <c r="B164" s="9" t="str">
        <f t="shared" si="2"/>
        <v>07/1973</v>
      </c>
      <c r="C164" s="10">
        <v>10.43</v>
      </c>
    </row>
    <row r="165" spans="1:3" x14ac:dyDescent="0.35">
      <c r="A165" s="9">
        <v>26877</v>
      </c>
      <c r="B165" s="9" t="str">
        <f t="shared" si="2"/>
        <v>08/1973</v>
      </c>
      <c r="C165" s="10">
        <v>11.22</v>
      </c>
    </row>
    <row r="166" spans="1:3" x14ac:dyDescent="0.35">
      <c r="A166" s="9">
        <v>26908</v>
      </c>
      <c r="B166" s="9" t="str">
        <f t="shared" si="2"/>
        <v>09/1973</v>
      </c>
      <c r="C166" s="10">
        <v>11.48</v>
      </c>
    </row>
    <row r="167" spans="1:3" x14ac:dyDescent="0.35">
      <c r="A167" s="9">
        <v>26938</v>
      </c>
      <c r="B167" s="9" t="str">
        <f t="shared" si="2"/>
        <v>10/1973</v>
      </c>
      <c r="C167" s="10">
        <v>11.29</v>
      </c>
    </row>
    <row r="168" spans="1:3" x14ac:dyDescent="0.35">
      <c r="A168" s="9">
        <v>26969</v>
      </c>
      <c r="B168" s="9" t="str">
        <f t="shared" si="2"/>
        <v>11/1973</v>
      </c>
      <c r="C168" s="10">
        <v>12.08</v>
      </c>
    </row>
    <row r="169" spans="1:3" x14ac:dyDescent="0.35">
      <c r="A169" s="9">
        <v>26999</v>
      </c>
      <c r="B169" s="9" t="str">
        <f t="shared" si="2"/>
        <v>12/1973</v>
      </c>
      <c r="C169" s="10">
        <v>12.64</v>
      </c>
    </row>
    <row r="170" spans="1:3" x14ac:dyDescent="0.35">
      <c r="A170" s="9">
        <v>27030</v>
      </c>
      <c r="B170" s="9" t="str">
        <f t="shared" si="2"/>
        <v>01/1974</v>
      </c>
      <c r="C170" s="10">
        <v>13</v>
      </c>
    </row>
    <row r="171" spans="1:3" x14ac:dyDescent="0.35">
      <c r="A171" s="9">
        <v>27061</v>
      </c>
      <c r="B171" s="9" t="str">
        <f t="shared" si="2"/>
        <v>02/1974</v>
      </c>
      <c r="C171" s="10">
        <v>13.46</v>
      </c>
    </row>
    <row r="172" spans="1:3" x14ac:dyDescent="0.35">
      <c r="A172" s="9">
        <v>27089</v>
      </c>
      <c r="B172" s="9" t="str">
        <f t="shared" si="2"/>
        <v>03/1974</v>
      </c>
      <c r="C172" s="10">
        <v>13.51</v>
      </c>
    </row>
    <row r="173" spans="1:3" x14ac:dyDescent="0.35">
      <c r="A173" s="9">
        <v>27120</v>
      </c>
      <c r="B173" s="9" t="str">
        <f t="shared" si="2"/>
        <v>04/1974</v>
      </c>
      <c r="C173" s="10">
        <v>13.82</v>
      </c>
    </row>
    <row r="174" spans="1:3" x14ac:dyDescent="0.35">
      <c r="A174" s="9">
        <v>27150</v>
      </c>
      <c r="B174" s="9" t="str">
        <f t="shared" si="2"/>
        <v>05/1974</v>
      </c>
      <c r="C174" s="10">
        <v>13.33</v>
      </c>
    </row>
    <row r="175" spans="1:3" x14ac:dyDescent="0.35">
      <c r="A175" s="9">
        <v>27181</v>
      </c>
      <c r="B175" s="9" t="str">
        <f t="shared" si="2"/>
        <v>06/1974</v>
      </c>
      <c r="C175" s="10">
        <v>13.81</v>
      </c>
    </row>
    <row r="176" spans="1:3" x14ac:dyDescent="0.35">
      <c r="A176" s="9">
        <v>27211</v>
      </c>
      <c r="B176" s="9" t="str">
        <f t="shared" si="2"/>
        <v>07/1974</v>
      </c>
      <c r="C176" s="10">
        <v>14.17</v>
      </c>
    </row>
    <row r="177" spans="1:3" x14ac:dyDescent="0.35">
      <c r="A177" s="9">
        <v>27242</v>
      </c>
      <c r="B177" s="9" t="str">
        <f t="shared" si="2"/>
        <v>08/1974</v>
      </c>
      <c r="C177" s="10">
        <v>14.52</v>
      </c>
    </row>
    <row r="178" spans="1:3" x14ac:dyDescent="0.35">
      <c r="A178" s="9">
        <v>27273</v>
      </c>
      <c r="B178" s="9" t="str">
        <f t="shared" si="2"/>
        <v>09/1974</v>
      </c>
      <c r="C178" s="10">
        <v>14.17</v>
      </c>
    </row>
    <row r="179" spans="1:3" x14ac:dyDescent="0.35">
      <c r="A179" s="9">
        <v>27303</v>
      </c>
      <c r="B179" s="9" t="str">
        <f t="shared" si="2"/>
        <v>10/1974</v>
      </c>
      <c r="C179" s="10">
        <v>14.61</v>
      </c>
    </row>
    <row r="180" spans="1:3" x14ac:dyDescent="0.35">
      <c r="A180" s="9">
        <v>27334</v>
      </c>
      <c r="B180" s="9" t="str">
        <f t="shared" si="2"/>
        <v>11/1974</v>
      </c>
      <c r="C180" s="10">
        <v>15.76</v>
      </c>
    </row>
    <row r="181" spans="1:3" x14ac:dyDescent="0.35">
      <c r="A181" s="9">
        <v>27364</v>
      </c>
      <c r="B181" s="9" t="str">
        <f t="shared" si="2"/>
        <v>12/1974</v>
      </c>
      <c r="C181" s="10">
        <v>16.32</v>
      </c>
    </row>
    <row r="182" spans="1:3" x14ac:dyDescent="0.35">
      <c r="A182" s="9">
        <v>27395</v>
      </c>
      <c r="B182" s="9" t="str">
        <f t="shared" si="2"/>
        <v>01/1975</v>
      </c>
      <c r="C182" s="10">
        <v>15.07</v>
      </c>
    </row>
    <row r="183" spans="1:3" x14ac:dyDescent="0.35">
      <c r="A183" s="9">
        <v>27426</v>
      </c>
      <c r="B183" s="9" t="str">
        <f t="shared" si="2"/>
        <v>02/1975</v>
      </c>
      <c r="C183" s="10">
        <v>13.33</v>
      </c>
    </row>
    <row r="184" spans="1:3" x14ac:dyDescent="0.35">
      <c r="A184" s="9">
        <v>27454</v>
      </c>
      <c r="B184" s="9" t="str">
        <f t="shared" si="2"/>
        <v>03/1975</v>
      </c>
      <c r="C184" s="10">
        <v>12.24</v>
      </c>
    </row>
    <row r="185" spans="1:3" x14ac:dyDescent="0.35">
      <c r="A185" s="9">
        <v>27485</v>
      </c>
      <c r="B185" s="9" t="str">
        <f t="shared" si="2"/>
        <v>04/1975</v>
      </c>
      <c r="C185" s="10">
        <v>12.42</v>
      </c>
    </row>
    <row r="186" spans="1:3" x14ac:dyDescent="0.35">
      <c r="A186" s="9">
        <v>27515</v>
      </c>
      <c r="B186" s="9" t="str">
        <f t="shared" si="2"/>
        <v>05/1975</v>
      </c>
      <c r="C186" s="10">
        <v>13.11</v>
      </c>
    </row>
    <row r="187" spans="1:3" x14ac:dyDescent="0.35">
      <c r="A187" s="9">
        <v>27546</v>
      </c>
      <c r="B187" s="9" t="str">
        <f t="shared" si="2"/>
        <v>06/1975</v>
      </c>
      <c r="C187" s="10">
        <v>12.99</v>
      </c>
    </row>
    <row r="188" spans="1:3" x14ac:dyDescent="0.35">
      <c r="A188" s="9">
        <v>27576</v>
      </c>
      <c r="B188" s="9" t="str">
        <f t="shared" si="2"/>
        <v>07/1975</v>
      </c>
      <c r="C188" s="10">
        <v>12.75</v>
      </c>
    </row>
    <row r="189" spans="1:3" x14ac:dyDescent="0.35">
      <c r="A189" s="9">
        <v>27607</v>
      </c>
      <c r="B189" s="9" t="str">
        <f t="shared" si="2"/>
        <v>08/1975</v>
      </c>
      <c r="C189" s="10">
        <v>12.77</v>
      </c>
    </row>
    <row r="190" spans="1:3" x14ac:dyDescent="0.35">
      <c r="A190" s="9">
        <v>27638</v>
      </c>
      <c r="B190" s="9" t="str">
        <f t="shared" si="2"/>
        <v>09/1975</v>
      </c>
      <c r="C190" s="10">
        <v>12.76</v>
      </c>
    </row>
    <row r="191" spans="1:3" x14ac:dyDescent="0.35">
      <c r="A191" s="9">
        <v>27668</v>
      </c>
      <c r="B191" s="9" t="str">
        <f t="shared" si="2"/>
        <v>10/1975</v>
      </c>
      <c r="C191" s="10">
        <v>13.51</v>
      </c>
    </row>
    <row r="192" spans="1:3" x14ac:dyDescent="0.35">
      <c r="A192" s="9">
        <v>27699</v>
      </c>
      <c r="B192" s="9" t="str">
        <f t="shared" si="2"/>
        <v>11/1975</v>
      </c>
      <c r="C192" s="10">
        <v>13.66</v>
      </c>
    </row>
    <row r="193" spans="1:3" x14ac:dyDescent="0.35">
      <c r="A193" s="9">
        <v>27729</v>
      </c>
      <c r="B193" s="9" t="str">
        <f t="shared" si="2"/>
        <v>12/1975</v>
      </c>
      <c r="C193" s="10">
        <v>13.57</v>
      </c>
    </row>
    <row r="194" spans="1:3" x14ac:dyDescent="0.35">
      <c r="A194" s="9">
        <v>27760</v>
      </c>
      <c r="B194" s="9" t="str">
        <f t="shared" si="2"/>
        <v>01/1976</v>
      </c>
      <c r="C194" s="10">
        <v>12.64</v>
      </c>
    </row>
    <row r="195" spans="1:3" x14ac:dyDescent="0.35">
      <c r="A195" s="9">
        <v>27791</v>
      </c>
      <c r="B195" s="9" t="str">
        <f t="shared" ref="B195:B258" si="3">TEXT(A195,"mm/YYYY")</f>
        <v>02/1976</v>
      </c>
      <c r="C195" s="10">
        <v>12.13</v>
      </c>
    </row>
    <row r="196" spans="1:3" x14ac:dyDescent="0.35">
      <c r="A196" s="9">
        <v>27820</v>
      </c>
      <c r="B196" s="9" t="str">
        <f t="shared" si="3"/>
        <v>03/1976</v>
      </c>
      <c r="C196" s="10">
        <v>12.55</v>
      </c>
    </row>
    <row r="197" spans="1:3" x14ac:dyDescent="0.35">
      <c r="A197" s="9">
        <v>27851</v>
      </c>
      <c r="B197" s="9" t="str">
        <f t="shared" si="3"/>
        <v>04/1976</v>
      </c>
      <c r="C197" s="10">
        <v>12.47</v>
      </c>
    </row>
    <row r="198" spans="1:3" x14ac:dyDescent="0.35">
      <c r="A198" s="9">
        <v>27881</v>
      </c>
      <c r="B198" s="9" t="str">
        <f t="shared" si="3"/>
        <v>05/1976</v>
      </c>
      <c r="C198" s="10">
        <v>12.37</v>
      </c>
    </row>
    <row r="199" spans="1:3" x14ac:dyDescent="0.35">
      <c r="A199" s="9">
        <v>27912</v>
      </c>
      <c r="B199" s="9" t="str">
        <f t="shared" si="3"/>
        <v>06/1976</v>
      </c>
      <c r="C199" s="10">
        <v>13.45</v>
      </c>
    </row>
    <row r="200" spans="1:3" x14ac:dyDescent="0.35">
      <c r="A200" s="9">
        <v>27942</v>
      </c>
      <c r="B200" s="9" t="str">
        <f t="shared" si="3"/>
        <v>07/1976</v>
      </c>
      <c r="C200" s="10">
        <v>13.56</v>
      </c>
    </row>
    <row r="201" spans="1:3" x14ac:dyDescent="0.35">
      <c r="A201" s="9">
        <v>27973</v>
      </c>
      <c r="B201" s="9" t="str">
        <f t="shared" si="3"/>
        <v>08/1976</v>
      </c>
      <c r="C201" s="10">
        <v>13.67</v>
      </c>
    </row>
    <row r="202" spans="1:3" x14ac:dyDescent="0.35">
      <c r="A202" s="9">
        <v>28004</v>
      </c>
      <c r="B202" s="9" t="str">
        <f t="shared" si="3"/>
        <v>09/1976</v>
      </c>
      <c r="C202" s="10">
        <v>14.18</v>
      </c>
    </row>
    <row r="203" spans="1:3" x14ac:dyDescent="0.35">
      <c r="A203" s="9">
        <v>28034</v>
      </c>
      <c r="B203" s="9" t="str">
        <f t="shared" si="3"/>
        <v>10/1976</v>
      </c>
      <c r="C203" s="10">
        <v>15.67</v>
      </c>
    </row>
    <row r="204" spans="1:3" x14ac:dyDescent="0.35">
      <c r="A204" s="9">
        <v>28065</v>
      </c>
      <c r="B204" s="9" t="str">
        <f t="shared" si="3"/>
        <v>11/1976</v>
      </c>
      <c r="C204" s="10">
        <v>15.46</v>
      </c>
    </row>
    <row r="205" spans="1:3" x14ac:dyDescent="0.35">
      <c r="A205" s="9">
        <v>28095</v>
      </c>
      <c r="B205" s="9" t="str">
        <f t="shared" si="3"/>
        <v>12/1976</v>
      </c>
      <c r="C205" s="10">
        <v>15.17</v>
      </c>
    </row>
    <row r="206" spans="1:3" x14ac:dyDescent="0.35">
      <c r="A206" s="9">
        <v>28126</v>
      </c>
      <c r="B206" s="9" t="str">
        <f t="shared" si="3"/>
        <v>01/1977</v>
      </c>
      <c r="C206" s="10">
        <v>14.07</v>
      </c>
    </row>
    <row r="207" spans="1:3" x14ac:dyDescent="0.35">
      <c r="A207" s="9">
        <v>28157</v>
      </c>
      <c r="B207" s="9" t="str">
        <f t="shared" si="3"/>
        <v>02/1977</v>
      </c>
      <c r="C207" s="10">
        <v>13.34</v>
      </c>
    </row>
    <row r="208" spans="1:3" x14ac:dyDescent="0.35">
      <c r="A208" s="9">
        <v>28185</v>
      </c>
      <c r="B208" s="9" t="str">
        <f t="shared" si="3"/>
        <v>03/1977</v>
      </c>
      <c r="C208" s="10">
        <v>12.44</v>
      </c>
    </row>
    <row r="209" spans="1:3" x14ac:dyDescent="0.35">
      <c r="A209" s="9">
        <v>28216</v>
      </c>
      <c r="B209" s="9" t="str">
        <f t="shared" si="3"/>
        <v>04/1977</v>
      </c>
      <c r="C209" s="10">
        <v>12.18</v>
      </c>
    </row>
    <row r="210" spans="1:3" x14ac:dyDescent="0.35">
      <c r="A210" s="9">
        <v>28246</v>
      </c>
      <c r="B210" s="9" t="str">
        <f t="shared" si="3"/>
        <v>05/1977</v>
      </c>
      <c r="C210" s="10">
        <v>11.86</v>
      </c>
    </row>
    <row r="211" spans="1:3" x14ac:dyDescent="0.35">
      <c r="A211" s="9">
        <v>28277</v>
      </c>
      <c r="B211" s="9" t="str">
        <f t="shared" si="3"/>
        <v>06/1977</v>
      </c>
      <c r="C211" s="10">
        <v>12.52</v>
      </c>
    </row>
    <row r="212" spans="1:3" x14ac:dyDescent="0.35">
      <c r="A212" s="9">
        <v>28307</v>
      </c>
      <c r="B212" s="9" t="str">
        <f t="shared" si="3"/>
        <v>07/1977</v>
      </c>
      <c r="C212" s="10">
        <v>12.87</v>
      </c>
    </row>
    <row r="213" spans="1:3" x14ac:dyDescent="0.35">
      <c r="A213" s="9">
        <v>28338</v>
      </c>
      <c r="B213" s="9" t="str">
        <f t="shared" si="3"/>
        <v>08/1977</v>
      </c>
      <c r="C213" s="10">
        <v>12.29</v>
      </c>
    </row>
    <row r="214" spans="1:3" x14ac:dyDescent="0.35">
      <c r="A214" s="9">
        <v>28369</v>
      </c>
      <c r="B214" s="9" t="str">
        <f t="shared" si="3"/>
        <v>09/1977</v>
      </c>
      <c r="C214" s="10">
        <v>11.03</v>
      </c>
    </row>
    <row r="215" spans="1:3" x14ac:dyDescent="0.35">
      <c r="A215" s="9">
        <v>28399</v>
      </c>
      <c r="B215" s="9" t="str">
        <f t="shared" si="3"/>
        <v>10/1977</v>
      </c>
      <c r="C215" s="10">
        <v>10.31</v>
      </c>
    </row>
    <row r="216" spans="1:3" x14ac:dyDescent="0.35">
      <c r="A216" s="9">
        <v>28430</v>
      </c>
      <c r="B216" s="9" t="str">
        <f t="shared" si="3"/>
        <v>11/1977</v>
      </c>
      <c r="C216" s="10">
        <v>10.72</v>
      </c>
    </row>
    <row r="217" spans="1:3" x14ac:dyDescent="0.35">
      <c r="A217" s="9">
        <v>28460</v>
      </c>
      <c r="B217" s="9" t="str">
        <f t="shared" si="3"/>
        <v>12/1977</v>
      </c>
      <c r="C217" s="10">
        <v>10.7</v>
      </c>
    </row>
    <row r="218" spans="1:3" x14ac:dyDescent="0.35">
      <c r="A218" s="9">
        <v>28491</v>
      </c>
      <c r="B218" s="9" t="str">
        <f t="shared" si="3"/>
        <v>01/1978</v>
      </c>
      <c r="C218" s="10">
        <v>10.61</v>
      </c>
    </row>
    <row r="219" spans="1:3" x14ac:dyDescent="0.35">
      <c r="A219" s="9">
        <v>28522</v>
      </c>
      <c r="B219" s="9" t="str">
        <f t="shared" si="3"/>
        <v>02/1978</v>
      </c>
      <c r="C219" s="10">
        <v>10.39</v>
      </c>
    </row>
    <row r="220" spans="1:3" x14ac:dyDescent="0.35">
      <c r="A220" s="9">
        <v>28550</v>
      </c>
      <c r="B220" s="9" t="str">
        <f t="shared" si="3"/>
        <v>03/1978</v>
      </c>
      <c r="C220" s="10">
        <v>11.2</v>
      </c>
    </row>
    <row r="221" spans="1:3" x14ac:dyDescent="0.35">
      <c r="A221" s="9">
        <v>28581</v>
      </c>
      <c r="B221" s="9" t="str">
        <f t="shared" si="3"/>
        <v>04/1978</v>
      </c>
      <c r="C221" s="10">
        <v>11.91</v>
      </c>
    </row>
    <row r="222" spans="1:3" x14ac:dyDescent="0.35">
      <c r="A222" s="9">
        <v>28611</v>
      </c>
      <c r="B222" s="9" t="str">
        <f t="shared" si="3"/>
        <v>05/1978</v>
      </c>
      <c r="C222" s="10">
        <v>12.28</v>
      </c>
    </row>
    <row r="223" spans="1:3" x14ac:dyDescent="0.35">
      <c r="A223" s="9">
        <v>28642</v>
      </c>
      <c r="B223" s="9" t="str">
        <f t="shared" si="3"/>
        <v>06/1978</v>
      </c>
      <c r="C223" s="10">
        <v>12.48</v>
      </c>
    </row>
    <row r="224" spans="1:3" x14ac:dyDescent="0.35">
      <c r="A224" s="9">
        <v>28672</v>
      </c>
      <c r="B224" s="9" t="str">
        <f t="shared" si="3"/>
        <v>07/1978</v>
      </c>
      <c r="C224" s="10">
        <v>12.37</v>
      </c>
    </row>
    <row r="225" spans="1:3" x14ac:dyDescent="0.35">
      <c r="A225" s="9">
        <v>28703</v>
      </c>
      <c r="B225" s="9" t="str">
        <f t="shared" si="3"/>
        <v>08/1978</v>
      </c>
      <c r="C225" s="10">
        <v>12.23</v>
      </c>
    </row>
    <row r="226" spans="1:3" x14ac:dyDescent="0.35">
      <c r="A226" s="9">
        <v>28734</v>
      </c>
      <c r="B226" s="9" t="str">
        <f t="shared" si="3"/>
        <v>09/1978</v>
      </c>
      <c r="C226" s="10">
        <v>12.38</v>
      </c>
    </row>
    <row r="227" spans="1:3" x14ac:dyDescent="0.35">
      <c r="A227" s="9">
        <v>28764</v>
      </c>
      <c r="B227" s="9" t="str">
        <f t="shared" si="3"/>
        <v>10/1978</v>
      </c>
      <c r="C227" s="10">
        <v>12.72</v>
      </c>
    </row>
    <row r="228" spans="1:3" x14ac:dyDescent="0.35">
      <c r="A228" s="9">
        <v>28795</v>
      </c>
      <c r="B228" s="9" t="str">
        <f t="shared" si="3"/>
        <v>11/1978</v>
      </c>
      <c r="C228" s="10">
        <v>13.09</v>
      </c>
    </row>
    <row r="229" spans="1:3" x14ac:dyDescent="0.35">
      <c r="A229" s="9">
        <v>28825</v>
      </c>
      <c r="B229" s="9" t="str">
        <f t="shared" si="3"/>
        <v>12/1978</v>
      </c>
      <c r="C229" s="10">
        <v>13.12</v>
      </c>
    </row>
    <row r="230" spans="1:3" x14ac:dyDescent="0.35">
      <c r="A230" s="9">
        <v>28856</v>
      </c>
      <c r="B230" s="9" t="str">
        <f t="shared" si="3"/>
        <v>01/1979</v>
      </c>
      <c r="C230" s="10">
        <v>13.55</v>
      </c>
    </row>
    <row r="231" spans="1:3" x14ac:dyDescent="0.35">
      <c r="A231" s="9">
        <v>28887</v>
      </c>
      <c r="B231" s="9" t="str">
        <f t="shared" si="3"/>
        <v>02/1979</v>
      </c>
      <c r="C231" s="10">
        <v>13.99</v>
      </c>
    </row>
    <row r="232" spans="1:3" x14ac:dyDescent="0.35">
      <c r="A232" s="9">
        <v>28915</v>
      </c>
      <c r="B232" s="9" t="str">
        <f t="shared" si="3"/>
        <v>03/1979</v>
      </c>
      <c r="C232" s="10">
        <v>12.08</v>
      </c>
    </row>
    <row r="233" spans="1:3" x14ac:dyDescent="0.35">
      <c r="A233" s="9">
        <v>28946</v>
      </c>
      <c r="B233" s="9" t="str">
        <f t="shared" si="3"/>
        <v>04/1979</v>
      </c>
      <c r="C233" s="10">
        <v>11.39</v>
      </c>
    </row>
    <row r="234" spans="1:3" x14ac:dyDescent="0.35">
      <c r="A234" s="9">
        <v>28976</v>
      </c>
      <c r="B234" s="9" t="str">
        <f t="shared" si="3"/>
        <v>05/1979</v>
      </c>
      <c r="C234" s="10">
        <v>11.75</v>
      </c>
    </row>
    <row r="235" spans="1:3" x14ac:dyDescent="0.35">
      <c r="A235" s="9">
        <v>29007</v>
      </c>
      <c r="B235" s="9" t="str">
        <f t="shared" si="3"/>
        <v>06/1979</v>
      </c>
      <c r="C235" s="10">
        <v>12.56</v>
      </c>
    </row>
    <row r="236" spans="1:3" x14ac:dyDescent="0.35">
      <c r="A236" s="9">
        <v>29037</v>
      </c>
      <c r="B236" s="9" t="str">
        <f t="shared" si="3"/>
        <v>07/1979</v>
      </c>
      <c r="C236" s="10">
        <v>12.34</v>
      </c>
    </row>
    <row r="237" spans="1:3" x14ac:dyDescent="0.35">
      <c r="A237" s="9">
        <v>29068</v>
      </c>
      <c r="B237" s="9" t="str">
        <f t="shared" si="3"/>
        <v>08/1979</v>
      </c>
      <c r="C237" s="10">
        <v>12.26</v>
      </c>
    </row>
    <row r="238" spans="1:3" x14ac:dyDescent="0.35">
      <c r="A238" s="9">
        <v>29099</v>
      </c>
      <c r="B238" s="9" t="str">
        <f t="shared" si="3"/>
        <v>09/1979</v>
      </c>
      <c r="C238" s="10">
        <v>12.56</v>
      </c>
    </row>
    <row r="239" spans="1:3" x14ac:dyDescent="0.35">
      <c r="A239" s="9">
        <v>29129</v>
      </c>
      <c r="B239" s="9" t="str">
        <f t="shared" si="3"/>
        <v>10/1979</v>
      </c>
      <c r="C239" s="10">
        <v>13.09</v>
      </c>
    </row>
    <row r="240" spans="1:3" x14ac:dyDescent="0.35">
      <c r="A240" s="9">
        <v>29160</v>
      </c>
      <c r="B240" s="9" t="str">
        <f t="shared" si="3"/>
        <v>11/1979</v>
      </c>
      <c r="C240" s="10">
        <v>14.76</v>
      </c>
    </row>
    <row r="241" spans="1:3" x14ac:dyDescent="0.35">
      <c r="A241" s="9">
        <v>29190</v>
      </c>
      <c r="B241" s="9" t="str">
        <f t="shared" si="3"/>
        <v>12/1979</v>
      </c>
      <c r="C241" s="10">
        <v>15.02</v>
      </c>
    </row>
    <row r="242" spans="1:3" x14ac:dyDescent="0.35">
      <c r="A242" s="9">
        <v>29221</v>
      </c>
      <c r="B242" s="9" t="str">
        <f t="shared" si="3"/>
        <v>01/1980</v>
      </c>
      <c r="C242" s="10">
        <v>14.41</v>
      </c>
    </row>
    <row r="243" spans="1:3" x14ac:dyDescent="0.35">
      <c r="A243" s="9">
        <v>29252</v>
      </c>
      <c r="B243" s="9" t="str">
        <f t="shared" si="3"/>
        <v>02/1980</v>
      </c>
      <c r="C243" s="10">
        <v>14.74</v>
      </c>
    </row>
    <row r="244" spans="1:3" x14ac:dyDescent="0.35">
      <c r="A244" s="9">
        <v>29281</v>
      </c>
      <c r="B244" s="9" t="str">
        <f t="shared" si="3"/>
        <v>03/1980</v>
      </c>
      <c r="C244" s="10">
        <v>14.93</v>
      </c>
    </row>
    <row r="245" spans="1:3" x14ac:dyDescent="0.35">
      <c r="A245" s="9">
        <v>29312</v>
      </c>
      <c r="B245" s="9" t="str">
        <f t="shared" si="3"/>
        <v>04/1980</v>
      </c>
      <c r="C245" s="10">
        <v>14.42</v>
      </c>
    </row>
    <row r="246" spans="1:3" x14ac:dyDescent="0.35">
      <c r="A246" s="9">
        <v>29342</v>
      </c>
      <c r="B246" s="9" t="str">
        <f t="shared" si="3"/>
        <v>05/1980</v>
      </c>
      <c r="C246" s="10">
        <v>14.11</v>
      </c>
    </row>
    <row r="247" spans="1:3" x14ac:dyDescent="0.35">
      <c r="A247" s="9">
        <v>29373</v>
      </c>
      <c r="B247" s="9" t="str">
        <f t="shared" si="3"/>
        <v>06/1980</v>
      </c>
      <c r="C247" s="10">
        <v>13.78</v>
      </c>
    </row>
    <row r="248" spans="1:3" x14ac:dyDescent="0.35">
      <c r="A248" s="9">
        <v>29403</v>
      </c>
      <c r="B248" s="9" t="str">
        <f t="shared" si="3"/>
        <v>07/1980</v>
      </c>
      <c r="C248" s="10">
        <v>13.08</v>
      </c>
    </row>
    <row r="249" spans="1:3" x14ac:dyDescent="0.35">
      <c r="A249" s="9">
        <v>29434</v>
      </c>
      <c r="B249" s="9" t="str">
        <f t="shared" si="3"/>
        <v>08/1980</v>
      </c>
      <c r="C249" s="10">
        <v>13.7</v>
      </c>
    </row>
    <row r="250" spans="1:3" x14ac:dyDescent="0.35">
      <c r="A250" s="9">
        <v>29465</v>
      </c>
      <c r="B250" s="9" t="str">
        <f t="shared" si="3"/>
        <v>09/1980</v>
      </c>
      <c r="C250" s="10">
        <v>13.47</v>
      </c>
    </row>
    <row r="251" spans="1:3" x14ac:dyDescent="0.35">
      <c r="A251" s="9">
        <v>29495</v>
      </c>
      <c r="B251" s="9" t="str">
        <f t="shared" si="3"/>
        <v>10/1980</v>
      </c>
      <c r="C251" s="10">
        <v>13.2</v>
      </c>
    </row>
    <row r="252" spans="1:3" x14ac:dyDescent="0.35">
      <c r="A252" s="9">
        <v>29526</v>
      </c>
      <c r="B252" s="9" t="str">
        <f t="shared" si="3"/>
        <v>11/1980</v>
      </c>
      <c r="C252" s="10">
        <v>13.34</v>
      </c>
    </row>
    <row r="253" spans="1:3" x14ac:dyDescent="0.35">
      <c r="A253" s="9">
        <v>29556</v>
      </c>
      <c r="B253" s="9" t="str">
        <f t="shared" si="3"/>
        <v>12/1980</v>
      </c>
      <c r="C253" s="10">
        <v>13.78</v>
      </c>
    </row>
    <row r="254" spans="1:3" x14ac:dyDescent="0.35">
      <c r="A254" s="9">
        <v>29587</v>
      </c>
      <c r="B254" s="9" t="str">
        <f t="shared" si="3"/>
        <v>01/1981</v>
      </c>
      <c r="C254" s="10">
        <v>13.97</v>
      </c>
    </row>
    <row r="255" spans="1:3" x14ac:dyDescent="0.35">
      <c r="A255" s="9">
        <v>29618</v>
      </c>
      <c r="B255" s="9" t="str">
        <f t="shared" si="3"/>
        <v>02/1981</v>
      </c>
      <c r="C255" s="10">
        <v>13.84</v>
      </c>
    </row>
    <row r="256" spans="1:3" x14ac:dyDescent="0.35">
      <c r="A256" s="9">
        <v>29646</v>
      </c>
      <c r="B256" s="9" t="str">
        <f t="shared" si="3"/>
        <v>03/1981</v>
      </c>
      <c r="C256" s="10">
        <v>13.66</v>
      </c>
    </row>
    <row r="257" spans="1:3" x14ac:dyDescent="0.35">
      <c r="A257" s="9">
        <v>29677</v>
      </c>
      <c r="B257" s="9" t="str">
        <f t="shared" si="3"/>
        <v>04/1981</v>
      </c>
      <c r="C257" s="10">
        <v>13.66</v>
      </c>
    </row>
    <row r="258" spans="1:3" x14ac:dyDescent="0.35">
      <c r="A258" s="9">
        <v>29707</v>
      </c>
      <c r="B258" s="9" t="str">
        <f t="shared" si="3"/>
        <v>05/1981</v>
      </c>
      <c r="C258" s="10">
        <v>14.4</v>
      </c>
    </row>
    <row r="259" spans="1:3" x14ac:dyDescent="0.35">
      <c r="A259" s="9">
        <v>29738</v>
      </c>
      <c r="B259" s="9" t="str">
        <f t="shared" ref="B259:B322" si="4">TEXT(A259,"mm/YYYY")</f>
        <v>06/1981</v>
      </c>
      <c r="C259" s="10">
        <v>14.69</v>
      </c>
    </row>
    <row r="260" spans="1:3" x14ac:dyDescent="0.35">
      <c r="A260" s="9">
        <v>29768</v>
      </c>
      <c r="B260" s="9" t="str">
        <f t="shared" si="4"/>
        <v>07/1981</v>
      </c>
      <c r="C260" s="10">
        <v>15.28</v>
      </c>
    </row>
    <row r="261" spans="1:3" x14ac:dyDescent="0.35">
      <c r="A261" s="9">
        <v>29799</v>
      </c>
      <c r="B261" s="9" t="str">
        <f t="shared" si="4"/>
        <v>08/1981</v>
      </c>
      <c r="C261" s="10">
        <v>15.23</v>
      </c>
    </row>
    <row r="262" spans="1:3" x14ac:dyDescent="0.35">
      <c r="A262" s="9">
        <v>29830</v>
      </c>
      <c r="B262" s="9" t="str">
        <f t="shared" si="4"/>
        <v>09/1981</v>
      </c>
      <c r="C262" s="10">
        <v>15.81</v>
      </c>
    </row>
    <row r="263" spans="1:3" x14ac:dyDescent="0.35">
      <c r="A263" s="9">
        <v>29860</v>
      </c>
      <c r="B263" s="9" t="str">
        <f t="shared" si="4"/>
        <v>10/1981</v>
      </c>
      <c r="C263" s="10">
        <v>16.34</v>
      </c>
    </row>
    <row r="264" spans="1:3" x14ac:dyDescent="0.35">
      <c r="A264" s="9">
        <v>29891</v>
      </c>
      <c r="B264" s="9" t="str">
        <f t="shared" si="4"/>
        <v>11/1981</v>
      </c>
      <c r="C264" s="10">
        <v>15.72</v>
      </c>
    </row>
    <row r="265" spans="1:3" x14ac:dyDescent="0.35">
      <c r="A265" s="9">
        <v>29921</v>
      </c>
      <c r="B265" s="9" t="str">
        <f t="shared" si="4"/>
        <v>12/1981</v>
      </c>
      <c r="C265" s="10">
        <v>16</v>
      </c>
    </row>
    <row r="266" spans="1:3" x14ac:dyDescent="0.35">
      <c r="A266" s="9">
        <v>29952</v>
      </c>
      <c r="B266" s="9" t="str">
        <f t="shared" si="4"/>
        <v>01/1982</v>
      </c>
      <c r="C266" s="10">
        <v>15.94</v>
      </c>
    </row>
    <row r="267" spans="1:3" x14ac:dyDescent="0.35">
      <c r="A267" s="9">
        <v>29983</v>
      </c>
      <c r="B267" s="9" t="str">
        <f t="shared" si="4"/>
        <v>02/1982</v>
      </c>
      <c r="C267" s="10">
        <v>15.09</v>
      </c>
    </row>
    <row r="268" spans="1:3" x14ac:dyDescent="0.35">
      <c r="A268" s="9">
        <v>30011</v>
      </c>
      <c r="B268" s="9" t="str">
        <f t="shared" si="4"/>
        <v>03/1982</v>
      </c>
      <c r="C268" s="10">
        <v>14.01</v>
      </c>
    </row>
    <row r="269" spans="1:3" x14ac:dyDescent="0.35">
      <c r="A269" s="9">
        <v>30042</v>
      </c>
      <c r="B269" s="9" t="str">
        <f t="shared" si="4"/>
        <v>04/1982</v>
      </c>
      <c r="C269" s="10">
        <v>14.2</v>
      </c>
    </row>
    <row r="270" spans="1:3" x14ac:dyDescent="0.35">
      <c r="A270" s="9">
        <v>30072</v>
      </c>
      <c r="B270" s="9" t="str">
        <f t="shared" si="4"/>
        <v>05/1982</v>
      </c>
      <c r="C270" s="10">
        <v>13.89</v>
      </c>
    </row>
    <row r="271" spans="1:3" x14ac:dyDescent="0.35">
      <c r="A271" s="9">
        <v>30103</v>
      </c>
      <c r="B271" s="9" t="str">
        <f t="shared" si="4"/>
        <v>06/1982</v>
      </c>
      <c r="C271" s="10">
        <v>13.75</v>
      </c>
    </row>
    <row r="272" spans="1:3" x14ac:dyDescent="0.35">
      <c r="A272" s="9">
        <v>30133</v>
      </c>
      <c r="B272" s="9" t="str">
        <f t="shared" si="4"/>
        <v>07/1982</v>
      </c>
      <c r="C272" s="10">
        <v>13.35</v>
      </c>
    </row>
    <row r="273" spans="1:3" x14ac:dyDescent="0.35">
      <c r="A273" s="9">
        <v>30164</v>
      </c>
      <c r="B273" s="9" t="str">
        <f t="shared" si="4"/>
        <v>08/1982</v>
      </c>
      <c r="C273" s="10">
        <v>12.21</v>
      </c>
    </row>
    <row r="274" spans="1:3" x14ac:dyDescent="0.35">
      <c r="A274" s="9">
        <v>30195</v>
      </c>
      <c r="B274" s="9" t="str">
        <f t="shared" si="4"/>
        <v>09/1982</v>
      </c>
      <c r="C274" s="10">
        <v>11.51</v>
      </c>
    </row>
    <row r="275" spans="1:3" x14ac:dyDescent="0.35">
      <c r="A275" s="9">
        <v>30225</v>
      </c>
      <c r="B275" s="9" t="str">
        <f t="shared" si="4"/>
        <v>10/1982</v>
      </c>
      <c r="C275" s="10">
        <v>10.69</v>
      </c>
    </row>
    <row r="276" spans="1:3" x14ac:dyDescent="0.35">
      <c r="A276" s="9">
        <v>30256</v>
      </c>
      <c r="B276" s="9" t="str">
        <f t="shared" si="4"/>
        <v>11/1982</v>
      </c>
      <c r="C276" s="10">
        <v>10.8</v>
      </c>
    </row>
    <row r="277" spans="1:3" x14ac:dyDescent="0.35">
      <c r="A277" s="9">
        <v>30286</v>
      </c>
      <c r="B277" s="9" t="str">
        <f t="shared" si="4"/>
        <v>12/1982</v>
      </c>
      <c r="C277" s="10">
        <v>11.58</v>
      </c>
    </row>
    <row r="278" spans="1:3" x14ac:dyDescent="0.35">
      <c r="A278" s="9">
        <v>30317</v>
      </c>
      <c r="B278" s="9" t="str">
        <f t="shared" si="4"/>
        <v>01/1983</v>
      </c>
      <c r="C278" s="10">
        <v>11.87</v>
      </c>
    </row>
    <row r="279" spans="1:3" x14ac:dyDescent="0.35">
      <c r="A279" s="9">
        <v>30348</v>
      </c>
      <c r="B279" s="9" t="str">
        <f t="shared" si="4"/>
        <v>02/1983</v>
      </c>
      <c r="C279" s="10">
        <v>11.79</v>
      </c>
    </row>
    <row r="280" spans="1:3" x14ac:dyDescent="0.35">
      <c r="A280" s="9">
        <v>30376</v>
      </c>
      <c r="B280" s="9" t="str">
        <f t="shared" si="4"/>
        <v>03/1983</v>
      </c>
      <c r="C280" s="10">
        <v>11.38</v>
      </c>
    </row>
    <row r="281" spans="1:3" x14ac:dyDescent="0.35">
      <c r="A281" s="9">
        <v>30407</v>
      </c>
      <c r="B281" s="9" t="str">
        <f t="shared" si="4"/>
        <v>04/1983</v>
      </c>
      <c r="C281" s="10">
        <v>11.06</v>
      </c>
    </row>
    <row r="282" spans="1:3" x14ac:dyDescent="0.35">
      <c r="A282" s="9">
        <v>30437</v>
      </c>
      <c r="B282" s="9" t="str">
        <f t="shared" si="4"/>
        <v>05/1983</v>
      </c>
      <c r="C282" s="10">
        <v>11.16</v>
      </c>
    </row>
    <row r="283" spans="1:3" x14ac:dyDescent="0.35">
      <c r="A283" s="9">
        <v>30468</v>
      </c>
      <c r="B283" s="9" t="str">
        <f t="shared" si="4"/>
        <v>06/1983</v>
      </c>
      <c r="C283" s="10">
        <v>10.99</v>
      </c>
    </row>
    <row r="284" spans="1:3" x14ac:dyDescent="0.35">
      <c r="A284" s="9">
        <v>30498</v>
      </c>
      <c r="B284" s="9" t="str">
        <f t="shared" si="4"/>
        <v>07/1983</v>
      </c>
      <c r="C284" s="10">
        <v>11.53</v>
      </c>
    </row>
    <row r="285" spans="1:3" x14ac:dyDescent="0.35">
      <c r="A285" s="9">
        <v>30529</v>
      </c>
      <c r="B285" s="9" t="str">
        <f t="shared" si="4"/>
        <v>08/1983</v>
      </c>
      <c r="C285" s="10">
        <v>11.72</v>
      </c>
    </row>
    <row r="286" spans="1:3" x14ac:dyDescent="0.35">
      <c r="A286" s="9">
        <v>30560</v>
      </c>
      <c r="B286" s="9" t="str">
        <f t="shared" si="4"/>
        <v>09/1983</v>
      </c>
      <c r="C286" s="10">
        <v>11.25</v>
      </c>
    </row>
    <row r="287" spans="1:3" x14ac:dyDescent="0.35">
      <c r="A287" s="9">
        <v>30590</v>
      </c>
      <c r="B287" s="9" t="str">
        <f t="shared" si="4"/>
        <v>10/1983</v>
      </c>
      <c r="C287" s="10">
        <v>11.02</v>
      </c>
    </row>
    <row r="288" spans="1:3" x14ac:dyDescent="0.35">
      <c r="A288" s="9">
        <v>30621</v>
      </c>
      <c r="B288" s="9" t="str">
        <f t="shared" si="4"/>
        <v>11/1983</v>
      </c>
      <c r="C288" s="10">
        <v>10.68</v>
      </c>
    </row>
    <row r="289" spans="1:3" x14ac:dyDescent="0.35">
      <c r="A289" s="9">
        <v>30651</v>
      </c>
      <c r="B289" s="9" t="str">
        <f t="shared" si="4"/>
        <v>12/1983</v>
      </c>
      <c r="C289" s="10">
        <v>10.77</v>
      </c>
    </row>
    <row r="290" spans="1:3" x14ac:dyDescent="0.35">
      <c r="A290" s="9">
        <v>30682</v>
      </c>
      <c r="B290" s="9" t="str">
        <f t="shared" si="4"/>
        <v>01/1984</v>
      </c>
      <c r="C290" s="10">
        <v>10.77</v>
      </c>
    </row>
    <row r="291" spans="1:3" x14ac:dyDescent="0.35">
      <c r="A291" s="9">
        <v>30713</v>
      </c>
      <c r="B291" s="9" t="str">
        <f t="shared" si="4"/>
        <v>02/1984</v>
      </c>
      <c r="C291" s="10">
        <v>10.87</v>
      </c>
    </row>
    <row r="292" spans="1:3" x14ac:dyDescent="0.35">
      <c r="A292" s="9">
        <v>30742</v>
      </c>
      <c r="B292" s="9" t="str">
        <f t="shared" si="4"/>
        <v>03/1984</v>
      </c>
      <c r="C292" s="10">
        <v>10.66</v>
      </c>
    </row>
    <row r="293" spans="1:3" x14ac:dyDescent="0.35">
      <c r="A293" s="9">
        <v>30773</v>
      </c>
      <c r="B293" s="9" t="str">
        <f t="shared" si="4"/>
        <v>04/1984</v>
      </c>
      <c r="C293" s="10">
        <v>10.85</v>
      </c>
    </row>
    <row r="294" spans="1:3" x14ac:dyDescent="0.35">
      <c r="A294" s="9">
        <v>30803</v>
      </c>
      <c r="B294" s="9" t="str">
        <f t="shared" si="4"/>
        <v>05/1984</v>
      </c>
      <c r="C294" s="10">
        <v>11.38</v>
      </c>
    </row>
    <row r="295" spans="1:3" x14ac:dyDescent="0.35">
      <c r="A295" s="9">
        <v>30834</v>
      </c>
      <c r="B295" s="9" t="str">
        <f t="shared" si="4"/>
        <v>06/1984</v>
      </c>
      <c r="C295" s="10">
        <v>11.59</v>
      </c>
    </row>
    <row r="296" spans="1:3" x14ac:dyDescent="0.35">
      <c r="A296" s="9">
        <v>30864</v>
      </c>
      <c r="B296" s="9" t="str">
        <f t="shared" si="4"/>
        <v>07/1984</v>
      </c>
      <c r="C296" s="10">
        <v>12.07</v>
      </c>
    </row>
    <row r="297" spans="1:3" x14ac:dyDescent="0.35">
      <c r="A297" s="9">
        <v>30895</v>
      </c>
      <c r="B297" s="9" t="str">
        <f t="shared" si="4"/>
        <v>08/1984</v>
      </c>
      <c r="C297" s="10">
        <v>11.41</v>
      </c>
    </row>
    <row r="298" spans="1:3" x14ac:dyDescent="0.35">
      <c r="A298" s="9">
        <v>30926</v>
      </c>
      <c r="B298" s="9" t="str">
        <f t="shared" si="4"/>
        <v>09/1984</v>
      </c>
      <c r="C298" s="10">
        <v>11.23</v>
      </c>
    </row>
    <row r="299" spans="1:3" x14ac:dyDescent="0.35">
      <c r="A299" s="9">
        <v>30956</v>
      </c>
      <c r="B299" s="9" t="str">
        <f t="shared" si="4"/>
        <v>10/1984</v>
      </c>
      <c r="C299" s="10">
        <v>11.1</v>
      </c>
    </row>
    <row r="300" spans="1:3" x14ac:dyDescent="0.35">
      <c r="A300" s="9">
        <v>30987</v>
      </c>
      <c r="B300" s="9" t="str">
        <f t="shared" si="4"/>
        <v>11/1984</v>
      </c>
      <c r="C300" s="10">
        <v>10.73</v>
      </c>
    </row>
    <row r="301" spans="1:3" x14ac:dyDescent="0.35">
      <c r="A301" s="9">
        <v>31017</v>
      </c>
      <c r="B301" s="9" t="str">
        <f t="shared" si="4"/>
        <v>12/1984</v>
      </c>
      <c r="C301" s="10">
        <v>10.87</v>
      </c>
    </row>
    <row r="302" spans="1:3" x14ac:dyDescent="0.35">
      <c r="A302" s="9">
        <v>31048</v>
      </c>
      <c r="B302" s="9" t="str">
        <f t="shared" si="4"/>
        <v>01/1985</v>
      </c>
      <c r="C302" s="10">
        <v>11.36</v>
      </c>
    </row>
    <row r="303" spans="1:3" x14ac:dyDescent="0.35">
      <c r="A303" s="9">
        <v>31079</v>
      </c>
      <c r="B303" s="9" t="str">
        <f t="shared" si="4"/>
        <v>02/1985</v>
      </c>
      <c r="C303" s="10">
        <v>11.49</v>
      </c>
    </row>
    <row r="304" spans="1:3" x14ac:dyDescent="0.35">
      <c r="A304" s="9">
        <v>31107</v>
      </c>
      <c r="B304" s="9" t="str">
        <f t="shared" si="4"/>
        <v>03/1985</v>
      </c>
      <c r="C304" s="10">
        <v>11.33</v>
      </c>
    </row>
    <row r="305" spans="1:3" x14ac:dyDescent="0.35">
      <c r="A305" s="9">
        <v>31138</v>
      </c>
      <c r="B305" s="9" t="str">
        <f t="shared" si="4"/>
        <v>04/1985</v>
      </c>
      <c r="C305" s="10">
        <v>11.07</v>
      </c>
    </row>
    <row r="306" spans="1:3" x14ac:dyDescent="0.35">
      <c r="A306" s="9">
        <v>31168</v>
      </c>
      <c r="B306" s="9" t="str">
        <f t="shared" si="4"/>
        <v>05/1985</v>
      </c>
      <c r="C306" s="10">
        <v>11.23</v>
      </c>
    </row>
    <row r="307" spans="1:3" x14ac:dyDescent="0.35">
      <c r="A307" s="9">
        <v>31199</v>
      </c>
      <c r="B307" s="9" t="str">
        <f t="shared" si="4"/>
        <v>06/1985</v>
      </c>
      <c r="C307" s="10">
        <v>11.03</v>
      </c>
    </row>
    <row r="308" spans="1:3" x14ac:dyDescent="0.35">
      <c r="A308" s="9">
        <v>31229</v>
      </c>
      <c r="B308" s="9" t="str">
        <f t="shared" si="4"/>
        <v>07/1985</v>
      </c>
      <c r="C308" s="10">
        <v>10.77</v>
      </c>
    </row>
    <row r="309" spans="1:3" x14ac:dyDescent="0.35">
      <c r="A309" s="9">
        <v>31260</v>
      </c>
      <c r="B309" s="9" t="str">
        <f t="shared" si="4"/>
        <v>08/1985</v>
      </c>
      <c r="C309" s="10">
        <v>10.69</v>
      </c>
    </row>
    <row r="310" spans="1:3" x14ac:dyDescent="0.35">
      <c r="A310" s="9">
        <v>31291</v>
      </c>
      <c r="B310" s="9" t="str">
        <f t="shared" si="4"/>
        <v>09/1985</v>
      </c>
      <c r="C310" s="10">
        <v>10.68</v>
      </c>
    </row>
    <row r="311" spans="1:3" x14ac:dyDescent="0.35">
      <c r="A311" s="9">
        <v>31321</v>
      </c>
      <c r="B311" s="9" t="str">
        <f t="shared" si="4"/>
        <v>10/1985</v>
      </c>
      <c r="C311" s="10">
        <v>10.52</v>
      </c>
    </row>
    <row r="312" spans="1:3" x14ac:dyDescent="0.35">
      <c r="A312" s="9">
        <v>31352</v>
      </c>
      <c r="B312" s="9" t="str">
        <f t="shared" si="4"/>
        <v>11/1985</v>
      </c>
      <c r="C312" s="10">
        <v>10.69</v>
      </c>
    </row>
    <row r="313" spans="1:3" x14ac:dyDescent="0.35">
      <c r="A313" s="9">
        <v>31382</v>
      </c>
      <c r="B313" s="9" t="str">
        <f t="shared" si="4"/>
        <v>12/1985</v>
      </c>
      <c r="C313" s="10">
        <v>10.78</v>
      </c>
    </row>
    <row r="314" spans="1:3" x14ac:dyDescent="0.35">
      <c r="A314" s="9">
        <v>31413</v>
      </c>
      <c r="B314" s="9" t="str">
        <f t="shared" si="4"/>
        <v>01/1986</v>
      </c>
      <c r="C314" s="10">
        <v>11.13</v>
      </c>
    </row>
    <row r="315" spans="1:3" x14ac:dyDescent="0.35">
      <c r="A315" s="9">
        <v>31444</v>
      </c>
      <c r="B315" s="9" t="str">
        <f t="shared" si="4"/>
        <v>02/1986</v>
      </c>
      <c r="C315" s="10">
        <v>10.73</v>
      </c>
    </row>
    <row r="316" spans="1:3" x14ac:dyDescent="0.35">
      <c r="A316" s="9">
        <v>31472</v>
      </c>
      <c r="B316" s="9" t="str">
        <f t="shared" si="4"/>
        <v>03/1986</v>
      </c>
      <c r="C316" s="10">
        <v>9.69</v>
      </c>
    </row>
    <row r="317" spans="1:3" x14ac:dyDescent="0.35">
      <c r="A317" s="9">
        <v>31503</v>
      </c>
      <c r="B317" s="9" t="str">
        <f t="shared" si="4"/>
        <v>04/1986</v>
      </c>
      <c r="C317" s="10">
        <v>8.94</v>
      </c>
    </row>
    <row r="318" spans="1:3" x14ac:dyDescent="0.35">
      <c r="A318" s="9">
        <v>31533</v>
      </c>
      <c r="B318" s="9" t="str">
        <f t="shared" si="4"/>
        <v>05/1986</v>
      </c>
      <c r="C318" s="10">
        <v>9.15</v>
      </c>
    </row>
    <row r="319" spans="1:3" x14ac:dyDescent="0.35">
      <c r="A319" s="9">
        <v>31564</v>
      </c>
      <c r="B319" s="9" t="str">
        <f t="shared" si="4"/>
        <v>06/1986</v>
      </c>
      <c r="C319" s="10">
        <v>9.4499999999999993</v>
      </c>
    </row>
    <row r="320" spans="1:3" x14ac:dyDescent="0.35">
      <c r="A320" s="9">
        <v>31594</v>
      </c>
      <c r="B320" s="9" t="str">
        <f t="shared" si="4"/>
        <v>07/1986</v>
      </c>
      <c r="C320" s="10">
        <v>9.61</v>
      </c>
    </row>
    <row r="321" spans="1:3" x14ac:dyDescent="0.35">
      <c r="A321" s="9">
        <v>31625</v>
      </c>
      <c r="B321" s="9" t="str">
        <f t="shared" si="4"/>
        <v>08/1986</v>
      </c>
      <c r="C321" s="10">
        <v>9.66</v>
      </c>
    </row>
    <row r="322" spans="1:3" x14ac:dyDescent="0.35">
      <c r="A322" s="9">
        <v>31656</v>
      </c>
      <c r="B322" s="9" t="str">
        <f t="shared" si="4"/>
        <v>09/1986</v>
      </c>
      <c r="C322" s="10">
        <v>10.28</v>
      </c>
    </row>
    <row r="323" spans="1:3" x14ac:dyDescent="0.35">
      <c r="A323" s="9">
        <v>31686</v>
      </c>
      <c r="B323" s="9" t="str">
        <f t="shared" ref="B323:B386" si="5">TEXT(A323,"mm/YYYY")</f>
        <v>10/1986</v>
      </c>
      <c r="C323" s="10">
        <v>10.92</v>
      </c>
    </row>
    <row r="324" spans="1:3" x14ac:dyDescent="0.35">
      <c r="A324" s="9">
        <v>31717</v>
      </c>
      <c r="B324" s="9" t="str">
        <f t="shared" si="5"/>
        <v>11/1986</v>
      </c>
      <c r="C324" s="10">
        <v>11.08</v>
      </c>
    </row>
    <row r="325" spans="1:3" x14ac:dyDescent="0.35">
      <c r="A325" s="9">
        <v>31747</v>
      </c>
      <c r="B325" s="9" t="str">
        <f t="shared" si="5"/>
        <v>12/1986</v>
      </c>
      <c r="C325" s="10">
        <v>10.98</v>
      </c>
    </row>
    <row r="326" spans="1:3" x14ac:dyDescent="0.35">
      <c r="A326" s="9">
        <v>31778</v>
      </c>
      <c r="B326" s="9" t="str">
        <f t="shared" si="5"/>
        <v>01/1987</v>
      </c>
      <c r="C326" s="10">
        <v>10.27</v>
      </c>
    </row>
    <row r="327" spans="1:3" x14ac:dyDescent="0.35">
      <c r="A327" s="9">
        <v>31809</v>
      </c>
      <c r="B327" s="9" t="str">
        <f t="shared" si="5"/>
        <v>02/1987</v>
      </c>
      <c r="C327" s="10">
        <v>9.9700000000000006</v>
      </c>
    </row>
    <row r="328" spans="1:3" x14ac:dyDescent="0.35">
      <c r="A328" s="9">
        <v>31837</v>
      </c>
      <c r="B328" s="9" t="str">
        <f t="shared" si="5"/>
        <v>03/1987</v>
      </c>
      <c r="C328" s="10">
        <v>9.11</v>
      </c>
    </row>
    <row r="329" spans="1:3" x14ac:dyDescent="0.35">
      <c r="A329" s="9">
        <v>31868</v>
      </c>
      <c r="B329" s="9" t="str">
        <f t="shared" si="5"/>
        <v>04/1987</v>
      </c>
      <c r="C329" s="10">
        <v>9.14</v>
      </c>
    </row>
    <row r="330" spans="1:3" x14ac:dyDescent="0.35">
      <c r="A330" s="9">
        <v>31898</v>
      </c>
      <c r="B330" s="9" t="str">
        <f t="shared" si="5"/>
        <v>05/1987</v>
      </c>
      <c r="C330" s="10">
        <v>8.8000000000000007</v>
      </c>
    </row>
    <row r="331" spans="1:3" x14ac:dyDescent="0.35">
      <c r="A331" s="9">
        <v>31929</v>
      </c>
      <c r="B331" s="9" t="str">
        <f t="shared" si="5"/>
        <v>06/1987</v>
      </c>
      <c r="C331" s="10">
        <v>8.93</v>
      </c>
    </row>
    <row r="332" spans="1:3" x14ac:dyDescent="0.35">
      <c r="A332" s="9">
        <v>31959</v>
      </c>
      <c r="B332" s="9" t="str">
        <f t="shared" si="5"/>
        <v>07/1987</v>
      </c>
      <c r="C332" s="10">
        <v>9.2899999999999991</v>
      </c>
    </row>
    <row r="333" spans="1:3" x14ac:dyDescent="0.35">
      <c r="A333" s="9">
        <v>31990</v>
      </c>
      <c r="B333" s="9" t="str">
        <f t="shared" si="5"/>
        <v>08/1987</v>
      </c>
      <c r="C333" s="10">
        <v>10.130000000000001</v>
      </c>
    </row>
    <row r="334" spans="1:3" x14ac:dyDescent="0.35">
      <c r="A334" s="9">
        <v>32021</v>
      </c>
      <c r="B334" s="9" t="str">
        <f t="shared" si="5"/>
        <v>09/1987</v>
      </c>
      <c r="C334" s="10">
        <v>10.210000000000001</v>
      </c>
    </row>
    <row r="335" spans="1:3" x14ac:dyDescent="0.35">
      <c r="A335" s="9">
        <v>32051</v>
      </c>
      <c r="B335" s="9" t="str">
        <f t="shared" si="5"/>
        <v>10/1987</v>
      </c>
      <c r="C335" s="10">
        <v>10.14</v>
      </c>
    </row>
    <row r="336" spans="1:3" x14ac:dyDescent="0.35">
      <c r="A336" s="9">
        <v>32082</v>
      </c>
      <c r="B336" s="9" t="str">
        <f t="shared" si="5"/>
        <v>11/1987</v>
      </c>
      <c r="C336" s="10">
        <v>9.23</v>
      </c>
    </row>
    <row r="337" spans="1:3" x14ac:dyDescent="0.35">
      <c r="A337" s="9">
        <v>32112</v>
      </c>
      <c r="B337" s="9" t="str">
        <f t="shared" si="5"/>
        <v>12/1987</v>
      </c>
      <c r="C337" s="10">
        <v>9.6300000000000008</v>
      </c>
    </row>
    <row r="338" spans="1:3" x14ac:dyDescent="0.35">
      <c r="A338" s="9">
        <v>32143</v>
      </c>
      <c r="B338" s="9" t="str">
        <f t="shared" si="5"/>
        <v>01/1988</v>
      </c>
      <c r="C338" s="10">
        <v>9.7100000000000009</v>
      </c>
    </row>
    <row r="339" spans="1:3" x14ac:dyDescent="0.35">
      <c r="A339" s="9">
        <v>32174</v>
      </c>
      <c r="B339" s="9" t="str">
        <f t="shared" si="5"/>
        <v>02/1988</v>
      </c>
      <c r="C339" s="10">
        <v>9.52</v>
      </c>
    </row>
    <row r="340" spans="1:3" x14ac:dyDescent="0.35">
      <c r="A340" s="9">
        <v>32203</v>
      </c>
      <c r="B340" s="9" t="str">
        <f t="shared" si="5"/>
        <v>03/1988</v>
      </c>
      <c r="C340" s="10">
        <v>9.2200000000000006</v>
      </c>
    </row>
    <row r="341" spans="1:3" x14ac:dyDescent="0.35">
      <c r="A341" s="9">
        <v>32234</v>
      </c>
      <c r="B341" s="9" t="str">
        <f t="shared" si="5"/>
        <v>04/1988</v>
      </c>
      <c r="C341" s="10">
        <v>9.1999999999999993</v>
      </c>
    </row>
    <row r="342" spans="1:3" x14ac:dyDescent="0.35">
      <c r="A342" s="9">
        <v>32264</v>
      </c>
      <c r="B342" s="9" t="str">
        <f t="shared" si="5"/>
        <v>05/1988</v>
      </c>
      <c r="C342" s="10">
        <v>9.41</v>
      </c>
    </row>
    <row r="343" spans="1:3" x14ac:dyDescent="0.35">
      <c r="A343" s="9">
        <v>32295</v>
      </c>
      <c r="B343" s="9" t="str">
        <f t="shared" si="5"/>
        <v>06/1988</v>
      </c>
      <c r="C343" s="10">
        <v>9.51</v>
      </c>
    </row>
    <row r="344" spans="1:3" x14ac:dyDescent="0.35">
      <c r="A344" s="9">
        <v>32325</v>
      </c>
      <c r="B344" s="9" t="str">
        <f t="shared" si="5"/>
        <v>07/1988</v>
      </c>
      <c r="C344" s="10">
        <v>9.84</v>
      </c>
    </row>
    <row r="345" spans="1:3" x14ac:dyDescent="0.35">
      <c r="A345" s="9">
        <v>32356</v>
      </c>
      <c r="B345" s="9" t="str">
        <f t="shared" si="5"/>
        <v>08/1988</v>
      </c>
      <c r="C345" s="10">
        <v>9.91</v>
      </c>
    </row>
    <row r="346" spans="1:3" x14ac:dyDescent="0.35">
      <c r="A346" s="9">
        <v>32387</v>
      </c>
      <c r="B346" s="9" t="str">
        <f t="shared" si="5"/>
        <v>09/1988</v>
      </c>
      <c r="C346" s="10">
        <v>10.1</v>
      </c>
    </row>
    <row r="347" spans="1:3" x14ac:dyDescent="0.35">
      <c r="A347" s="9">
        <v>32417</v>
      </c>
      <c r="B347" s="9" t="str">
        <f t="shared" si="5"/>
        <v>10/1988</v>
      </c>
      <c r="C347" s="10">
        <v>9.69</v>
      </c>
    </row>
    <row r="348" spans="1:3" x14ac:dyDescent="0.35">
      <c r="A348" s="9">
        <v>32448</v>
      </c>
      <c r="B348" s="9" t="str">
        <f t="shared" si="5"/>
        <v>11/1988</v>
      </c>
      <c r="C348" s="10">
        <v>9.86</v>
      </c>
    </row>
    <row r="349" spans="1:3" x14ac:dyDescent="0.35">
      <c r="A349" s="9">
        <v>32478</v>
      </c>
      <c r="B349" s="9" t="str">
        <f t="shared" si="5"/>
        <v>12/1988</v>
      </c>
      <c r="C349" s="10">
        <v>10.14</v>
      </c>
    </row>
    <row r="350" spans="1:3" x14ac:dyDescent="0.35">
      <c r="A350" s="9">
        <v>32509</v>
      </c>
      <c r="B350" s="9" t="str">
        <f t="shared" si="5"/>
        <v>01/1989</v>
      </c>
      <c r="C350" s="10">
        <v>9.9600000000000009</v>
      </c>
    </row>
    <row r="351" spans="1:3" x14ac:dyDescent="0.35">
      <c r="A351" s="9">
        <v>32540</v>
      </c>
      <c r="B351" s="9" t="str">
        <f t="shared" si="5"/>
        <v>02/1989</v>
      </c>
      <c r="C351" s="10">
        <v>9.7200000000000006</v>
      </c>
    </row>
    <row r="352" spans="1:3" x14ac:dyDescent="0.35">
      <c r="A352" s="9">
        <v>32568</v>
      </c>
      <c r="B352" s="9" t="str">
        <f t="shared" si="5"/>
        <v>03/1989</v>
      </c>
      <c r="C352" s="10">
        <v>9.8800000000000008</v>
      </c>
    </row>
    <row r="353" spans="1:3" x14ac:dyDescent="0.35">
      <c r="A353" s="9">
        <v>32599</v>
      </c>
      <c r="B353" s="9" t="str">
        <f t="shared" si="5"/>
        <v>04/1989</v>
      </c>
      <c r="C353" s="10">
        <v>10.18</v>
      </c>
    </row>
    <row r="354" spans="1:3" x14ac:dyDescent="0.35">
      <c r="A354" s="9">
        <v>32629</v>
      </c>
      <c r="B354" s="9" t="str">
        <f t="shared" si="5"/>
        <v>05/1989</v>
      </c>
      <c r="C354" s="10">
        <v>10.17</v>
      </c>
    </row>
    <row r="355" spans="1:3" x14ac:dyDescent="0.35">
      <c r="A355" s="9">
        <v>32660</v>
      </c>
      <c r="B355" s="9" t="str">
        <f t="shared" si="5"/>
        <v>06/1989</v>
      </c>
      <c r="C355" s="10">
        <v>10.55</v>
      </c>
    </row>
    <row r="356" spans="1:3" x14ac:dyDescent="0.35">
      <c r="A356" s="9">
        <v>32690</v>
      </c>
      <c r="B356" s="9" t="str">
        <f t="shared" si="5"/>
        <v>07/1989</v>
      </c>
      <c r="C356" s="10">
        <v>10.15</v>
      </c>
    </row>
    <row r="357" spans="1:3" x14ac:dyDescent="0.35">
      <c r="A357" s="9">
        <v>32721</v>
      </c>
      <c r="B357" s="9" t="str">
        <f t="shared" si="5"/>
        <v>08/1989</v>
      </c>
      <c r="C357" s="10">
        <v>9.91</v>
      </c>
    </row>
    <row r="358" spans="1:3" x14ac:dyDescent="0.35">
      <c r="A358" s="9">
        <v>32752</v>
      </c>
      <c r="B358" s="9" t="str">
        <f t="shared" si="5"/>
        <v>09/1989</v>
      </c>
      <c r="C358" s="10">
        <v>10.210000000000001</v>
      </c>
    </row>
    <row r="359" spans="1:3" x14ac:dyDescent="0.35">
      <c r="A359" s="9">
        <v>32782</v>
      </c>
      <c r="B359" s="9" t="str">
        <f t="shared" si="5"/>
        <v>10/1989</v>
      </c>
      <c r="C359" s="10">
        <v>10.45</v>
      </c>
    </row>
    <row r="360" spans="1:3" x14ac:dyDescent="0.35">
      <c r="A360" s="9">
        <v>32813</v>
      </c>
      <c r="B360" s="9" t="str">
        <f t="shared" si="5"/>
        <v>11/1989</v>
      </c>
      <c r="C360" s="10">
        <v>10.55</v>
      </c>
    </row>
    <row r="361" spans="1:3" x14ac:dyDescent="0.35">
      <c r="A361" s="9">
        <v>32843</v>
      </c>
      <c r="B361" s="9" t="str">
        <f t="shared" si="5"/>
        <v>12/1989</v>
      </c>
      <c r="C361" s="10">
        <v>10.56</v>
      </c>
    </row>
    <row r="362" spans="1:3" x14ac:dyDescent="0.35">
      <c r="A362" s="9">
        <v>32874</v>
      </c>
      <c r="B362" s="9" t="str">
        <f t="shared" si="5"/>
        <v>01/1990</v>
      </c>
      <c r="C362" s="10">
        <v>10.89</v>
      </c>
    </row>
    <row r="363" spans="1:3" x14ac:dyDescent="0.35">
      <c r="A363" s="9">
        <v>32905</v>
      </c>
      <c r="B363" s="9" t="str">
        <f t="shared" si="5"/>
        <v>02/1990</v>
      </c>
      <c r="C363" s="10">
        <v>11.33</v>
      </c>
    </row>
    <row r="364" spans="1:3" x14ac:dyDescent="0.35">
      <c r="A364" s="9">
        <v>32933</v>
      </c>
      <c r="B364" s="9" t="str">
        <f t="shared" si="5"/>
        <v>03/1990</v>
      </c>
      <c r="C364" s="10">
        <v>12.42</v>
      </c>
    </row>
    <row r="365" spans="1:3" x14ac:dyDescent="0.35">
      <c r="A365" s="9">
        <v>32964</v>
      </c>
      <c r="B365" s="9" t="str">
        <f t="shared" si="5"/>
        <v>04/1990</v>
      </c>
      <c r="C365" s="10">
        <v>12.74</v>
      </c>
    </row>
    <row r="366" spans="1:3" x14ac:dyDescent="0.35">
      <c r="A366" s="9">
        <v>32994</v>
      </c>
      <c r="B366" s="9" t="str">
        <f t="shared" si="5"/>
        <v>05/1990</v>
      </c>
      <c r="C366" s="10">
        <v>12.41</v>
      </c>
    </row>
    <row r="367" spans="1:3" x14ac:dyDescent="0.35">
      <c r="A367" s="9">
        <v>33025</v>
      </c>
      <c r="B367" s="9" t="str">
        <f t="shared" si="5"/>
        <v>06/1990</v>
      </c>
      <c r="C367" s="10">
        <v>11.8</v>
      </c>
    </row>
    <row r="368" spans="1:3" x14ac:dyDescent="0.35">
      <c r="A368" s="9">
        <v>33055</v>
      </c>
      <c r="B368" s="9" t="str">
        <f t="shared" si="5"/>
        <v>07/1990</v>
      </c>
      <c r="C368" s="10">
        <v>11.84</v>
      </c>
    </row>
    <row r="369" spans="1:3" x14ac:dyDescent="0.35">
      <c r="A369" s="9">
        <v>33086</v>
      </c>
      <c r="B369" s="9" t="str">
        <f t="shared" si="5"/>
        <v>08/1990</v>
      </c>
      <c r="C369" s="10">
        <v>12.15</v>
      </c>
    </row>
    <row r="370" spans="1:3" x14ac:dyDescent="0.35">
      <c r="A370" s="9">
        <v>33117</v>
      </c>
      <c r="B370" s="9" t="str">
        <f t="shared" si="5"/>
        <v>09/1990</v>
      </c>
      <c r="C370" s="10">
        <v>12.1</v>
      </c>
    </row>
    <row r="371" spans="1:3" x14ac:dyDescent="0.35">
      <c r="A371" s="9">
        <v>33147</v>
      </c>
      <c r="B371" s="9" t="str">
        <f t="shared" si="5"/>
        <v>10/1990</v>
      </c>
      <c r="C371" s="10">
        <v>11.74</v>
      </c>
    </row>
    <row r="372" spans="1:3" x14ac:dyDescent="0.35">
      <c r="A372" s="9">
        <v>33178</v>
      </c>
      <c r="B372" s="9" t="str">
        <f t="shared" si="5"/>
        <v>11/1990</v>
      </c>
      <c r="C372" s="10">
        <v>11.37</v>
      </c>
    </row>
    <row r="373" spans="1:3" x14ac:dyDescent="0.35">
      <c r="A373" s="9">
        <v>33208</v>
      </c>
      <c r="B373" s="9" t="str">
        <f t="shared" si="5"/>
        <v>12/1990</v>
      </c>
      <c r="C373" s="10">
        <v>10.84</v>
      </c>
    </row>
    <row r="374" spans="1:3" x14ac:dyDescent="0.35">
      <c r="A374" s="9">
        <v>33239</v>
      </c>
      <c r="B374" s="9" t="str">
        <f t="shared" si="5"/>
        <v>01/1991</v>
      </c>
      <c r="C374" s="10">
        <v>10.59</v>
      </c>
    </row>
    <row r="375" spans="1:3" x14ac:dyDescent="0.35">
      <c r="A375" s="9">
        <v>33270</v>
      </c>
      <c r="B375" s="9" t="str">
        <f t="shared" si="5"/>
        <v>02/1991</v>
      </c>
      <c r="C375" s="10">
        <v>10.130000000000001</v>
      </c>
    </row>
    <row r="376" spans="1:3" x14ac:dyDescent="0.35">
      <c r="A376" s="9">
        <v>33298</v>
      </c>
      <c r="B376" s="9" t="str">
        <f t="shared" si="5"/>
        <v>03/1991</v>
      </c>
      <c r="C376" s="10">
        <v>10.29</v>
      </c>
    </row>
    <row r="377" spans="1:3" x14ac:dyDescent="0.35">
      <c r="A377" s="9">
        <v>33329</v>
      </c>
      <c r="B377" s="9" t="str">
        <f t="shared" si="5"/>
        <v>04/1991</v>
      </c>
      <c r="C377" s="10">
        <v>10.19</v>
      </c>
    </row>
    <row r="378" spans="1:3" x14ac:dyDescent="0.35">
      <c r="A378" s="9">
        <v>33359</v>
      </c>
      <c r="B378" s="9" t="str">
        <f t="shared" si="5"/>
        <v>05/1991</v>
      </c>
      <c r="C378" s="10">
        <v>10.38</v>
      </c>
    </row>
    <row r="379" spans="1:3" x14ac:dyDescent="0.35">
      <c r="A379" s="9">
        <v>33390</v>
      </c>
      <c r="B379" s="9" t="str">
        <f t="shared" si="5"/>
        <v>06/1991</v>
      </c>
      <c r="C379" s="10">
        <v>10.58</v>
      </c>
    </row>
    <row r="380" spans="1:3" x14ac:dyDescent="0.35">
      <c r="A380" s="9">
        <v>33420</v>
      </c>
      <c r="B380" s="9" t="str">
        <f t="shared" si="5"/>
        <v>07/1991</v>
      </c>
      <c r="C380" s="10">
        <v>10.28</v>
      </c>
    </row>
    <row r="381" spans="1:3" x14ac:dyDescent="0.35">
      <c r="A381" s="9">
        <v>33451</v>
      </c>
      <c r="B381" s="9" t="str">
        <f t="shared" si="5"/>
        <v>08/1991</v>
      </c>
      <c r="C381" s="10">
        <v>10.029999999999999</v>
      </c>
    </row>
    <row r="382" spans="1:3" x14ac:dyDescent="0.35">
      <c r="A382" s="9">
        <v>33482</v>
      </c>
      <c r="B382" s="9" t="str">
        <f t="shared" si="5"/>
        <v>09/1991</v>
      </c>
      <c r="C382" s="10">
        <v>9.64</v>
      </c>
    </row>
    <row r="383" spans="1:3" x14ac:dyDescent="0.35">
      <c r="A383" s="9">
        <v>33512</v>
      </c>
      <c r="B383" s="9" t="str">
        <f t="shared" si="5"/>
        <v>10/1991</v>
      </c>
      <c r="C383" s="10">
        <v>9.7200000000000006</v>
      </c>
    </row>
    <row r="384" spans="1:3" x14ac:dyDescent="0.35">
      <c r="A384" s="9">
        <v>33543</v>
      </c>
      <c r="B384" s="9" t="str">
        <f t="shared" si="5"/>
        <v>11/1991</v>
      </c>
      <c r="C384" s="10">
        <v>9.77</v>
      </c>
    </row>
    <row r="385" spans="1:3" x14ac:dyDescent="0.35">
      <c r="A385" s="9">
        <v>33573</v>
      </c>
      <c r="B385" s="9" t="str">
        <f t="shared" si="5"/>
        <v>12/1991</v>
      </c>
      <c r="C385" s="10">
        <v>9.66</v>
      </c>
    </row>
    <row r="386" spans="1:3" x14ac:dyDescent="0.35">
      <c r="A386" s="9">
        <v>33604</v>
      </c>
      <c r="B386" s="9" t="str">
        <f t="shared" si="5"/>
        <v>01/1992</v>
      </c>
      <c r="C386" s="10">
        <v>9.4600000000000009</v>
      </c>
    </row>
    <row r="387" spans="1:3" x14ac:dyDescent="0.35">
      <c r="A387" s="9">
        <v>33635</v>
      </c>
      <c r="B387" s="9" t="str">
        <f t="shared" ref="B387:B450" si="6">TEXT(A387,"mm/YYYY")</f>
        <v>02/1992</v>
      </c>
      <c r="C387" s="10">
        <v>9.3000000000000007</v>
      </c>
    </row>
    <row r="388" spans="1:3" x14ac:dyDescent="0.35">
      <c r="A388" s="9">
        <v>33664</v>
      </c>
      <c r="B388" s="9" t="str">
        <f t="shared" si="6"/>
        <v>03/1992</v>
      </c>
      <c r="C388" s="10">
        <v>9.68</v>
      </c>
    </row>
    <row r="389" spans="1:3" x14ac:dyDescent="0.35">
      <c r="A389" s="9">
        <v>33695</v>
      </c>
      <c r="B389" s="9" t="str">
        <f t="shared" si="6"/>
        <v>04/1992</v>
      </c>
      <c r="C389" s="10">
        <v>9.43</v>
      </c>
    </row>
    <row r="390" spans="1:3" x14ac:dyDescent="0.35">
      <c r="A390" s="9">
        <v>33725</v>
      </c>
      <c r="B390" s="9" t="str">
        <f t="shared" si="6"/>
        <v>05/1992</v>
      </c>
      <c r="C390" s="10">
        <v>9.02</v>
      </c>
    </row>
    <row r="391" spans="1:3" x14ac:dyDescent="0.35">
      <c r="A391" s="9">
        <v>33756</v>
      </c>
      <c r="B391" s="9" t="str">
        <f t="shared" si="6"/>
        <v>06/1992</v>
      </c>
      <c r="C391" s="10">
        <v>9.1199999999999992</v>
      </c>
    </row>
    <row r="392" spans="1:3" x14ac:dyDescent="0.35">
      <c r="A392" s="9">
        <v>33786</v>
      </c>
      <c r="B392" s="9" t="str">
        <f t="shared" si="6"/>
        <v>07/1992</v>
      </c>
      <c r="C392" s="10">
        <v>9.0500000000000007</v>
      </c>
    </row>
    <row r="393" spans="1:3" x14ac:dyDescent="0.35">
      <c r="A393" s="9">
        <v>33817</v>
      </c>
      <c r="B393" s="9" t="str">
        <f t="shared" si="6"/>
        <v>08/1992</v>
      </c>
      <c r="C393" s="10">
        <v>9.35</v>
      </c>
    </row>
    <row r="394" spans="1:3" x14ac:dyDescent="0.35">
      <c r="A394" s="9">
        <v>33848</v>
      </c>
      <c r="B394" s="9" t="str">
        <f t="shared" si="6"/>
        <v>09/1992</v>
      </c>
      <c r="C394" s="10">
        <v>9.19</v>
      </c>
    </row>
    <row r="395" spans="1:3" x14ac:dyDescent="0.35">
      <c r="A395" s="9">
        <v>33878</v>
      </c>
      <c r="B395" s="9" t="str">
        <f t="shared" si="6"/>
        <v>10/1992</v>
      </c>
      <c r="C395" s="10">
        <v>8.65</v>
      </c>
    </row>
    <row r="396" spans="1:3" x14ac:dyDescent="0.35">
      <c r="A396" s="9">
        <v>33909</v>
      </c>
      <c r="B396" s="9" t="str">
        <f t="shared" si="6"/>
        <v>11/1992</v>
      </c>
      <c r="C396" s="10">
        <v>8.19</v>
      </c>
    </row>
    <row r="397" spans="1:3" x14ac:dyDescent="0.35">
      <c r="A397" s="9">
        <v>33939</v>
      </c>
      <c r="B397" s="9" t="str">
        <f t="shared" si="6"/>
        <v>12/1992</v>
      </c>
      <c r="C397" s="10">
        <v>8.32</v>
      </c>
    </row>
    <row r="398" spans="1:3" x14ac:dyDescent="0.35">
      <c r="A398" s="9">
        <v>33970</v>
      </c>
      <c r="B398" s="9" t="str">
        <f t="shared" si="6"/>
        <v>01/1993</v>
      </c>
      <c r="C398" s="10">
        <v>8.2899999999999991</v>
      </c>
    </row>
    <row r="399" spans="1:3" x14ac:dyDescent="0.35">
      <c r="A399" s="9">
        <v>34001</v>
      </c>
      <c r="B399" s="9" t="str">
        <f t="shared" si="6"/>
        <v>02/1993</v>
      </c>
      <c r="C399" s="10">
        <v>7.95</v>
      </c>
    </row>
    <row r="400" spans="1:3" x14ac:dyDescent="0.35">
      <c r="A400" s="9">
        <v>34029</v>
      </c>
      <c r="B400" s="9" t="str">
        <f t="shared" si="6"/>
        <v>03/1993</v>
      </c>
      <c r="C400" s="10">
        <v>7.72</v>
      </c>
    </row>
    <row r="401" spans="1:3" x14ac:dyDescent="0.35">
      <c r="A401" s="9">
        <v>34060</v>
      </c>
      <c r="B401" s="9" t="str">
        <f t="shared" si="6"/>
        <v>04/1993</v>
      </c>
      <c r="C401" s="10">
        <v>7.89</v>
      </c>
    </row>
    <row r="402" spans="1:3" x14ac:dyDescent="0.35">
      <c r="A402" s="9">
        <v>34090</v>
      </c>
      <c r="B402" s="9" t="str">
        <f t="shared" si="6"/>
        <v>05/1993</v>
      </c>
      <c r="C402" s="10">
        <v>8.15</v>
      </c>
    </row>
    <row r="403" spans="1:3" x14ac:dyDescent="0.35">
      <c r="A403" s="9">
        <v>34121</v>
      </c>
      <c r="B403" s="9" t="str">
        <f t="shared" si="6"/>
        <v>06/1993</v>
      </c>
      <c r="C403" s="10">
        <v>7.96</v>
      </c>
    </row>
    <row r="404" spans="1:3" x14ac:dyDescent="0.35">
      <c r="A404" s="9">
        <v>34151</v>
      </c>
      <c r="B404" s="9" t="str">
        <f t="shared" si="6"/>
        <v>07/1993</v>
      </c>
      <c r="C404" s="10">
        <v>7.62</v>
      </c>
    </row>
    <row r="405" spans="1:3" x14ac:dyDescent="0.35">
      <c r="A405" s="9">
        <v>34182</v>
      </c>
      <c r="B405" s="9" t="str">
        <f t="shared" si="6"/>
        <v>08/1993</v>
      </c>
      <c r="C405" s="10">
        <v>7.07</v>
      </c>
    </row>
    <row r="406" spans="1:3" x14ac:dyDescent="0.35">
      <c r="A406" s="9">
        <v>34213</v>
      </c>
      <c r="B406" s="9" t="str">
        <f t="shared" si="6"/>
        <v>09/1993</v>
      </c>
      <c r="C406" s="10">
        <v>6.96</v>
      </c>
    </row>
    <row r="407" spans="1:3" x14ac:dyDescent="0.35">
      <c r="A407" s="9">
        <v>34243</v>
      </c>
      <c r="B407" s="9" t="str">
        <f t="shared" si="6"/>
        <v>10/1993</v>
      </c>
      <c r="C407" s="10">
        <v>6.87</v>
      </c>
    </row>
    <row r="408" spans="1:3" x14ac:dyDescent="0.35">
      <c r="A408" s="9">
        <v>34274</v>
      </c>
      <c r="B408" s="9" t="str">
        <f t="shared" si="6"/>
        <v>11/1993</v>
      </c>
      <c r="C408" s="10">
        <v>6.85</v>
      </c>
    </row>
    <row r="409" spans="1:3" x14ac:dyDescent="0.35">
      <c r="A409" s="9">
        <v>34304</v>
      </c>
      <c r="B409" s="9" t="str">
        <f t="shared" si="6"/>
        <v>12/1993</v>
      </c>
      <c r="C409" s="10">
        <v>6.4253</v>
      </c>
    </row>
    <row r="410" spans="1:3" x14ac:dyDescent="0.35">
      <c r="A410" s="9">
        <v>34335</v>
      </c>
      <c r="B410" s="9" t="str">
        <f t="shared" si="6"/>
        <v>01/1994</v>
      </c>
      <c r="C410" s="10">
        <v>6.3794000000000004</v>
      </c>
    </row>
    <row r="411" spans="1:3" x14ac:dyDescent="0.35">
      <c r="A411" s="9">
        <v>34366</v>
      </c>
      <c r="B411" s="9" t="str">
        <f t="shared" si="6"/>
        <v>02/1994</v>
      </c>
      <c r="C411" s="10">
        <v>6.7572000000000001</v>
      </c>
    </row>
    <row r="412" spans="1:3" x14ac:dyDescent="0.35">
      <c r="A412" s="9">
        <v>34394</v>
      </c>
      <c r="B412" s="9" t="str">
        <f t="shared" si="6"/>
        <v>03/1994</v>
      </c>
      <c r="C412" s="10">
        <v>7.4169999999999998</v>
      </c>
    </row>
    <row r="413" spans="1:3" x14ac:dyDescent="0.35">
      <c r="A413" s="9">
        <v>34425</v>
      </c>
      <c r="B413" s="9" t="str">
        <f t="shared" si="6"/>
        <v>04/1994</v>
      </c>
      <c r="C413" s="10">
        <v>7.8400999999999996</v>
      </c>
    </row>
    <row r="414" spans="1:3" x14ac:dyDescent="0.35">
      <c r="A414" s="9">
        <v>34455</v>
      </c>
      <c r="B414" s="9" t="str">
        <f t="shared" si="6"/>
        <v>05/1994</v>
      </c>
      <c r="C414" s="10">
        <v>8.2825000000000006</v>
      </c>
    </row>
    <row r="415" spans="1:3" x14ac:dyDescent="0.35">
      <c r="A415" s="9">
        <v>34486</v>
      </c>
      <c r="B415" s="9" t="str">
        <f t="shared" si="6"/>
        <v>06/1994</v>
      </c>
      <c r="C415" s="10">
        <v>8.7104999999999997</v>
      </c>
    </row>
    <row r="416" spans="1:3" x14ac:dyDescent="0.35">
      <c r="A416" s="9">
        <v>34516</v>
      </c>
      <c r="B416" s="9" t="str">
        <f t="shared" si="6"/>
        <v>07/1994</v>
      </c>
      <c r="C416" s="10">
        <v>8.5329999999999995</v>
      </c>
    </row>
    <row r="417" spans="1:3" x14ac:dyDescent="0.35">
      <c r="A417" s="9">
        <v>34547</v>
      </c>
      <c r="B417" s="9" t="str">
        <f t="shared" si="6"/>
        <v>08/1994</v>
      </c>
      <c r="C417" s="10">
        <v>8.6524000000000001</v>
      </c>
    </row>
    <row r="418" spans="1:3" x14ac:dyDescent="0.35">
      <c r="A418" s="9">
        <v>34578</v>
      </c>
      <c r="B418" s="9" t="str">
        <f t="shared" si="6"/>
        <v>09/1994</v>
      </c>
      <c r="C418" s="10">
        <v>8.8958999999999993</v>
      </c>
    </row>
    <row r="419" spans="1:3" x14ac:dyDescent="0.35">
      <c r="A419" s="9">
        <v>34608</v>
      </c>
      <c r="B419" s="9" t="str">
        <f t="shared" si="6"/>
        <v>10/1994</v>
      </c>
      <c r="C419" s="10">
        <v>8.7797000000000001</v>
      </c>
    </row>
    <row r="420" spans="1:3" x14ac:dyDescent="0.35">
      <c r="A420" s="9">
        <v>34639</v>
      </c>
      <c r="B420" s="9" t="str">
        <f t="shared" si="6"/>
        <v>11/1994</v>
      </c>
      <c r="C420" s="10">
        <v>8.6361000000000008</v>
      </c>
    </row>
    <row r="421" spans="1:3" x14ac:dyDescent="0.35">
      <c r="A421" s="9">
        <v>34669</v>
      </c>
      <c r="B421" s="9" t="str">
        <f t="shared" si="6"/>
        <v>12/1994</v>
      </c>
      <c r="C421" s="10">
        <v>8.5814000000000004</v>
      </c>
    </row>
    <row r="422" spans="1:3" x14ac:dyDescent="0.35">
      <c r="A422" s="9">
        <v>34700</v>
      </c>
      <c r="B422" s="9" t="str">
        <f t="shared" si="6"/>
        <v>01/1995</v>
      </c>
      <c r="C422" s="10">
        <v>8.7348999999999997</v>
      </c>
    </row>
    <row r="423" spans="1:3" x14ac:dyDescent="0.35">
      <c r="A423" s="9">
        <v>34731</v>
      </c>
      <c r="B423" s="9" t="str">
        <f t="shared" si="6"/>
        <v>02/1995</v>
      </c>
      <c r="C423" s="10">
        <v>8.6556999999999995</v>
      </c>
    </row>
    <row r="424" spans="1:3" x14ac:dyDescent="0.35">
      <c r="A424" s="9">
        <v>34759</v>
      </c>
      <c r="B424" s="9" t="str">
        <f t="shared" si="6"/>
        <v>03/1995</v>
      </c>
      <c r="C424" s="10">
        <v>8.5937999999999999</v>
      </c>
    </row>
    <row r="425" spans="1:3" x14ac:dyDescent="0.35">
      <c r="A425" s="9">
        <v>34790</v>
      </c>
      <c r="B425" s="9" t="str">
        <f t="shared" si="6"/>
        <v>04/1995</v>
      </c>
      <c r="C425" s="10">
        <v>8.4377999999999993</v>
      </c>
    </row>
    <row r="426" spans="1:3" x14ac:dyDescent="0.35">
      <c r="A426" s="9">
        <v>34820</v>
      </c>
      <c r="B426" s="9" t="str">
        <f t="shared" si="6"/>
        <v>05/1995</v>
      </c>
      <c r="C426" s="10">
        <v>8.1801999999999992</v>
      </c>
    </row>
    <row r="427" spans="1:3" x14ac:dyDescent="0.35">
      <c r="A427" s="9">
        <v>34851</v>
      </c>
      <c r="B427" s="9" t="str">
        <f t="shared" si="6"/>
        <v>06/1995</v>
      </c>
      <c r="C427" s="10">
        <v>8.1097000000000001</v>
      </c>
    </row>
    <row r="428" spans="1:3" x14ac:dyDescent="0.35">
      <c r="A428" s="9">
        <v>34881</v>
      </c>
      <c r="B428" s="9" t="str">
        <f t="shared" si="6"/>
        <v>07/1995</v>
      </c>
      <c r="C428" s="10">
        <v>8.2613000000000003</v>
      </c>
    </row>
    <row r="429" spans="1:3" x14ac:dyDescent="0.35">
      <c r="A429" s="9">
        <v>34912</v>
      </c>
      <c r="B429" s="9" t="str">
        <f t="shared" si="6"/>
        <v>08/1995</v>
      </c>
      <c r="C429" s="10">
        <v>8.1168999999999993</v>
      </c>
    </row>
    <row r="430" spans="1:3" x14ac:dyDescent="0.35">
      <c r="A430" s="9">
        <v>34943</v>
      </c>
      <c r="B430" s="9" t="str">
        <f t="shared" si="6"/>
        <v>09/1995</v>
      </c>
      <c r="C430" s="10">
        <v>7.9485999999999999</v>
      </c>
    </row>
    <row r="431" spans="1:3" x14ac:dyDescent="0.35">
      <c r="A431" s="9">
        <v>34973</v>
      </c>
      <c r="B431" s="9" t="str">
        <f t="shared" si="6"/>
        <v>10/1995</v>
      </c>
      <c r="C431" s="10">
        <v>8.0967000000000002</v>
      </c>
    </row>
    <row r="432" spans="1:3" x14ac:dyDescent="0.35">
      <c r="A432" s="9">
        <v>35004</v>
      </c>
      <c r="B432" s="9" t="str">
        <f t="shared" si="6"/>
        <v>11/1995</v>
      </c>
      <c r="C432" s="10">
        <v>7.7751999999999999</v>
      </c>
    </row>
    <row r="433" spans="1:3" x14ac:dyDescent="0.35">
      <c r="A433" s="9">
        <v>35034</v>
      </c>
      <c r="B433" s="9" t="str">
        <f t="shared" si="6"/>
        <v>12/1995</v>
      </c>
      <c r="C433" s="10">
        <v>7.4926000000000004</v>
      </c>
    </row>
    <row r="434" spans="1:3" x14ac:dyDescent="0.35">
      <c r="A434" s="9">
        <v>35065</v>
      </c>
      <c r="B434" s="9" t="str">
        <f t="shared" si="6"/>
        <v>01/1996</v>
      </c>
      <c r="C434" s="10">
        <v>7.4408000000000003</v>
      </c>
    </row>
    <row r="435" spans="1:3" x14ac:dyDescent="0.35">
      <c r="A435" s="9">
        <v>35096</v>
      </c>
      <c r="B435" s="9" t="str">
        <f t="shared" si="6"/>
        <v>02/1996</v>
      </c>
      <c r="C435" s="10">
        <v>7.7618</v>
      </c>
    </row>
    <row r="436" spans="1:3" x14ac:dyDescent="0.35">
      <c r="A436" s="9">
        <v>35125</v>
      </c>
      <c r="B436" s="9" t="str">
        <f t="shared" si="6"/>
        <v>03/1996</v>
      </c>
      <c r="C436" s="10">
        <v>8.0570000000000004</v>
      </c>
    </row>
    <row r="437" spans="1:3" x14ac:dyDescent="0.35">
      <c r="A437" s="9">
        <v>35156</v>
      </c>
      <c r="B437" s="9" t="str">
        <f t="shared" si="6"/>
        <v>04/1996</v>
      </c>
      <c r="C437" s="10">
        <v>8.0602</v>
      </c>
    </row>
    <row r="438" spans="1:3" x14ac:dyDescent="0.35">
      <c r="A438" s="9">
        <v>35186</v>
      </c>
      <c r="B438" s="9" t="str">
        <f t="shared" si="6"/>
        <v>05/1996</v>
      </c>
      <c r="C438" s="10">
        <v>8.0870999999999995</v>
      </c>
    </row>
    <row r="439" spans="1:3" x14ac:dyDescent="0.35">
      <c r="A439" s="9">
        <v>35217</v>
      </c>
      <c r="B439" s="9" t="str">
        <f t="shared" si="6"/>
        <v>06/1996</v>
      </c>
      <c r="C439" s="10">
        <v>8.0540000000000003</v>
      </c>
    </row>
    <row r="440" spans="1:3" x14ac:dyDescent="0.35">
      <c r="A440" s="9">
        <v>35247</v>
      </c>
      <c r="B440" s="9" t="str">
        <f t="shared" si="6"/>
        <v>07/1996</v>
      </c>
      <c r="C440" s="10">
        <v>7.9161999999999999</v>
      </c>
    </row>
    <row r="441" spans="1:3" x14ac:dyDescent="0.35">
      <c r="A441" s="9">
        <v>35278</v>
      </c>
      <c r="B441" s="9" t="str">
        <f t="shared" si="6"/>
        <v>08/1996</v>
      </c>
      <c r="C441" s="10">
        <v>7.8219000000000003</v>
      </c>
    </row>
    <row r="442" spans="1:3" x14ac:dyDescent="0.35">
      <c r="A442" s="9">
        <v>35309</v>
      </c>
      <c r="B442" s="9" t="str">
        <f t="shared" si="6"/>
        <v>09/1996</v>
      </c>
      <c r="C442" s="10">
        <v>7.8151000000000002</v>
      </c>
    </row>
    <row r="443" spans="1:3" x14ac:dyDescent="0.35">
      <c r="A443" s="9">
        <v>35339</v>
      </c>
      <c r="B443" s="9" t="str">
        <f t="shared" si="6"/>
        <v>10/1996</v>
      </c>
      <c r="C443" s="10">
        <v>7.5412999999999997</v>
      </c>
    </row>
    <row r="444" spans="1:3" x14ac:dyDescent="0.35">
      <c r="A444" s="9">
        <v>35370</v>
      </c>
      <c r="B444" s="9" t="str">
        <f t="shared" si="6"/>
        <v>11/1996</v>
      </c>
      <c r="C444" s="10">
        <v>7.5952000000000002</v>
      </c>
    </row>
    <row r="445" spans="1:3" x14ac:dyDescent="0.35">
      <c r="A445" s="9">
        <v>35400</v>
      </c>
      <c r="B445" s="9" t="str">
        <f t="shared" si="6"/>
        <v>12/1996</v>
      </c>
      <c r="C445" s="10">
        <v>7.5716000000000001</v>
      </c>
    </row>
    <row r="446" spans="1:3" x14ac:dyDescent="0.35">
      <c r="A446" s="9">
        <v>35431</v>
      </c>
      <c r="B446" s="9" t="str">
        <f t="shared" si="6"/>
        <v>01/1997</v>
      </c>
      <c r="C446" s="10">
        <v>7.5552000000000001</v>
      </c>
    </row>
    <row r="447" spans="1:3" x14ac:dyDescent="0.35">
      <c r="A447" s="9">
        <v>35462</v>
      </c>
      <c r="B447" s="9" t="str">
        <f t="shared" si="6"/>
        <v>02/1997</v>
      </c>
      <c r="C447" s="10">
        <v>7.1962000000000002</v>
      </c>
    </row>
    <row r="448" spans="1:3" x14ac:dyDescent="0.35">
      <c r="A448" s="9">
        <v>35490</v>
      </c>
      <c r="B448" s="9" t="str">
        <f t="shared" si="6"/>
        <v>03/1997</v>
      </c>
      <c r="C448" s="10">
        <v>7.4543999999999997</v>
      </c>
    </row>
    <row r="449" spans="1:3" x14ac:dyDescent="0.35">
      <c r="A449" s="9">
        <v>35521</v>
      </c>
      <c r="B449" s="9" t="str">
        <f t="shared" si="6"/>
        <v>04/1997</v>
      </c>
      <c r="C449" s="10">
        <v>7.6379999999999999</v>
      </c>
    </row>
    <row r="450" spans="1:3" x14ac:dyDescent="0.35">
      <c r="A450" s="9">
        <v>35551</v>
      </c>
      <c r="B450" s="9" t="str">
        <f t="shared" si="6"/>
        <v>05/1997</v>
      </c>
      <c r="C450" s="10">
        <v>7.1680999999999999</v>
      </c>
    </row>
    <row r="451" spans="1:3" x14ac:dyDescent="0.35">
      <c r="A451" s="9">
        <v>35582</v>
      </c>
      <c r="B451" s="9" t="str">
        <f t="shared" ref="B451:B514" si="7">TEXT(A451,"mm/YYYY")</f>
        <v>06/1997</v>
      </c>
      <c r="C451" s="10">
        <v>7.1417999999999999</v>
      </c>
    </row>
    <row r="452" spans="1:3" x14ac:dyDescent="0.35">
      <c r="A452" s="9">
        <v>35612</v>
      </c>
      <c r="B452" s="9" t="str">
        <f t="shared" si="7"/>
        <v>07/1997</v>
      </c>
      <c r="C452" s="10">
        <v>7.0576999999999996</v>
      </c>
    </row>
    <row r="453" spans="1:3" x14ac:dyDescent="0.35">
      <c r="A453" s="9">
        <v>35643</v>
      </c>
      <c r="B453" s="9" t="str">
        <f t="shared" si="7"/>
        <v>08/1997</v>
      </c>
      <c r="C453" s="10">
        <v>7.0892999999999997</v>
      </c>
    </row>
    <row r="454" spans="1:3" x14ac:dyDescent="0.35">
      <c r="A454" s="9">
        <v>35674</v>
      </c>
      <c r="B454" s="9" t="str">
        <f t="shared" si="7"/>
        <v>09/1997</v>
      </c>
      <c r="C454" s="10">
        <v>6.8216000000000001</v>
      </c>
    </row>
    <row r="455" spans="1:3" x14ac:dyDescent="0.35">
      <c r="A455" s="9">
        <v>35704</v>
      </c>
      <c r="B455" s="9" t="str">
        <f t="shared" si="7"/>
        <v>10/1997</v>
      </c>
      <c r="C455" s="10">
        <v>6.5109000000000004</v>
      </c>
    </row>
    <row r="456" spans="1:3" x14ac:dyDescent="0.35">
      <c r="A456" s="9">
        <v>35735</v>
      </c>
      <c r="B456" s="9" t="str">
        <f t="shared" si="7"/>
        <v>11/1997</v>
      </c>
      <c r="C456" s="10">
        <v>6.6239999999999997</v>
      </c>
    </row>
    <row r="457" spans="1:3" x14ac:dyDescent="0.35">
      <c r="A457" s="9">
        <v>35765</v>
      </c>
      <c r="B457" s="9" t="str">
        <f t="shared" si="7"/>
        <v>12/1997</v>
      </c>
      <c r="C457" s="10">
        <v>6.3738999999999999</v>
      </c>
    </row>
    <row r="458" spans="1:3" x14ac:dyDescent="0.35">
      <c r="A458" s="9">
        <v>35796</v>
      </c>
      <c r="B458" s="9" t="str">
        <f t="shared" si="7"/>
        <v>01/1998</v>
      </c>
      <c r="C458" s="10">
        <v>6.0978000000000003</v>
      </c>
    </row>
    <row r="459" spans="1:3" x14ac:dyDescent="0.35">
      <c r="A459" s="9">
        <v>35827</v>
      </c>
      <c r="B459" s="9" t="str">
        <f t="shared" si="7"/>
        <v>02/1998</v>
      </c>
      <c r="C459" s="10">
        <v>6.0461</v>
      </c>
    </row>
    <row r="460" spans="1:3" x14ac:dyDescent="0.35">
      <c r="A460" s="9">
        <v>35855</v>
      </c>
      <c r="B460" s="9" t="str">
        <f t="shared" si="7"/>
        <v>03/1998</v>
      </c>
      <c r="C460" s="10">
        <v>5.992</v>
      </c>
    </row>
    <row r="461" spans="1:3" x14ac:dyDescent="0.35">
      <c r="A461" s="9">
        <v>35886</v>
      </c>
      <c r="B461" s="9" t="str">
        <f t="shared" si="7"/>
        <v>04/1998</v>
      </c>
      <c r="C461" s="10">
        <v>5.8249000000000004</v>
      </c>
    </row>
    <row r="462" spans="1:3" x14ac:dyDescent="0.35">
      <c r="A462" s="9">
        <v>35916</v>
      </c>
      <c r="B462" s="9" t="str">
        <f t="shared" si="7"/>
        <v>05/1998</v>
      </c>
      <c r="C462" s="10">
        <v>5.8647999999999998</v>
      </c>
    </row>
    <row r="463" spans="1:3" x14ac:dyDescent="0.35">
      <c r="A463" s="9">
        <v>35947</v>
      </c>
      <c r="B463" s="9" t="str">
        <f t="shared" si="7"/>
        <v>06/1998</v>
      </c>
      <c r="C463" s="10">
        <v>5.7743000000000002</v>
      </c>
    </row>
    <row r="464" spans="1:3" x14ac:dyDescent="0.35">
      <c r="A464" s="9">
        <v>35977</v>
      </c>
      <c r="B464" s="9" t="str">
        <f t="shared" si="7"/>
        <v>07/1998</v>
      </c>
      <c r="C464" s="10">
        <v>5.8319000000000001</v>
      </c>
    </row>
    <row r="465" spans="1:3" x14ac:dyDescent="0.35">
      <c r="A465" s="9">
        <v>36008</v>
      </c>
      <c r="B465" s="9" t="str">
        <f t="shared" si="7"/>
        <v>08/1998</v>
      </c>
      <c r="C465" s="10">
        <v>5.5705999999999998</v>
      </c>
    </row>
    <row r="466" spans="1:3" x14ac:dyDescent="0.35">
      <c r="A466" s="9">
        <v>36039</v>
      </c>
      <c r="B466" s="9" t="str">
        <f t="shared" si="7"/>
        <v>09/1998</v>
      </c>
      <c r="C466" s="10">
        <v>5.1509999999999998</v>
      </c>
    </row>
    <row r="467" spans="1:3" x14ac:dyDescent="0.35">
      <c r="A467" s="9">
        <v>36069</v>
      </c>
      <c r="B467" s="9" t="str">
        <f t="shared" si="7"/>
        <v>10/1998</v>
      </c>
      <c r="C467" s="10">
        <v>5.0114000000000001</v>
      </c>
    </row>
    <row r="468" spans="1:3" x14ac:dyDescent="0.35">
      <c r="A468" s="9">
        <v>36100</v>
      </c>
      <c r="B468" s="9" t="str">
        <f t="shared" si="7"/>
        <v>11/1998</v>
      </c>
      <c r="C468" s="10">
        <v>4.9291999999999998</v>
      </c>
    </row>
    <row r="469" spans="1:3" x14ac:dyDescent="0.35">
      <c r="A469" s="9">
        <v>36130</v>
      </c>
      <c r="B469" s="9" t="str">
        <f t="shared" si="7"/>
        <v>12/1998</v>
      </c>
      <c r="C469" s="10">
        <v>4.5175000000000001</v>
      </c>
    </row>
    <row r="470" spans="1:3" x14ac:dyDescent="0.35">
      <c r="A470" s="9">
        <v>36161</v>
      </c>
      <c r="B470" s="9" t="str">
        <f t="shared" si="7"/>
        <v>01/1999</v>
      </c>
      <c r="C470" s="10">
        <v>4.2868000000000004</v>
      </c>
    </row>
    <row r="471" spans="1:3" x14ac:dyDescent="0.35">
      <c r="A471" s="9">
        <v>36192</v>
      </c>
      <c r="B471" s="9" t="str">
        <f t="shared" si="7"/>
        <v>02/1999</v>
      </c>
      <c r="C471" s="10">
        <v>4.4318999999999997</v>
      </c>
    </row>
    <row r="472" spans="1:3" x14ac:dyDescent="0.35">
      <c r="A472" s="9">
        <v>36220</v>
      </c>
      <c r="B472" s="9" t="str">
        <f t="shared" si="7"/>
        <v>03/1999</v>
      </c>
      <c r="C472" s="10">
        <v>4.6554000000000002</v>
      </c>
    </row>
    <row r="473" spans="1:3" x14ac:dyDescent="0.35">
      <c r="A473" s="9">
        <v>36251</v>
      </c>
      <c r="B473" s="9" t="str">
        <f t="shared" si="7"/>
        <v>04/1999</v>
      </c>
      <c r="C473" s="10">
        <v>4.5919999999999996</v>
      </c>
    </row>
    <row r="474" spans="1:3" x14ac:dyDescent="0.35">
      <c r="A474" s="9">
        <v>36281</v>
      </c>
      <c r="B474" s="9" t="str">
        <f t="shared" si="7"/>
        <v>05/1999</v>
      </c>
      <c r="C474" s="10">
        <v>4.9067999999999996</v>
      </c>
    </row>
    <row r="475" spans="1:3" x14ac:dyDescent="0.35">
      <c r="A475" s="9">
        <v>36312</v>
      </c>
      <c r="B475" s="9" t="str">
        <f t="shared" si="7"/>
        <v>06/1999</v>
      </c>
      <c r="C475" s="10">
        <v>5.1715999999999998</v>
      </c>
    </row>
    <row r="476" spans="1:3" x14ac:dyDescent="0.35">
      <c r="A476" s="9">
        <v>36342</v>
      </c>
      <c r="B476" s="9" t="str">
        <f t="shared" si="7"/>
        <v>07/1999</v>
      </c>
      <c r="C476" s="10">
        <v>5.3720999999999997</v>
      </c>
    </row>
    <row r="477" spans="1:3" x14ac:dyDescent="0.35">
      <c r="A477" s="9">
        <v>36373</v>
      </c>
      <c r="B477" s="9" t="str">
        <f t="shared" si="7"/>
        <v>08/1999</v>
      </c>
      <c r="C477" s="10">
        <v>5.4311999999999996</v>
      </c>
    </row>
    <row r="478" spans="1:3" x14ac:dyDescent="0.35">
      <c r="A478" s="9">
        <v>36404</v>
      </c>
      <c r="B478" s="9" t="str">
        <f t="shared" si="7"/>
        <v>09/1999</v>
      </c>
      <c r="C478" s="10">
        <v>5.6909000000000001</v>
      </c>
    </row>
    <row r="479" spans="1:3" x14ac:dyDescent="0.35">
      <c r="A479" s="9">
        <v>36434</v>
      </c>
      <c r="B479" s="9" t="str">
        <f t="shared" si="7"/>
        <v>10/1999</v>
      </c>
      <c r="C479" s="10">
        <v>5.8800999999999997</v>
      </c>
    </row>
    <row r="480" spans="1:3" x14ac:dyDescent="0.35">
      <c r="A480" s="9">
        <v>36465</v>
      </c>
      <c r="B480" s="9" t="str">
        <f t="shared" si="7"/>
        <v>11/1999</v>
      </c>
      <c r="C480" s="10">
        <v>5.3144999999999998</v>
      </c>
    </row>
    <row r="481" spans="1:3" x14ac:dyDescent="0.35">
      <c r="A481" s="9">
        <v>36495</v>
      </c>
      <c r="B481" s="9" t="str">
        <f t="shared" si="7"/>
        <v>12/1999</v>
      </c>
      <c r="C481" s="10">
        <v>5.3890000000000002</v>
      </c>
    </row>
    <row r="482" spans="1:3" x14ac:dyDescent="0.35">
      <c r="A482" s="9">
        <v>36526</v>
      </c>
      <c r="B482" s="9" t="str">
        <f t="shared" si="7"/>
        <v>01/2000</v>
      </c>
      <c r="C482" s="10">
        <v>5.8227000000000002</v>
      </c>
    </row>
    <row r="483" spans="1:3" x14ac:dyDescent="0.35">
      <c r="A483" s="9">
        <v>36557</v>
      </c>
      <c r="B483" s="9" t="str">
        <f t="shared" si="7"/>
        <v>02/2000</v>
      </c>
      <c r="C483" s="10">
        <v>5.6346999999999996</v>
      </c>
    </row>
    <row r="484" spans="1:3" x14ac:dyDescent="0.35">
      <c r="A484" s="9">
        <v>36586</v>
      </c>
      <c r="B484" s="9" t="str">
        <f t="shared" si="7"/>
        <v>03/2000</v>
      </c>
      <c r="C484" s="10">
        <v>5.3707000000000003</v>
      </c>
    </row>
    <row r="485" spans="1:3" x14ac:dyDescent="0.35">
      <c r="A485" s="9">
        <v>36617</v>
      </c>
      <c r="B485" s="9" t="str">
        <f t="shared" si="7"/>
        <v>04/2000</v>
      </c>
      <c r="C485" s="10">
        <v>5.3212999999999999</v>
      </c>
    </row>
    <row r="486" spans="1:3" x14ac:dyDescent="0.35">
      <c r="A486" s="9">
        <v>36647</v>
      </c>
      <c r="B486" s="9" t="str">
        <f t="shared" si="7"/>
        <v>05/2000</v>
      </c>
      <c r="C486" s="10">
        <v>5.4032999999999998</v>
      </c>
    </row>
    <row r="487" spans="1:3" x14ac:dyDescent="0.35">
      <c r="A487" s="9">
        <v>36678</v>
      </c>
      <c r="B487" s="9" t="str">
        <f t="shared" si="7"/>
        <v>06/2000</v>
      </c>
      <c r="C487" s="10">
        <v>5.2096999999999998</v>
      </c>
    </row>
    <row r="488" spans="1:3" x14ac:dyDescent="0.35">
      <c r="A488" s="9">
        <v>36708</v>
      </c>
      <c r="B488" s="9" t="str">
        <f t="shared" si="7"/>
        <v>07/2000</v>
      </c>
      <c r="C488" s="10">
        <v>5.2388000000000003</v>
      </c>
    </row>
    <row r="489" spans="1:3" x14ac:dyDescent="0.35">
      <c r="A489" s="9">
        <v>36739</v>
      </c>
      <c r="B489" s="9" t="str">
        <f t="shared" si="7"/>
        <v>08/2000</v>
      </c>
      <c r="C489" s="10">
        <v>5.3311999999999999</v>
      </c>
    </row>
    <row r="490" spans="1:3" x14ac:dyDescent="0.35">
      <c r="A490" s="9">
        <v>36770</v>
      </c>
      <c r="B490" s="9" t="str">
        <f t="shared" si="7"/>
        <v>09/2000</v>
      </c>
      <c r="C490" s="10">
        <v>5.3872999999999998</v>
      </c>
    </row>
    <row r="491" spans="1:3" x14ac:dyDescent="0.35">
      <c r="A491" s="9">
        <v>36800</v>
      </c>
      <c r="B491" s="9" t="str">
        <f t="shared" si="7"/>
        <v>10/2000</v>
      </c>
      <c r="C491" s="10">
        <v>5.2179000000000002</v>
      </c>
    </row>
    <row r="492" spans="1:3" x14ac:dyDescent="0.35">
      <c r="A492" s="9">
        <v>36831</v>
      </c>
      <c r="B492" s="9" t="str">
        <f t="shared" si="7"/>
        <v>11/2000</v>
      </c>
      <c r="C492" s="10">
        <v>5.0983000000000001</v>
      </c>
    </row>
    <row r="493" spans="1:3" x14ac:dyDescent="0.35">
      <c r="A493" s="9">
        <v>36861</v>
      </c>
      <c r="B493" s="9" t="str">
        <f t="shared" si="7"/>
        <v>12/2000</v>
      </c>
      <c r="C493" s="10">
        <v>4.9118000000000004</v>
      </c>
    </row>
    <row r="494" spans="1:3" x14ac:dyDescent="0.35">
      <c r="A494" s="9">
        <v>36892</v>
      </c>
      <c r="B494" s="9" t="str">
        <f t="shared" si="7"/>
        <v>01/2001</v>
      </c>
      <c r="C494" s="10">
        <v>4.8471000000000002</v>
      </c>
    </row>
    <row r="495" spans="1:3" x14ac:dyDescent="0.35">
      <c r="A495" s="9">
        <v>36923</v>
      </c>
      <c r="B495" s="9" t="str">
        <f t="shared" si="7"/>
        <v>02/2001</v>
      </c>
      <c r="C495" s="10">
        <v>4.8247999999999998</v>
      </c>
    </row>
    <row r="496" spans="1:3" x14ac:dyDescent="0.35">
      <c r="A496" s="9">
        <v>36951</v>
      </c>
      <c r="B496" s="9" t="str">
        <f t="shared" si="7"/>
        <v>03/2001</v>
      </c>
      <c r="C496" s="10">
        <v>4.7030000000000003</v>
      </c>
    </row>
    <row r="497" spans="1:3" x14ac:dyDescent="0.35">
      <c r="A497" s="9">
        <v>36982</v>
      </c>
      <c r="B497" s="9" t="str">
        <f t="shared" si="7"/>
        <v>04/2001</v>
      </c>
      <c r="C497" s="10">
        <v>4.9467999999999996</v>
      </c>
    </row>
    <row r="498" spans="1:3" x14ac:dyDescent="0.35">
      <c r="A498" s="9">
        <v>37012</v>
      </c>
      <c r="B498" s="9" t="str">
        <f t="shared" si="7"/>
        <v>05/2001</v>
      </c>
      <c r="C498" s="10">
        <v>5.1153000000000004</v>
      </c>
    </row>
    <row r="499" spans="1:3" x14ac:dyDescent="0.35">
      <c r="A499" s="9">
        <v>37043</v>
      </c>
      <c r="B499" s="9" t="str">
        <f t="shared" si="7"/>
        <v>06/2001</v>
      </c>
      <c r="C499" s="10">
        <v>5.1951000000000001</v>
      </c>
    </row>
    <row r="500" spans="1:3" x14ac:dyDescent="0.35">
      <c r="A500" s="9">
        <v>37073</v>
      </c>
      <c r="B500" s="9" t="str">
        <f t="shared" si="7"/>
        <v>07/2001</v>
      </c>
      <c r="C500" s="10">
        <v>5.2037000000000004</v>
      </c>
    </row>
    <row r="501" spans="1:3" x14ac:dyDescent="0.35">
      <c r="A501" s="9">
        <v>37104</v>
      </c>
      <c r="B501" s="9" t="str">
        <f t="shared" si="7"/>
        <v>08/2001</v>
      </c>
      <c r="C501" s="10">
        <v>4.9854000000000003</v>
      </c>
    </row>
    <row r="502" spans="1:3" x14ac:dyDescent="0.35">
      <c r="A502" s="9">
        <v>37135</v>
      </c>
      <c r="B502" s="9" t="str">
        <f t="shared" si="7"/>
        <v>09/2001</v>
      </c>
      <c r="C502" s="10">
        <v>4.9875999999999996</v>
      </c>
    </row>
    <row r="503" spans="1:3" x14ac:dyDescent="0.35">
      <c r="A503" s="9">
        <v>37165</v>
      </c>
      <c r="B503" s="9" t="str">
        <f t="shared" si="7"/>
        <v>10/2001</v>
      </c>
      <c r="C503" s="10">
        <v>4.8253000000000004</v>
      </c>
    </row>
    <row r="504" spans="1:3" x14ac:dyDescent="0.35">
      <c r="A504" s="9">
        <v>37196</v>
      </c>
      <c r="B504" s="9" t="str">
        <f t="shared" si="7"/>
        <v>11/2001</v>
      </c>
      <c r="C504" s="10">
        <v>4.6271000000000004</v>
      </c>
    </row>
    <row r="505" spans="1:3" x14ac:dyDescent="0.35">
      <c r="A505" s="9">
        <v>37226</v>
      </c>
      <c r="B505" s="9" t="str">
        <f t="shared" si="7"/>
        <v>12/2001</v>
      </c>
      <c r="C505" s="10">
        <v>4.8928000000000003</v>
      </c>
    </row>
    <row r="506" spans="1:3" x14ac:dyDescent="0.35">
      <c r="A506" s="9">
        <v>37257</v>
      </c>
      <c r="B506" s="9" t="str">
        <f t="shared" si="7"/>
        <v>01/2002</v>
      </c>
      <c r="C506" s="10">
        <v>4.9170999999999996</v>
      </c>
    </row>
    <row r="507" spans="1:3" x14ac:dyDescent="0.35">
      <c r="A507" s="9">
        <v>37288</v>
      </c>
      <c r="B507" s="9" t="str">
        <f t="shared" si="7"/>
        <v>02/2002</v>
      </c>
      <c r="C507" s="10">
        <v>4.9250999999999996</v>
      </c>
    </row>
    <row r="508" spans="1:3" x14ac:dyDescent="0.35">
      <c r="A508" s="9">
        <v>37316</v>
      </c>
      <c r="B508" s="9" t="str">
        <f t="shared" si="7"/>
        <v>03/2002</v>
      </c>
      <c r="C508" s="10">
        <v>5.2202000000000002</v>
      </c>
    </row>
    <row r="509" spans="1:3" x14ac:dyDescent="0.35">
      <c r="A509" s="9">
        <v>37347</v>
      </c>
      <c r="B509" s="9" t="str">
        <f t="shared" si="7"/>
        <v>04/2002</v>
      </c>
      <c r="C509" s="10">
        <v>5.2331000000000003</v>
      </c>
    </row>
    <row r="510" spans="1:3" x14ac:dyDescent="0.35">
      <c r="A510" s="9">
        <v>37377</v>
      </c>
      <c r="B510" s="9" t="str">
        <f t="shared" si="7"/>
        <v>05/2002</v>
      </c>
      <c r="C510" s="10">
        <v>5.2689000000000004</v>
      </c>
    </row>
    <row r="511" spans="1:3" x14ac:dyDescent="0.35">
      <c r="A511" s="9">
        <v>37408</v>
      </c>
      <c r="B511" s="9" t="str">
        <f t="shared" si="7"/>
        <v>06/2002</v>
      </c>
      <c r="C511" s="10">
        <v>5.0990000000000002</v>
      </c>
    </row>
    <row r="512" spans="1:3" x14ac:dyDescent="0.35">
      <c r="A512" s="9">
        <v>37438</v>
      </c>
      <c r="B512" s="9" t="str">
        <f t="shared" si="7"/>
        <v>07/2002</v>
      </c>
      <c r="C512" s="10">
        <v>5.0026999999999999</v>
      </c>
    </row>
    <row r="513" spans="1:3" x14ac:dyDescent="0.35">
      <c r="A513" s="9">
        <v>37469</v>
      </c>
      <c r="B513" s="9" t="str">
        <f t="shared" si="7"/>
        <v>08/2002</v>
      </c>
      <c r="C513" s="10">
        <v>4.7460000000000004</v>
      </c>
    </row>
    <row r="514" spans="1:3" x14ac:dyDescent="0.35">
      <c r="A514" s="9">
        <v>37500</v>
      </c>
      <c r="B514" s="9" t="str">
        <f t="shared" si="7"/>
        <v>09/2002</v>
      </c>
      <c r="C514" s="10">
        <v>4.5006000000000004</v>
      </c>
    </row>
    <row r="515" spans="1:3" x14ac:dyDescent="0.35">
      <c r="A515" s="9">
        <v>37530</v>
      </c>
      <c r="B515" s="9" t="str">
        <f t="shared" ref="B515:B578" si="8">TEXT(A515,"mm/YYYY")</f>
        <v>10/2002</v>
      </c>
      <c r="C515" s="10">
        <v>4.6159999999999997</v>
      </c>
    </row>
    <row r="516" spans="1:3" x14ac:dyDescent="0.35">
      <c r="A516" s="9">
        <v>37561</v>
      </c>
      <c r="B516" s="9" t="str">
        <f t="shared" si="8"/>
        <v>11/2002</v>
      </c>
      <c r="C516" s="10">
        <v>4.6378000000000004</v>
      </c>
    </row>
    <row r="517" spans="1:3" x14ac:dyDescent="0.35">
      <c r="A517" s="9">
        <v>37591</v>
      </c>
      <c r="B517" s="9" t="str">
        <f t="shared" si="8"/>
        <v>12/2002</v>
      </c>
      <c r="C517" s="10">
        <v>4.5644</v>
      </c>
    </row>
    <row r="518" spans="1:3" x14ac:dyDescent="0.35">
      <c r="A518" s="9">
        <v>37622</v>
      </c>
      <c r="B518" s="9" t="str">
        <f t="shared" si="8"/>
        <v>01/2003</v>
      </c>
      <c r="C518" s="10">
        <v>4.3898999999999999</v>
      </c>
    </row>
    <row r="519" spans="1:3" x14ac:dyDescent="0.35">
      <c r="A519" s="9">
        <v>37653</v>
      </c>
      <c r="B519" s="9" t="str">
        <f t="shared" si="8"/>
        <v>02/2003</v>
      </c>
      <c r="C519" s="10">
        <v>4.2130999999999998</v>
      </c>
    </row>
    <row r="520" spans="1:3" x14ac:dyDescent="0.35">
      <c r="A520" s="9">
        <v>37681</v>
      </c>
      <c r="B520" s="9" t="str">
        <f t="shared" si="8"/>
        <v>03/2003</v>
      </c>
      <c r="C520" s="10">
        <v>4.3243</v>
      </c>
    </row>
    <row r="521" spans="1:3" x14ac:dyDescent="0.35">
      <c r="A521" s="9">
        <v>37712</v>
      </c>
      <c r="B521" s="9" t="str">
        <f t="shared" si="8"/>
        <v>04/2003</v>
      </c>
      <c r="C521" s="10">
        <v>4.4663000000000004</v>
      </c>
    </row>
    <row r="522" spans="1:3" x14ac:dyDescent="0.35">
      <c r="A522" s="9">
        <v>37742</v>
      </c>
      <c r="B522" s="9" t="str">
        <f t="shared" si="8"/>
        <v>05/2003</v>
      </c>
      <c r="C522" s="10">
        <v>4.2196999999999996</v>
      </c>
    </row>
    <row r="523" spans="1:3" x14ac:dyDescent="0.35">
      <c r="A523" s="9">
        <v>37773</v>
      </c>
      <c r="B523" s="9" t="str">
        <f t="shared" si="8"/>
        <v>06/2003</v>
      </c>
      <c r="C523" s="10">
        <v>4.1127000000000002</v>
      </c>
    </row>
    <row r="524" spans="1:3" x14ac:dyDescent="0.35">
      <c r="A524" s="9">
        <v>37803</v>
      </c>
      <c r="B524" s="9" t="str">
        <f t="shared" si="8"/>
        <v>07/2003</v>
      </c>
      <c r="C524" s="10">
        <v>4.4077999999999999</v>
      </c>
    </row>
    <row r="525" spans="1:3" x14ac:dyDescent="0.35">
      <c r="A525" s="9">
        <v>37834</v>
      </c>
      <c r="B525" s="9" t="str">
        <f t="shared" si="8"/>
        <v>08/2003</v>
      </c>
      <c r="C525" s="10">
        <v>4.6040000000000001</v>
      </c>
    </row>
    <row r="526" spans="1:3" x14ac:dyDescent="0.35">
      <c r="A526" s="9">
        <v>37865</v>
      </c>
      <c r="B526" s="9" t="str">
        <f t="shared" si="8"/>
        <v>09/2003</v>
      </c>
      <c r="C526" s="10">
        <v>4.7131999999999996</v>
      </c>
    </row>
    <row r="527" spans="1:3" x14ac:dyDescent="0.35">
      <c r="A527" s="9">
        <v>37895</v>
      </c>
      <c r="B527" s="9" t="str">
        <f t="shared" si="8"/>
        <v>10/2003</v>
      </c>
      <c r="C527" s="10">
        <v>4.9070999999999998</v>
      </c>
    </row>
    <row r="528" spans="1:3" x14ac:dyDescent="0.35">
      <c r="A528" s="9">
        <v>37926</v>
      </c>
      <c r="B528" s="9" t="str">
        <f t="shared" si="8"/>
        <v>11/2003</v>
      </c>
      <c r="C528" s="10">
        <v>5.0650000000000004</v>
      </c>
    </row>
    <row r="529" spans="1:3" x14ac:dyDescent="0.35">
      <c r="A529" s="9">
        <v>37956</v>
      </c>
      <c r="B529" s="9" t="str">
        <f t="shared" si="8"/>
        <v>12/2003</v>
      </c>
      <c r="C529" s="10">
        <v>4.8959999999999999</v>
      </c>
    </row>
    <row r="530" spans="1:3" x14ac:dyDescent="0.35">
      <c r="A530" s="9">
        <v>37987</v>
      </c>
      <c r="B530" s="9" t="str">
        <f t="shared" si="8"/>
        <v>01/2004</v>
      </c>
      <c r="C530" s="10">
        <v>4.7874999999999996</v>
      </c>
    </row>
    <row r="531" spans="1:3" x14ac:dyDescent="0.35">
      <c r="A531" s="9">
        <v>38018</v>
      </c>
      <c r="B531" s="9" t="str">
        <f t="shared" si="8"/>
        <v>02/2004</v>
      </c>
      <c r="C531" s="10">
        <v>4.8056000000000001</v>
      </c>
    </row>
    <row r="532" spans="1:3" x14ac:dyDescent="0.35">
      <c r="A532" s="9">
        <v>38047</v>
      </c>
      <c r="B532" s="9" t="str">
        <f t="shared" si="8"/>
        <v>03/2004</v>
      </c>
      <c r="C532" s="10">
        <v>4.7088000000000001</v>
      </c>
    </row>
    <row r="533" spans="1:3" x14ac:dyDescent="0.35">
      <c r="A533" s="9">
        <v>38078</v>
      </c>
      <c r="B533" s="9" t="str">
        <f t="shared" si="8"/>
        <v>04/2004</v>
      </c>
      <c r="C533" s="10">
        <v>4.9569999999999999</v>
      </c>
    </row>
    <row r="534" spans="1:3" x14ac:dyDescent="0.35">
      <c r="A534" s="9">
        <v>38108</v>
      </c>
      <c r="B534" s="9" t="str">
        <f t="shared" si="8"/>
        <v>05/2004</v>
      </c>
      <c r="C534" s="10">
        <v>5.1117999999999997</v>
      </c>
    </row>
    <row r="535" spans="1:3" x14ac:dyDescent="0.35">
      <c r="A535" s="9">
        <v>38139</v>
      </c>
      <c r="B535" s="9" t="str">
        <f t="shared" si="8"/>
        <v>06/2004</v>
      </c>
      <c r="C535" s="10">
        <v>5.2</v>
      </c>
    </row>
    <row r="536" spans="1:3" x14ac:dyDescent="0.35">
      <c r="A536" s="9">
        <v>38169</v>
      </c>
      <c r="B536" s="9" t="str">
        <f t="shared" si="8"/>
        <v>07/2004</v>
      </c>
      <c r="C536" s="10">
        <v>5.1082999999999998</v>
      </c>
    </row>
    <row r="537" spans="1:3" x14ac:dyDescent="0.35">
      <c r="A537" s="9">
        <v>38200</v>
      </c>
      <c r="B537" s="9" t="str">
        <f t="shared" si="8"/>
        <v>08/2004</v>
      </c>
      <c r="C537" s="10">
        <v>5.0071000000000003</v>
      </c>
    </row>
    <row r="538" spans="1:3" x14ac:dyDescent="0.35">
      <c r="A538" s="9">
        <v>38231</v>
      </c>
      <c r="B538" s="9" t="str">
        <f t="shared" si="8"/>
        <v>09/2004</v>
      </c>
      <c r="C538" s="10">
        <v>4.9108999999999998</v>
      </c>
    </row>
    <row r="539" spans="1:3" x14ac:dyDescent="0.35">
      <c r="A539" s="9">
        <v>38261</v>
      </c>
      <c r="B539" s="9" t="str">
        <f t="shared" si="8"/>
        <v>10/2004</v>
      </c>
      <c r="C539" s="10">
        <v>4.7683</v>
      </c>
    </row>
    <row r="540" spans="1:3" x14ac:dyDescent="0.35">
      <c r="A540" s="9">
        <v>38292</v>
      </c>
      <c r="B540" s="9" t="str">
        <f t="shared" si="8"/>
        <v>11/2004</v>
      </c>
      <c r="C540" s="10">
        <v>4.6902999999999997</v>
      </c>
    </row>
    <row r="541" spans="1:3" x14ac:dyDescent="0.35">
      <c r="A541" s="9">
        <v>38322</v>
      </c>
      <c r="B541" s="9" t="str">
        <f t="shared" si="8"/>
        <v>12/2004</v>
      </c>
      <c r="C541" s="10">
        <v>4.5316000000000001</v>
      </c>
    </row>
    <row r="542" spans="1:3" x14ac:dyDescent="0.35">
      <c r="A542" s="9">
        <v>38353</v>
      </c>
      <c r="B542" s="9" t="str">
        <f t="shared" si="8"/>
        <v>01/2005</v>
      </c>
      <c r="C542" s="10">
        <v>4.5419</v>
      </c>
    </row>
    <row r="543" spans="1:3" x14ac:dyDescent="0.35">
      <c r="A543" s="9">
        <v>38384</v>
      </c>
      <c r="B543" s="9" t="str">
        <f t="shared" si="8"/>
        <v>02/2005</v>
      </c>
      <c r="C543" s="10">
        <v>4.5884</v>
      </c>
    </row>
    <row r="544" spans="1:3" x14ac:dyDescent="0.35">
      <c r="A544" s="9">
        <v>38412</v>
      </c>
      <c r="B544" s="9" t="str">
        <f t="shared" si="8"/>
        <v>03/2005</v>
      </c>
      <c r="C544" s="10">
        <v>4.7960000000000003</v>
      </c>
    </row>
    <row r="545" spans="1:3" x14ac:dyDescent="0.35">
      <c r="A545" s="9">
        <v>38443</v>
      </c>
      <c r="B545" s="9" t="str">
        <f t="shared" si="8"/>
        <v>04/2005</v>
      </c>
      <c r="C545" s="10">
        <v>4.6218000000000004</v>
      </c>
    </row>
    <row r="546" spans="1:3" x14ac:dyDescent="0.35">
      <c r="A546" s="9">
        <v>38473</v>
      </c>
      <c r="B546" s="9" t="str">
        <f t="shared" si="8"/>
        <v>05/2005</v>
      </c>
      <c r="C546" s="10">
        <v>4.4173</v>
      </c>
    </row>
    <row r="547" spans="1:3" x14ac:dyDescent="0.35">
      <c r="A547" s="9">
        <v>38504</v>
      </c>
      <c r="B547" s="9" t="str">
        <f t="shared" si="8"/>
        <v>06/2005</v>
      </c>
      <c r="C547" s="10">
        <v>4.2847</v>
      </c>
    </row>
    <row r="548" spans="1:3" x14ac:dyDescent="0.35">
      <c r="A548" s="9">
        <v>38534</v>
      </c>
      <c r="B548" s="9" t="str">
        <f t="shared" si="8"/>
        <v>07/2005</v>
      </c>
      <c r="C548" s="10">
        <v>4.3010999999999999</v>
      </c>
    </row>
    <row r="549" spans="1:3" x14ac:dyDescent="0.35">
      <c r="A549" s="9">
        <v>38565</v>
      </c>
      <c r="B549" s="9" t="str">
        <f t="shared" si="8"/>
        <v>08/2005</v>
      </c>
      <c r="C549" s="10">
        <v>4.3249000000000004</v>
      </c>
    </row>
    <row r="550" spans="1:3" x14ac:dyDescent="0.35">
      <c r="A550" s="9">
        <v>38596</v>
      </c>
      <c r="B550" s="9" t="str">
        <f t="shared" si="8"/>
        <v>09/2005</v>
      </c>
      <c r="C550" s="10">
        <v>4.2108999999999996</v>
      </c>
    </row>
    <row r="551" spans="1:3" x14ac:dyDescent="0.35">
      <c r="A551" s="9">
        <v>38626</v>
      </c>
      <c r="B551" s="9" t="str">
        <f t="shared" si="8"/>
        <v>10/2005</v>
      </c>
      <c r="C551" s="10">
        <v>4.3482000000000003</v>
      </c>
    </row>
    <row r="552" spans="1:3" x14ac:dyDescent="0.35">
      <c r="A552" s="9">
        <v>38657</v>
      </c>
      <c r="B552" s="9" t="str">
        <f t="shared" si="8"/>
        <v>11/2005</v>
      </c>
      <c r="C552" s="10">
        <v>4.3129</v>
      </c>
    </row>
    <row r="553" spans="1:3" x14ac:dyDescent="0.35">
      <c r="A553" s="9">
        <v>38687</v>
      </c>
      <c r="B553" s="9" t="str">
        <f t="shared" si="8"/>
        <v>12/2005</v>
      </c>
      <c r="C553" s="10">
        <v>4.2186000000000003</v>
      </c>
    </row>
    <row r="554" spans="1:3" x14ac:dyDescent="0.35">
      <c r="A554" s="9">
        <v>38718</v>
      </c>
      <c r="B554" s="9" t="str">
        <f t="shared" si="8"/>
        <v>01/2006</v>
      </c>
      <c r="C554" s="10">
        <v>4.0751999999999997</v>
      </c>
    </row>
    <row r="555" spans="1:3" x14ac:dyDescent="0.35">
      <c r="A555" s="9">
        <v>38749</v>
      </c>
      <c r="B555" s="9" t="str">
        <f t="shared" si="8"/>
        <v>02/2006</v>
      </c>
      <c r="C555" s="10">
        <v>4.1543000000000001</v>
      </c>
    </row>
    <row r="556" spans="1:3" x14ac:dyDescent="0.35">
      <c r="A556" s="9">
        <v>38777</v>
      </c>
      <c r="B556" s="9" t="str">
        <f t="shared" si="8"/>
        <v>03/2006</v>
      </c>
      <c r="C556" s="10">
        <v>4.3177000000000003</v>
      </c>
    </row>
    <row r="557" spans="1:3" x14ac:dyDescent="0.35">
      <c r="A557" s="9">
        <v>38808</v>
      </c>
      <c r="B557" s="9" t="str">
        <f t="shared" si="8"/>
        <v>04/2006</v>
      </c>
      <c r="C557" s="10">
        <v>4.5176999999999996</v>
      </c>
    </row>
    <row r="558" spans="1:3" x14ac:dyDescent="0.35">
      <c r="A558" s="9">
        <v>38838</v>
      </c>
      <c r="B558" s="9" t="str">
        <f t="shared" si="8"/>
        <v>05/2006</v>
      </c>
      <c r="C558" s="10">
        <v>4.6487999999999996</v>
      </c>
    </row>
    <row r="559" spans="1:3" x14ac:dyDescent="0.35">
      <c r="A559" s="9">
        <v>38869</v>
      </c>
      <c r="B559" s="9" t="str">
        <f t="shared" si="8"/>
        <v>06/2006</v>
      </c>
      <c r="C559" s="10">
        <v>4.6645000000000003</v>
      </c>
    </row>
    <row r="560" spans="1:3" x14ac:dyDescent="0.35">
      <c r="A560" s="9">
        <v>38899</v>
      </c>
      <c r="B560" s="9" t="str">
        <f t="shared" si="8"/>
        <v>07/2006</v>
      </c>
      <c r="C560" s="10">
        <v>4.6559999999999997</v>
      </c>
    </row>
    <row r="561" spans="1:3" x14ac:dyDescent="0.35">
      <c r="A561" s="9">
        <v>38930</v>
      </c>
      <c r="B561" s="9" t="str">
        <f t="shared" si="8"/>
        <v>08/2006</v>
      </c>
      <c r="C561" s="10">
        <v>4.6535000000000002</v>
      </c>
    </row>
    <row r="562" spans="1:3" x14ac:dyDescent="0.35">
      <c r="A562" s="9">
        <v>38961</v>
      </c>
      <c r="B562" s="9" t="str">
        <f t="shared" si="8"/>
        <v>09/2006</v>
      </c>
      <c r="C562" s="10">
        <v>4.5522</v>
      </c>
    </row>
    <row r="563" spans="1:3" x14ac:dyDescent="0.35">
      <c r="A563" s="9">
        <v>38991</v>
      </c>
      <c r="B563" s="9" t="str">
        <f t="shared" si="8"/>
        <v>10/2006</v>
      </c>
      <c r="C563" s="10">
        <v>4.6154999999999999</v>
      </c>
    </row>
    <row r="564" spans="1:3" x14ac:dyDescent="0.35">
      <c r="A564" s="9">
        <v>39022</v>
      </c>
      <c r="B564" s="9" t="str">
        <f t="shared" si="8"/>
        <v>11/2006</v>
      </c>
      <c r="C564" s="10">
        <v>4.5452000000000004</v>
      </c>
    </row>
    <row r="565" spans="1:3" x14ac:dyDescent="0.35">
      <c r="A565" s="9">
        <v>39052</v>
      </c>
      <c r="B565" s="9" t="str">
        <f t="shared" si="8"/>
        <v>12/2006</v>
      </c>
      <c r="C565" s="10">
        <v>4.6195000000000004</v>
      </c>
    </row>
    <row r="566" spans="1:3" x14ac:dyDescent="0.35">
      <c r="A566" s="9">
        <v>39083</v>
      </c>
      <c r="B566" s="9" t="str">
        <f t="shared" si="8"/>
        <v>01/2007</v>
      </c>
      <c r="C566" s="10">
        <v>4.8693999999999997</v>
      </c>
    </row>
    <row r="567" spans="1:3" x14ac:dyDescent="0.35">
      <c r="A567" s="9">
        <v>39114</v>
      </c>
      <c r="B567" s="9" t="str">
        <f t="shared" si="8"/>
        <v>02/2007</v>
      </c>
      <c r="C567" s="10">
        <v>4.8959999999999999</v>
      </c>
    </row>
    <row r="568" spans="1:3" x14ac:dyDescent="0.35">
      <c r="A568" s="9">
        <v>39142</v>
      </c>
      <c r="B568" s="9" t="str">
        <f t="shared" si="8"/>
        <v>03/2007</v>
      </c>
      <c r="C568" s="10">
        <v>4.8193999999999999</v>
      </c>
    </row>
    <row r="569" spans="1:3" x14ac:dyDescent="0.35">
      <c r="A569" s="9">
        <v>39173</v>
      </c>
      <c r="B569" s="9" t="str">
        <f t="shared" si="8"/>
        <v>04/2007</v>
      </c>
      <c r="C569" s="10">
        <v>5.0438999999999998</v>
      </c>
    </row>
    <row r="570" spans="1:3" x14ac:dyDescent="0.35">
      <c r="A570" s="9">
        <v>39203</v>
      </c>
      <c r="B570" s="9" t="str">
        <f t="shared" si="8"/>
        <v>05/2007</v>
      </c>
      <c r="C570" s="10">
        <v>5.1458000000000004</v>
      </c>
    </row>
    <row r="571" spans="1:3" x14ac:dyDescent="0.35">
      <c r="A571" s="9">
        <v>39234</v>
      </c>
      <c r="B571" s="9" t="str">
        <f t="shared" si="8"/>
        <v>06/2007</v>
      </c>
      <c r="C571" s="10">
        <v>5.4321000000000002</v>
      </c>
    </row>
    <row r="572" spans="1:3" x14ac:dyDescent="0.35">
      <c r="A572" s="9">
        <v>39264</v>
      </c>
      <c r="B572" s="9" t="str">
        <f t="shared" si="8"/>
        <v>07/2007</v>
      </c>
      <c r="C572" s="10">
        <v>5.4084000000000003</v>
      </c>
    </row>
    <row r="573" spans="1:3" x14ac:dyDescent="0.35">
      <c r="A573" s="9">
        <v>39295</v>
      </c>
      <c r="B573" s="9" t="str">
        <f t="shared" si="8"/>
        <v>08/2007</v>
      </c>
      <c r="C573" s="10">
        <v>5.1498999999999997</v>
      </c>
    </row>
    <row r="574" spans="1:3" x14ac:dyDescent="0.35">
      <c r="A574" s="9">
        <v>39326</v>
      </c>
      <c r="B574" s="9" t="str">
        <f t="shared" si="8"/>
        <v>09/2007</v>
      </c>
      <c r="C574" s="10">
        <v>4.9927999999999999</v>
      </c>
    </row>
    <row r="575" spans="1:3" x14ac:dyDescent="0.35">
      <c r="A575" s="9">
        <v>39356</v>
      </c>
      <c r="B575" s="9" t="str">
        <f t="shared" si="8"/>
        <v>10/2007</v>
      </c>
      <c r="C575" s="10">
        <v>4.9576000000000002</v>
      </c>
    </row>
    <row r="576" spans="1:3" x14ac:dyDescent="0.35">
      <c r="A576" s="9">
        <v>39387</v>
      </c>
      <c r="B576" s="9" t="str">
        <f t="shared" si="8"/>
        <v>11/2007</v>
      </c>
      <c r="C576" s="10">
        <v>4.7263000000000002</v>
      </c>
    </row>
    <row r="577" spans="1:3" x14ac:dyDescent="0.35">
      <c r="A577" s="9">
        <v>39417</v>
      </c>
      <c r="B577" s="9" t="str">
        <f t="shared" si="8"/>
        <v>12/2007</v>
      </c>
      <c r="C577" s="10">
        <v>4.6936999999999998</v>
      </c>
    </row>
    <row r="578" spans="1:3" x14ac:dyDescent="0.35">
      <c r="A578" s="9">
        <v>39448</v>
      </c>
      <c r="B578" s="9" t="str">
        <f t="shared" si="8"/>
        <v>01/2008</v>
      </c>
      <c r="C578" s="10">
        <v>4.4924999999999997</v>
      </c>
    </row>
    <row r="579" spans="1:3" x14ac:dyDescent="0.35">
      <c r="A579" s="9">
        <v>39479</v>
      </c>
      <c r="B579" s="9" t="str">
        <f t="shared" ref="B579:B642" si="9">TEXT(A579,"mm/YYYY")</f>
        <v>02/2008</v>
      </c>
      <c r="C579" s="10">
        <v>4.6234000000000002</v>
      </c>
    </row>
    <row r="580" spans="1:3" x14ac:dyDescent="0.35">
      <c r="A580" s="9">
        <v>39508</v>
      </c>
      <c r="B580" s="9" t="str">
        <f t="shared" si="9"/>
        <v>03/2008</v>
      </c>
      <c r="C580" s="10">
        <v>4.4450000000000003</v>
      </c>
    </row>
    <row r="581" spans="1:3" x14ac:dyDescent="0.35">
      <c r="A581" s="9">
        <v>39539</v>
      </c>
      <c r="B581" s="9" t="str">
        <f t="shared" si="9"/>
        <v>04/2008</v>
      </c>
      <c r="C581" s="10">
        <v>4.6432000000000002</v>
      </c>
    </row>
    <row r="582" spans="1:3" x14ac:dyDescent="0.35">
      <c r="A582" s="9">
        <v>39569</v>
      </c>
      <c r="B582" s="9" t="str">
        <f t="shared" si="9"/>
        <v>05/2008</v>
      </c>
      <c r="C582" s="10">
        <v>4.8682999999999996</v>
      </c>
    </row>
    <row r="583" spans="1:3" x14ac:dyDescent="0.35">
      <c r="A583" s="9">
        <v>39600</v>
      </c>
      <c r="B583" s="9" t="str">
        <f t="shared" si="9"/>
        <v>06/2008</v>
      </c>
      <c r="C583" s="10">
        <v>5.2103000000000002</v>
      </c>
    </row>
    <row r="584" spans="1:3" x14ac:dyDescent="0.35">
      <c r="A584" s="9">
        <v>39630</v>
      </c>
      <c r="B584" s="9" t="str">
        <f t="shared" si="9"/>
        <v>07/2008</v>
      </c>
      <c r="C584" s="10">
        <v>5.0494000000000003</v>
      </c>
    </row>
    <row r="585" spans="1:3" x14ac:dyDescent="0.35">
      <c r="A585" s="9">
        <v>39661</v>
      </c>
      <c r="B585" s="9" t="str">
        <f t="shared" si="9"/>
        <v>08/2008</v>
      </c>
      <c r="C585" s="10">
        <v>4.7267000000000001</v>
      </c>
    </row>
    <row r="586" spans="1:3" x14ac:dyDescent="0.35">
      <c r="A586" s="9">
        <v>39692</v>
      </c>
      <c r="B586" s="9" t="str">
        <f t="shared" si="9"/>
        <v>09/2008</v>
      </c>
      <c r="C586" s="10">
        <v>4.5701000000000001</v>
      </c>
    </row>
    <row r="587" spans="1:3" x14ac:dyDescent="0.35">
      <c r="A587" s="9">
        <v>39722</v>
      </c>
      <c r="B587" s="9" t="str">
        <f t="shared" si="9"/>
        <v>10/2008</v>
      </c>
      <c r="C587" s="10">
        <v>4.5789</v>
      </c>
    </row>
    <row r="588" spans="1:3" x14ac:dyDescent="0.35">
      <c r="A588" s="9">
        <v>39753</v>
      </c>
      <c r="B588" s="9" t="str">
        <f t="shared" si="9"/>
        <v>11/2008</v>
      </c>
      <c r="C588" s="10">
        <v>4.2571000000000003</v>
      </c>
    </row>
    <row r="589" spans="1:3" x14ac:dyDescent="0.35">
      <c r="A589" s="9">
        <v>39783</v>
      </c>
      <c r="B589" s="9" t="str">
        <f t="shared" si="9"/>
        <v>12/2008</v>
      </c>
      <c r="C589" s="10">
        <v>3.6238000000000001</v>
      </c>
    </row>
    <row r="590" spans="1:3" x14ac:dyDescent="0.35">
      <c r="A590" s="9">
        <v>39814</v>
      </c>
      <c r="B590" s="9" t="str">
        <f t="shared" si="9"/>
        <v>01/2009</v>
      </c>
      <c r="C590" s="10">
        <v>3.6699000000000002</v>
      </c>
    </row>
    <row r="591" spans="1:3" x14ac:dyDescent="0.35">
      <c r="A591" s="9">
        <v>39845</v>
      </c>
      <c r="B591" s="9" t="str">
        <f t="shared" si="9"/>
        <v>02/2009</v>
      </c>
      <c r="C591" s="10">
        <v>3.6899000000000002</v>
      </c>
    </row>
    <row r="592" spans="1:3" x14ac:dyDescent="0.35">
      <c r="A592" s="9">
        <v>39873</v>
      </c>
      <c r="B592" s="9" t="str">
        <f t="shared" si="9"/>
        <v>03/2009</v>
      </c>
      <c r="C592" s="10">
        <v>3.2496999999999998</v>
      </c>
    </row>
    <row r="593" spans="1:3" x14ac:dyDescent="0.35">
      <c r="A593" s="9">
        <v>39904</v>
      </c>
      <c r="B593" s="9" t="str">
        <f t="shared" si="9"/>
        <v>04/2009</v>
      </c>
      <c r="C593" s="10">
        <v>3.4072</v>
      </c>
    </row>
    <row r="594" spans="1:3" x14ac:dyDescent="0.35">
      <c r="A594" s="9">
        <v>39934</v>
      </c>
      <c r="B594" s="9" t="str">
        <f t="shared" si="9"/>
        <v>05/2009</v>
      </c>
      <c r="C594" s="10">
        <v>3.6206</v>
      </c>
    </row>
    <row r="595" spans="1:3" x14ac:dyDescent="0.35">
      <c r="A595" s="9">
        <v>39965</v>
      </c>
      <c r="B595" s="9" t="str">
        <f t="shared" si="9"/>
        <v>06/2009</v>
      </c>
      <c r="C595" s="10">
        <v>3.7221000000000002</v>
      </c>
    </row>
    <row r="596" spans="1:3" x14ac:dyDescent="0.35">
      <c r="A596" s="9">
        <v>39995</v>
      </c>
      <c r="B596" s="9" t="str">
        <f t="shared" si="9"/>
        <v>07/2009</v>
      </c>
      <c r="C596" s="10">
        <v>3.8237999999999999</v>
      </c>
    </row>
    <row r="597" spans="1:3" x14ac:dyDescent="0.35">
      <c r="A597" s="9">
        <v>40026</v>
      </c>
      <c r="B597" s="9" t="str">
        <f t="shared" si="9"/>
        <v>08/2009</v>
      </c>
      <c r="C597" s="10">
        <v>3.7141999999999999</v>
      </c>
    </row>
    <row r="598" spans="1:3" x14ac:dyDescent="0.35">
      <c r="A598" s="9">
        <v>40057</v>
      </c>
      <c r="B598" s="9" t="str">
        <f t="shared" si="9"/>
        <v>09/2009</v>
      </c>
      <c r="C598" s="10">
        <v>3.6566000000000001</v>
      </c>
    </row>
    <row r="599" spans="1:3" x14ac:dyDescent="0.35">
      <c r="A599" s="9">
        <v>40087</v>
      </c>
      <c r="B599" s="9" t="str">
        <f t="shared" si="9"/>
        <v>10/2009</v>
      </c>
      <c r="C599" s="10">
        <v>3.5699000000000001</v>
      </c>
    </row>
    <row r="600" spans="1:3" x14ac:dyDescent="0.35">
      <c r="A600" s="9">
        <v>40118</v>
      </c>
      <c r="B600" s="9" t="str">
        <f t="shared" si="9"/>
        <v>11/2009</v>
      </c>
      <c r="C600" s="10">
        <v>3.7591999999999999</v>
      </c>
    </row>
    <row r="601" spans="1:3" x14ac:dyDescent="0.35">
      <c r="A601" s="9">
        <v>40148</v>
      </c>
      <c r="B601" s="9" t="str">
        <f t="shared" si="9"/>
        <v>12/2009</v>
      </c>
      <c r="C601" s="10">
        <v>3.8871000000000002</v>
      </c>
    </row>
    <row r="602" spans="1:3" x14ac:dyDescent="0.35">
      <c r="A602" s="9">
        <v>40179</v>
      </c>
      <c r="B602" s="9" t="str">
        <f t="shared" si="9"/>
        <v>01/2010</v>
      </c>
      <c r="C602" s="10">
        <v>4.0025000000000004</v>
      </c>
    </row>
    <row r="603" spans="1:3" x14ac:dyDescent="0.35">
      <c r="A603" s="9">
        <v>40210</v>
      </c>
      <c r="B603" s="9" t="str">
        <f t="shared" si="9"/>
        <v>02/2010</v>
      </c>
      <c r="C603" s="10">
        <v>4.0624000000000002</v>
      </c>
    </row>
    <row r="604" spans="1:3" x14ac:dyDescent="0.35">
      <c r="A604" s="9">
        <v>40238</v>
      </c>
      <c r="B604" s="9" t="str">
        <f t="shared" si="9"/>
        <v>03/2010</v>
      </c>
      <c r="C604" s="10">
        <v>4.0914999999999999</v>
      </c>
    </row>
    <row r="605" spans="1:3" x14ac:dyDescent="0.35">
      <c r="A605" s="9">
        <v>40269</v>
      </c>
      <c r="B605" s="9" t="str">
        <f t="shared" si="9"/>
        <v>04/2010</v>
      </c>
      <c r="C605" s="10">
        <v>4.1006999999999998</v>
      </c>
    </row>
    <row r="606" spans="1:3" x14ac:dyDescent="0.35">
      <c r="A606" s="9">
        <v>40299</v>
      </c>
      <c r="B606" s="9" t="str">
        <f t="shared" si="9"/>
        <v>05/2010</v>
      </c>
      <c r="C606" s="10">
        <v>3.7772000000000001</v>
      </c>
    </row>
    <row r="607" spans="1:3" x14ac:dyDescent="0.35">
      <c r="A607" s="9">
        <v>40330</v>
      </c>
      <c r="B607" s="9" t="str">
        <f t="shared" si="9"/>
        <v>06/2010</v>
      </c>
      <c r="C607" s="10">
        <v>3.6006999999999998</v>
      </c>
    </row>
    <row r="608" spans="1:3" x14ac:dyDescent="0.35">
      <c r="A608" s="9">
        <v>40360</v>
      </c>
      <c r="B608" s="9" t="str">
        <f t="shared" si="9"/>
        <v>07/2010</v>
      </c>
      <c r="C608" s="10">
        <v>3.5087000000000002</v>
      </c>
    </row>
    <row r="609" spans="1:3" x14ac:dyDescent="0.35">
      <c r="A609" s="9">
        <v>40391</v>
      </c>
      <c r="B609" s="9" t="str">
        <f t="shared" si="9"/>
        <v>08/2010</v>
      </c>
      <c r="C609" s="10">
        <v>3.2330000000000001</v>
      </c>
    </row>
    <row r="610" spans="1:3" x14ac:dyDescent="0.35">
      <c r="A610" s="9">
        <v>40422</v>
      </c>
      <c r="B610" s="9" t="str">
        <f t="shared" si="9"/>
        <v>09/2010</v>
      </c>
      <c r="C610" s="10">
        <v>3.1271</v>
      </c>
    </row>
    <row r="611" spans="1:3" x14ac:dyDescent="0.35">
      <c r="A611" s="9">
        <v>40452</v>
      </c>
      <c r="B611" s="9" t="str">
        <f t="shared" si="9"/>
        <v>10/2010</v>
      </c>
      <c r="C611" s="10">
        <v>3.0684999999999998</v>
      </c>
    </row>
    <row r="612" spans="1:3" x14ac:dyDescent="0.35">
      <c r="A612" s="9">
        <v>40483</v>
      </c>
      <c r="B612" s="9" t="str">
        <f t="shared" si="9"/>
        <v>11/2010</v>
      </c>
      <c r="C612" s="10">
        <v>3.3109999999999999</v>
      </c>
    </row>
    <row r="613" spans="1:3" x14ac:dyDescent="0.35">
      <c r="A613" s="9">
        <v>40513</v>
      </c>
      <c r="B613" s="9" t="str">
        <f t="shared" si="9"/>
        <v>12/2010</v>
      </c>
      <c r="C613" s="10">
        <v>3.6097999999999999</v>
      </c>
    </row>
    <row r="614" spans="1:3" x14ac:dyDescent="0.35">
      <c r="A614" s="9">
        <v>40544</v>
      </c>
      <c r="B614" s="9" t="str">
        <f t="shared" si="9"/>
        <v>01/2011</v>
      </c>
      <c r="C614" s="10">
        <v>3.7273000000000001</v>
      </c>
    </row>
    <row r="615" spans="1:3" x14ac:dyDescent="0.35">
      <c r="A615" s="9">
        <v>40575</v>
      </c>
      <c r="B615" s="9" t="str">
        <f t="shared" si="9"/>
        <v>02/2011</v>
      </c>
      <c r="C615" s="10">
        <v>3.8799000000000001</v>
      </c>
    </row>
    <row r="616" spans="1:3" x14ac:dyDescent="0.35">
      <c r="A616" s="9">
        <v>40603</v>
      </c>
      <c r="B616" s="9" t="str">
        <f t="shared" si="9"/>
        <v>03/2011</v>
      </c>
      <c r="C616" s="10">
        <v>3.7385999999999999</v>
      </c>
    </row>
    <row r="617" spans="1:3" x14ac:dyDescent="0.35">
      <c r="A617" s="9">
        <v>40634</v>
      </c>
      <c r="B617" s="9" t="str">
        <f t="shared" si="9"/>
        <v>04/2011</v>
      </c>
      <c r="C617" s="10">
        <v>3.7618999999999998</v>
      </c>
    </row>
    <row r="618" spans="1:3" x14ac:dyDescent="0.35">
      <c r="A618" s="9">
        <v>40664</v>
      </c>
      <c r="B618" s="9" t="str">
        <f t="shared" si="9"/>
        <v>05/2011</v>
      </c>
      <c r="C618" s="10">
        <v>3.5053000000000001</v>
      </c>
    </row>
    <row r="619" spans="1:3" x14ac:dyDescent="0.35">
      <c r="A619" s="9">
        <v>40695</v>
      </c>
      <c r="B619" s="9" t="str">
        <f t="shared" si="9"/>
        <v>06/2011</v>
      </c>
      <c r="C619" s="10">
        <v>3.4144000000000001</v>
      </c>
    </row>
    <row r="620" spans="1:3" x14ac:dyDescent="0.35">
      <c r="A620" s="9">
        <v>40725</v>
      </c>
      <c r="B620" s="9" t="str">
        <f t="shared" si="9"/>
        <v>07/2011</v>
      </c>
      <c r="C620" s="10">
        <v>3.3136999999999999</v>
      </c>
    </row>
    <row r="621" spans="1:3" x14ac:dyDescent="0.35">
      <c r="A621" s="9">
        <v>40756</v>
      </c>
      <c r="B621" s="9" t="str">
        <f t="shared" si="9"/>
        <v>08/2011</v>
      </c>
      <c r="C621" s="10">
        <v>2.7833000000000001</v>
      </c>
    </row>
    <row r="622" spans="1:3" x14ac:dyDescent="0.35">
      <c r="A622" s="9">
        <v>40787</v>
      </c>
      <c r="B622" s="9" t="str">
        <f t="shared" si="9"/>
        <v>09/2011</v>
      </c>
      <c r="C622" s="10">
        <v>2.504</v>
      </c>
    </row>
    <row r="623" spans="1:3" x14ac:dyDescent="0.35">
      <c r="A623" s="9">
        <v>40817</v>
      </c>
      <c r="B623" s="9" t="str">
        <f t="shared" si="9"/>
        <v>10/2011</v>
      </c>
      <c r="C623" s="10">
        <v>2.5289999999999999</v>
      </c>
    </row>
    <row r="624" spans="1:3" x14ac:dyDescent="0.35">
      <c r="A624" s="9">
        <v>40848</v>
      </c>
      <c r="B624" s="9" t="str">
        <f t="shared" si="9"/>
        <v>11/2011</v>
      </c>
      <c r="C624" s="10">
        <v>2.2917000000000001</v>
      </c>
    </row>
    <row r="625" spans="1:3" x14ac:dyDescent="0.35">
      <c r="A625" s="9">
        <v>40878</v>
      </c>
      <c r="B625" s="9" t="str">
        <f t="shared" si="9"/>
        <v>12/2011</v>
      </c>
      <c r="C625" s="10">
        <v>2.1827999999999999</v>
      </c>
    </row>
    <row r="626" spans="1:3" x14ac:dyDescent="0.35">
      <c r="A626" s="9">
        <v>40909</v>
      </c>
      <c r="B626" s="9" t="str">
        <f t="shared" si="9"/>
        <v>01/2012</v>
      </c>
      <c r="C626" s="10">
        <v>2.1103999999999998</v>
      </c>
    </row>
    <row r="627" spans="1:3" x14ac:dyDescent="0.35">
      <c r="A627" s="9">
        <v>40940</v>
      </c>
      <c r="B627" s="9" t="str">
        <f t="shared" si="9"/>
        <v>02/2012</v>
      </c>
      <c r="C627" s="10">
        <v>2.2191000000000001</v>
      </c>
    </row>
    <row r="628" spans="1:3" x14ac:dyDescent="0.35">
      <c r="A628" s="9">
        <v>40969</v>
      </c>
      <c r="B628" s="9" t="str">
        <f t="shared" si="9"/>
        <v>03/2012</v>
      </c>
      <c r="C628" s="10">
        <v>2.323</v>
      </c>
    </row>
    <row r="629" spans="1:3" x14ac:dyDescent="0.35">
      <c r="A629" s="9">
        <v>41000</v>
      </c>
      <c r="B629" s="9" t="str">
        <f t="shared" si="9"/>
        <v>04/2012</v>
      </c>
      <c r="C629" s="10">
        <v>2.2117</v>
      </c>
    </row>
    <row r="630" spans="1:3" x14ac:dyDescent="0.35">
      <c r="A630" s="9">
        <v>41030</v>
      </c>
      <c r="B630" s="9" t="str">
        <f t="shared" si="9"/>
        <v>05/2012</v>
      </c>
      <c r="C630" s="10">
        <v>1.9416</v>
      </c>
    </row>
    <row r="631" spans="1:3" x14ac:dyDescent="0.35">
      <c r="A631" s="9">
        <v>41061</v>
      </c>
      <c r="B631" s="9" t="str">
        <f t="shared" si="9"/>
        <v>06/2012</v>
      </c>
      <c r="C631" s="10">
        <v>1.7698</v>
      </c>
    </row>
    <row r="632" spans="1:3" x14ac:dyDescent="0.35">
      <c r="A632" s="9">
        <v>41091</v>
      </c>
      <c r="B632" s="9" t="str">
        <f t="shared" si="9"/>
        <v>07/2012</v>
      </c>
      <c r="C632" s="10">
        <v>1.6523000000000001</v>
      </c>
    </row>
    <row r="633" spans="1:3" x14ac:dyDescent="0.35">
      <c r="A633" s="9">
        <v>41122</v>
      </c>
      <c r="B633" s="9" t="str">
        <f t="shared" si="9"/>
        <v>08/2012</v>
      </c>
      <c r="C633" s="10">
        <v>1.6735</v>
      </c>
    </row>
    <row r="634" spans="1:3" x14ac:dyDescent="0.35">
      <c r="A634" s="9">
        <v>41153</v>
      </c>
      <c r="B634" s="9" t="str">
        <f t="shared" si="9"/>
        <v>09/2012</v>
      </c>
      <c r="C634" s="10">
        <v>1.7222</v>
      </c>
    </row>
    <row r="635" spans="1:3" x14ac:dyDescent="0.35">
      <c r="A635" s="9">
        <v>41183</v>
      </c>
      <c r="B635" s="9" t="str">
        <f t="shared" si="9"/>
        <v>10/2012</v>
      </c>
      <c r="C635" s="10">
        <v>1.7721</v>
      </c>
    </row>
    <row r="636" spans="1:3" x14ac:dyDescent="0.35">
      <c r="A636" s="9">
        <v>41214</v>
      </c>
      <c r="B636" s="9" t="str">
        <f t="shared" si="9"/>
        <v>11/2012</v>
      </c>
      <c r="C636" s="10">
        <v>1.7741</v>
      </c>
    </row>
    <row r="637" spans="1:3" x14ac:dyDescent="0.35">
      <c r="A637" s="9">
        <v>41244</v>
      </c>
      <c r="B637" s="9" t="str">
        <f t="shared" si="9"/>
        <v>12/2012</v>
      </c>
      <c r="C637" s="10">
        <v>1.8467</v>
      </c>
    </row>
    <row r="638" spans="1:3" x14ac:dyDescent="0.35">
      <c r="A638" s="9">
        <v>41275</v>
      </c>
      <c r="B638" s="9" t="str">
        <f t="shared" si="9"/>
        <v>01/2013</v>
      </c>
      <c r="C638" s="10">
        <v>2.0794999999999999</v>
      </c>
    </row>
    <row r="639" spans="1:3" x14ac:dyDescent="0.35">
      <c r="A639" s="9">
        <v>41306</v>
      </c>
      <c r="B639" s="9" t="str">
        <f t="shared" si="9"/>
        <v>02/2013</v>
      </c>
      <c r="C639" s="10">
        <v>2.1781000000000001</v>
      </c>
    </row>
    <row r="640" spans="1:3" x14ac:dyDescent="0.35">
      <c r="A640" s="9">
        <v>41334</v>
      </c>
      <c r="B640" s="9" t="str">
        <f t="shared" si="9"/>
        <v>03/2013</v>
      </c>
      <c r="C640" s="10">
        <v>1.9767999999999999</v>
      </c>
    </row>
    <row r="641" spans="1:3" x14ac:dyDescent="0.35">
      <c r="A641" s="9">
        <v>41365</v>
      </c>
      <c r="B641" s="9" t="str">
        <f t="shared" si="9"/>
        <v>04/2013</v>
      </c>
      <c r="C641" s="10">
        <v>1.7824</v>
      </c>
    </row>
    <row r="642" spans="1:3" x14ac:dyDescent="0.35">
      <c r="A642" s="9">
        <v>41395</v>
      </c>
      <c r="B642" s="9" t="str">
        <f t="shared" si="9"/>
        <v>05/2013</v>
      </c>
      <c r="C642" s="10">
        <v>1.9461999999999999</v>
      </c>
    </row>
    <row r="643" spans="1:3" x14ac:dyDescent="0.35">
      <c r="A643" s="9">
        <v>41426</v>
      </c>
      <c r="B643" s="9" t="str">
        <f t="shared" ref="B643:B706" si="10">TEXT(A643,"mm/YYYY")</f>
        <v>06/2013</v>
      </c>
      <c r="C643" s="10">
        <v>2.3062999999999998</v>
      </c>
    </row>
    <row r="644" spans="1:3" x14ac:dyDescent="0.35">
      <c r="A644" s="9">
        <v>41456</v>
      </c>
      <c r="B644" s="9" t="str">
        <f t="shared" si="10"/>
        <v>07/2013</v>
      </c>
      <c r="C644" s="10">
        <v>2.4710000000000001</v>
      </c>
    </row>
    <row r="645" spans="1:3" x14ac:dyDescent="0.35">
      <c r="A645" s="9">
        <v>41487</v>
      </c>
      <c r="B645" s="9" t="str">
        <f t="shared" si="10"/>
        <v>08/2013</v>
      </c>
      <c r="C645" s="10">
        <v>2.7088000000000001</v>
      </c>
    </row>
    <row r="646" spans="1:3" x14ac:dyDescent="0.35">
      <c r="A646" s="9">
        <v>41518</v>
      </c>
      <c r="B646" s="9" t="str">
        <f t="shared" si="10"/>
        <v>09/2013</v>
      </c>
      <c r="C646" s="10">
        <v>2.8443000000000001</v>
      </c>
    </row>
    <row r="647" spans="1:3" x14ac:dyDescent="0.35">
      <c r="A647" s="9">
        <v>41548</v>
      </c>
      <c r="B647" s="9" t="str">
        <f t="shared" si="10"/>
        <v>10/2013</v>
      </c>
      <c r="C647" s="10">
        <v>2.6783999999999999</v>
      </c>
    </row>
    <row r="648" spans="1:3" x14ac:dyDescent="0.35">
      <c r="A648" s="9">
        <v>41579</v>
      </c>
      <c r="B648" s="9" t="str">
        <f t="shared" si="10"/>
        <v>11/2013</v>
      </c>
      <c r="C648" s="10">
        <v>2.7597999999999998</v>
      </c>
    </row>
    <row r="649" spans="1:3" x14ac:dyDescent="0.35">
      <c r="A649" s="9">
        <v>41609</v>
      </c>
      <c r="B649" s="9" t="str">
        <f t="shared" si="10"/>
        <v>12/2013</v>
      </c>
      <c r="C649" s="10">
        <v>2.9458000000000002</v>
      </c>
    </row>
    <row r="650" spans="1:3" x14ac:dyDescent="0.35">
      <c r="A650" s="9">
        <v>41640</v>
      </c>
      <c r="B650" s="9" t="str">
        <f t="shared" si="10"/>
        <v>01/2014</v>
      </c>
      <c r="C650" s="10">
        <v>2.91</v>
      </c>
    </row>
    <row r="651" spans="1:3" x14ac:dyDescent="0.35">
      <c r="A651" s="9">
        <v>41671</v>
      </c>
      <c r="B651" s="9" t="str">
        <f t="shared" si="10"/>
        <v>02/2014</v>
      </c>
      <c r="C651" s="10">
        <v>2.8147000000000002</v>
      </c>
    </row>
    <row r="652" spans="1:3" x14ac:dyDescent="0.35">
      <c r="A652" s="9">
        <v>41699</v>
      </c>
      <c r="B652" s="9" t="str">
        <f t="shared" si="10"/>
        <v>03/2014</v>
      </c>
      <c r="C652" s="10">
        <v>2.7837000000000001</v>
      </c>
    </row>
    <row r="653" spans="1:3" x14ac:dyDescent="0.35">
      <c r="A653" s="9">
        <v>41730</v>
      </c>
      <c r="B653" s="9" t="str">
        <f t="shared" si="10"/>
        <v>04/2014</v>
      </c>
      <c r="C653" s="10">
        <v>2.7416999999999998</v>
      </c>
    </row>
    <row r="654" spans="1:3" x14ac:dyDescent="0.35">
      <c r="A654" s="9">
        <v>41760</v>
      </c>
      <c r="B654" s="9" t="str">
        <f t="shared" si="10"/>
        <v>05/2014</v>
      </c>
      <c r="C654" s="10">
        <v>2.6989000000000001</v>
      </c>
    </row>
    <row r="655" spans="1:3" x14ac:dyDescent="0.35">
      <c r="A655" s="9">
        <v>41791</v>
      </c>
      <c r="B655" s="9" t="str">
        <f t="shared" si="10"/>
        <v>06/2014</v>
      </c>
      <c r="C655" s="10">
        <v>2.7841999999999998</v>
      </c>
    </row>
    <row r="656" spans="1:3" x14ac:dyDescent="0.35">
      <c r="A656" s="9">
        <v>41821</v>
      </c>
      <c r="B656" s="9" t="str">
        <f t="shared" si="10"/>
        <v>07/2014</v>
      </c>
      <c r="C656" s="10">
        <v>2.7343000000000002</v>
      </c>
    </row>
    <row r="657" spans="1:3" x14ac:dyDescent="0.35">
      <c r="A657" s="9">
        <v>41852</v>
      </c>
      <c r="B657" s="9" t="str">
        <f t="shared" si="10"/>
        <v>08/2014</v>
      </c>
      <c r="C657" s="10">
        <v>2.5347</v>
      </c>
    </row>
    <row r="658" spans="1:3" x14ac:dyDescent="0.35">
      <c r="A658" s="9">
        <v>41883</v>
      </c>
      <c r="B658" s="9" t="str">
        <f t="shared" si="10"/>
        <v>09/2014</v>
      </c>
      <c r="C658" s="10">
        <v>2.4918999999999998</v>
      </c>
    </row>
    <row r="659" spans="1:3" x14ac:dyDescent="0.35">
      <c r="A659" s="9">
        <v>41913</v>
      </c>
      <c r="B659" s="9" t="str">
        <f t="shared" si="10"/>
        <v>10/2014</v>
      </c>
      <c r="C659" s="10">
        <v>2.2469000000000001</v>
      </c>
    </row>
    <row r="660" spans="1:3" x14ac:dyDescent="0.35">
      <c r="A660" s="9">
        <v>41944</v>
      </c>
      <c r="B660" s="9" t="str">
        <f t="shared" si="10"/>
        <v>11/2014</v>
      </c>
      <c r="C660" s="10">
        <v>2.1593</v>
      </c>
    </row>
    <row r="661" spans="1:3" x14ac:dyDescent="0.35">
      <c r="A661" s="9">
        <v>41974</v>
      </c>
      <c r="B661" s="9" t="str">
        <f t="shared" si="10"/>
        <v>12/2014</v>
      </c>
      <c r="C661" s="10">
        <v>1.9287000000000001</v>
      </c>
    </row>
    <row r="662" spans="1:3" x14ac:dyDescent="0.35">
      <c r="A662" s="9">
        <v>42005</v>
      </c>
      <c r="B662" s="9" t="str">
        <f t="shared" si="10"/>
        <v>01/2015</v>
      </c>
      <c r="C662" s="10">
        <v>1.589</v>
      </c>
    </row>
    <row r="663" spans="1:3" x14ac:dyDescent="0.35">
      <c r="A663" s="9">
        <v>42036</v>
      </c>
      <c r="B663" s="9" t="str">
        <f t="shared" si="10"/>
        <v>02/2015</v>
      </c>
      <c r="C663" s="10">
        <v>1.7364999999999999</v>
      </c>
    </row>
    <row r="664" spans="1:3" x14ac:dyDescent="0.35">
      <c r="A664" s="9">
        <v>42064</v>
      </c>
      <c r="B664" s="9" t="str">
        <f t="shared" si="10"/>
        <v>03/2015</v>
      </c>
      <c r="C664" s="10">
        <v>1.7941</v>
      </c>
    </row>
    <row r="665" spans="1:3" x14ac:dyDescent="0.35">
      <c r="A665" s="9">
        <v>42095</v>
      </c>
      <c r="B665" s="9" t="str">
        <f t="shared" si="10"/>
        <v>04/2015</v>
      </c>
      <c r="C665" s="10">
        <v>1.7549999999999999</v>
      </c>
    </row>
    <row r="666" spans="1:3" x14ac:dyDescent="0.35">
      <c r="A666" s="9">
        <v>42125</v>
      </c>
      <c r="B666" s="9" t="str">
        <f t="shared" si="10"/>
        <v>05/2015</v>
      </c>
      <c r="C666" s="10">
        <v>2.0243000000000002</v>
      </c>
    </row>
    <row r="667" spans="1:3" x14ac:dyDescent="0.35">
      <c r="A667" s="9">
        <v>42156</v>
      </c>
      <c r="B667" s="9" t="str">
        <f t="shared" si="10"/>
        <v>06/2015</v>
      </c>
      <c r="C667" s="10">
        <v>2.1696</v>
      </c>
    </row>
    <row r="668" spans="1:3" x14ac:dyDescent="0.35">
      <c r="A668" s="9">
        <v>42186</v>
      </c>
      <c r="B668" s="9" t="str">
        <f t="shared" si="10"/>
        <v>07/2015</v>
      </c>
      <c r="C668" s="10">
        <v>2.1353</v>
      </c>
    </row>
    <row r="669" spans="1:3" x14ac:dyDescent="0.35">
      <c r="A669" s="9">
        <v>42217</v>
      </c>
      <c r="B669" s="9" t="str">
        <f t="shared" si="10"/>
        <v>08/2015</v>
      </c>
      <c r="C669" s="10">
        <v>1.9799</v>
      </c>
    </row>
    <row r="670" spans="1:3" x14ac:dyDescent="0.35">
      <c r="A670" s="9">
        <v>42248</v>
      </c>
      <c r="B670" s="9" t="str">
        <f t="shared" si="10"/>
        <v>09/2015</v>
      </c>
      <c r="C670" s="10">
        <v>1.8814</v>
      </c>
    </row>
    <row r="671" spans="1:3" x14ac:dyDescent="0.35">
      <c r="A671" s="9">
        <v>42278</v>
      </c>
      <c r="B671" s="9" t="str">
        <f t="shared" si="10"/>
        <v>10/2015</v>
      </c>
      <c r="C671" s="10">
        <v>1.8460000000000001</v>
      </c>
    </row>
    <row r="672" spans="1:3" x14ac:dyDescent="0.35">
      <c r="A672" s="9">
        <v>42309</v>
      </c>
      <c r="B672" s="9" t="str">
        <f t="shared" si="10"/>
        <v>11/2015</v>
      </c>
      <c r="C672" s="10">
        <v>1.9779</v>
      </c>
    </row>
    <row r="673" spans="1:3" x14ac:dyDescent="0.35">
      <c r="A673" s="9">
        <v>42339</v>
      </c>
      <c r="B673" s="9" t="str">
        <f t="shared" si="10"/>
        <v>12/2015</v>
      </c>
      <c r="C673" s="10">
        <v>1.9234</v>
      </c>
    </row>
    <row r="674" spans="1:3" x14ac:dyDescent="0.35">
      <c r="A674" s="9">
        <v>42370</v>
      </c>
      <c r="B674" s="9" t="str">
        <f t="shared" si="10"/>
        <v>01/2016</v>
      </c>
      <c r="C674" s="10">
        <v>1.7833000000000001</v>
      </c>
    </row>
    <row r="675" spans="1:3" x14ac:dyDescent="0.35">
      <c r="A675" s="9">
        <v>42401</v>
      </c>
      <c r="B675" s="9" t="str">
        <f t="shared" si="10"/>
        <v>02/2016</v>
      </c>
      <c r="C675" s="10">
        <v>1.5032000000000001</v>
      </c>
    </row>
    <row r="676" spans="1:3" x14ac:dyDescent="0.35">
      <c r="A676" s="9">
        <v>42430</v>
      </c>
      <c r="B676" s="9" t="str">
        <f t="shared" si="10"/>
        <v>03/2016</v>
      </c>
      <c r="C676" s="10">
        <v>1.5434000000000001</v>
      </c>
    </row>
    <row r="677" spans="1:3" x14ac:dyDescent="0.35">
      <c r="A677" s="9">
        <v>42461</v>
      </c>
      <c r="B677" s="9" t="str">
        <f t="shared" si="10"/>
        <v>04/2016</v>
      </c>
      <c r="C677" s="10">
        <v>1.5688</v>
      </c>
    </row>
    <row r="678" spans="1:3" x14ac:dyDescent="0.35">
      <c r="A678" s="9">
        <v>42491</v>
      </c>
      <c r="B678" s="9" t="str">
        <f t="shared" si="10"/>
        <v>05/2016</v>
      </c>
      <c r="C678" s="10">
        <v>1.5366</v>
      </c>
    </row>
    <row r="679" spans="1:3" x14ac:dyDescent="0.35">
      <c r="A679" s="9">
        <v>42522</v>
      </c>
      <c r="B679" s="9" t="str">
        <f t="shared" si="10"/>
        <v>06/2016</v>
      </c>
      <c r="C679" s="10">
        <v>1.3105</v>
      </c>
    </row>
    <row r="680" spans="1:3" x14ac:dyDescent="0.35">
      <c r="A680" s="9">
        <v>42552</v>
      </c>
      <c r="B680" s="9" t="str">
        <f t="shared" si="10"/>
        <v>07/2016</v>
      </c>
      <c r="C680" s="10">
        <v>0.95689999999999997</v>
      </c>
    </row>
    <row r="681" spans="1:3" x14ac:dyDescent="0.35">
      <c r="A681" s="9">
        <v>42583</v>
      </c>
      <c r="B681" s="9" t="str">
        <f t="shared" si="10"/>
        <v>08/2016</v>
      </c>
      <c r="C681" s="10">
        <v>0.74209999999999998</v>
      </c>
    </row>
    <row r="682" spans="1:3" x14ac:dyDescent="0.35">
      <c r="A682" s="9">
        <v>42614</v>
      </c>
      <c r="B682" s="9" t="str">
        <f t="shared" si="10"/>
        <v>09/2016</v>
      </c>
      <c r="C682" s="10">
        <v>0.82430000000000003</v>
      </c>
    </row>
    <row r="683" spans="1:3" x14ac:dyDescent="0.35">
      <c r="A683" s="9">
        <v>42644</v>
      </c>
      <c r="B683" s="9" t="str">
        <f t="shared" si="10"/>
        <v>10/2016</v>
      </c>
      <c r="C683" s="10">
        <v>1.0780000000000001</v>
      </c>
    </row>
    <row r="684" spans="1:3" x14ac:dyDescent="0.35">
      <c r="A684" s="9">
        <v>42675</v>
      </c>
      <c r="B684" s="9" t="str">
        <f t="shared" si="10"/>
        <v>11/2016</v>
      </c>
      <c r="C684" s="10">
        <v>1.3817999999999999</v>
      </c>
    </row>
    <row r="685" spans="1:3" x14ac:dyDescent="0.35">
      <c r="A685" s="9">
        <v>42705</v>
      </c>
      <c r="B685" s="9" t="str">
        <f t="shared" si="10"/>
        <v>12/2016</v>
      </c>
      <c r="C685" s="10">
        <v>1.4336</v>
      </c>
    </row>
    <row r="686" spans="1:3" x14ac:dyDescent="0.35">
      <c r="A686" s="9">
        <v>42736</v>
      </c>
      <c r="B686" s="9" t="str">
        <f t="shared" si="10"/>
        <v>01/2017</v>
      </c>
      <c r="C686" s="10">
        <v>1.4202999999999999</v>
      </c>
    </row>
    <row r="687" spans="1:3" x14ac:dyDescent="0.35">
      <c r="A687" s="9">
        <v>42767</v>
      </c>
      <c r="B687" s="9" t="str">
        <f t="shared" si="10"/>
        <v>02/2017</v>
      </c>
      <c r="C687" s="10">
        <v>1.3058000000000001</v>
      </c>
    </row>
    <row r="688" spans="1:3" x14ac:dyDescent="0.35">
      <c r="A688" s="9">
        <v>42795</v>
      </c>
      <c r="B688" s="9" t="str">
        <f t="shared" si="10"/>
        <v>03/2017</v>
      </c>
      <c r="C688" s="10">
        <v>1.194</v>
      </c>
    </row>
    <row r="689" spans="1:3" x14ac:dyDescent="0.35">
      <c r="A689" s="9">
        <v>42826</v>
      </c>
      <c r="B689" s="9" t="str">
        <f t="shared" si="10"/>
        <v>04/2017</v>
      </c>
      <c r="C689" s="10">
        <v>1.0789</v>
      </c>
    </row>
    <row r="690" spans="1:3" x14ac:dyDescent="0.35">
      <c r="A690" s="9">
        <v>42856</v>
      </c>
      <c r="B690" s="9" t="str">
        <f t="shared" si="10"/>
        <v>05/2017</v>
      </c>
      <c r="C690" s="10">
        <v>1.1174999999999999</v>
      </c>
    </row>
    <row r="691" spans="1:3" x14ac:dyDescent="0.35">
      <c r="A691" s="9">
        <v>42887</v>
      </c>
      <c r="B691" s="9" t="str">
        <f t="shared" si="10"/>
        <v>06/2017</v>
      </c>
      <c r="C691" s="10">
        <v>1.0846</v>
      </c>
    </row>
    <row r="692" spans="1:3" x14ac:dyDescent="0.35">
      <c r="A692" s="9">
        <v>42917</v>
      </c>
      <c r="B692" s="9" t="str">
        <f t="shared" si="10"/>
        <v>07/2017</v>
      </c>
      <c r="C692" s="10">
        <v>1.2713000000000001</v>
      </c>
    </row>
    <row r="693" spans="1:3" x14ac:dyDescent="0.35">
      <c r="A693" s="9">
        <v>42948</v>
      </c>
      <c r="B693" s="9" t="str">
        <f t="shared" si="10"/>
        <v>08/2017</v>
      </c>
      <c r="C693" s="10">
        <v>1.1241000000000001</v>
      </c>
    </row>
    <row r="694" spans="1:3" x14ac:dyDescent="0.35">
      <c r="A694" s="9">
        <v>42979</v>
      </c>
      <c r="B694" s="9" t="str">
        <f t="shared" si="10"/>
        <v>09/2017</v>
      </c>
      <c r="C694" s="10">
        <v>1.2436</v>
      </c>
    </row>
    <row r="695" spans="1:3" x14ac:dyDescent="0.35">
      <c r="A695" s="9">
        <v>43009</v>
      </c>
      <c r="B695" s="9" t="str">
        <f t="shared" si="10"/>
        <v>10/2017</v>
      </c>
      <c r="C695" s="10">
        <v>1.3815999999999999</v>
      </c>
    </row>
    <row r="696" spans="1:3" x14ac:dyDescent="0.35">
      <c r="A696" s="9">
        <v>43040</v>
      </c>
      <c r="B696" s="9" t="str">
        <f t="shared" si="10"/>
        <v>11/2017</v>
      </c>
      <c r="C696" s="10">
        <v>1.3299000000000001</v>
      </c>
    </row>
    <row r="697" spans="1:3" x14ac:dyDescent="0.35">
      <c r="A697" s="9">
        <v>43070</v>
      </c>
      <c r="B697" s="9" t="str">
        <f t="shared" si="10"/>
        <v>12/2017</v>
      </c>
      <c r="C697" s="10">
        <v>1.2781</v>
      </c>
    </row>
    <row r="698" spans="1:3" x14ac:dyDescent="0.35">
      <c r="A698" s="9">
        <v>43101</v>
      </c>
      <c r="B698" s="9" t="str">
        <f t="shared" si="10"/>
        <v>01/2018</v>
      </c>
      <c r="C698" s="10">
        <v>1.3931</v>
      </c>
    </row>
    <row r="699" spans="1:3" x14ac:dyDescent="0.35">
      <c r="A699" s="9">
        <v>43132</v>
      </c>
      <c r="B699" s="9" t="str">
        <f t="shared" si="10"/>
        <v>02/2018</v>
      </c>
      <c r="C699" s="10">
        <v>1.6033999999999999</v>
      </c>
    </row>
    <row r="700" spans="1:3" x14ac:dyDescent="0.35">
      <c r="A700" s="9">
        <v>43160</v>
      </c>
      <c r="B700" s="9" t="str">
        <f t="shared" si="10"/>
        <v>03/2018</v>
      </c>
      <c r="C700" s="10">
        <v>1.508</v>
      </c>
    </row>
    <row r="701" spans="1:3" x14ac:dyDescent="0.35">
      <c r="A701" s="9">
        <v>43191</v>
      </c>
      <c r="B701" s="9" t="str">
        <f t="shared" si="10"/>
        <v>04/2018</v>
      </c>
      <c r="C701" s="10">
        <v>1.5107999999999999</v>
      </c>
    </row>
    <row r="702" spans="1:3" x14ac:dyDescent="0.35">
      <c r="A702" s="9">
        <v>43221</v>
      </c>
      <c r="B702" s="9" t="str">
        <f t="shared" si="10"/>
        <v>05/2018</v>
      </c>
      <c r="C702" s="10">
        <v>1.5016</v>
      </c>
    </row>
    <row r="703" spans="1:3" x14ac:dyDescent="0.35">
      <c r="A703" s="9">
        <v>43252</v>
      </c>
      <c r="B703" s="9" t="str">
        <f t="shared" si="10"/>
        <v>06/2018</v>
      </c>
      <c r="C703" s="10">
        <v>1.4229000000000001</v>
      </c>
    </row>
    <row r="704" spans="1:3" x14ac:dyDescent="0.35">
      <c r="A704" s="9">
        <v>43282</v>
      </c>
      <c r="B704" s="9" t="str">
        <f t="shared" si="10"/>
        <v>07/2018</v>
      </c>
      <c r="C704" s="10">
        <v>1.3738999999999999</v>
      </c>
    </row>
    <row r="705" spans="1:3" x14ac:dyDescent="0.35">
      <c r="A705" s="9">
        <v>43313</v>
      </c>
      <c r="B705" s="9" t="str">
        <f t="shared" si="10"/>
        <v>08/2018</v>
      </c>
      <c r="C705" s="10">
        <v>1.3991</v>
      </c>
    </row>
    <row r="706" spans="1:3" x14ac:dyDescent="0.35">
      <c r="A706" s="9">
        <v>43344</v>
      </c>
      <c r="B706" s="9" t="str">
        <f t="shared" si="10"/>
        <v>09/2018</v>
      </c>
      <c r="C706" s="10">
        <v>1.5023</v>
      </c>
    </row>
    <row r="707" spans="1:3" x14ac:dyDescent="0.35">
      <c r="A707" s="9">
        <v>43374</v>
      </c>
      <c r="B707" s="9" t="str">
        <f t="shared" ref="B707:B770" si="11">TEXT(A707,"mm/YYYY")</f>
        <v>10/2018</v>
      </c>
      <c r="C707" s="10">
        <v>1.5462</v>
      </c>
    </row>
    <row r="708" spans="1:3" x14ac:dyDescent="0.35">
      <c r="A708" s="9">
        <v>43405</v>
      </c>
      <c r="B708" s="9" t="str">
        <f t="shared" si="11"/>
        <v>11/2018</v>
      </c>
      <c r="C708" s="10">
        <v>1.4540999999999999</v>
      </c>
    </row>
    <row r="709" spans="1:3" x14ac:dyDescent="0.35">
      <c r="A709" s="9">
        <v>43435</v>
      </c>
      <c r="B709" s="9" t="str">
        <f t="shared" si="11"/>
        <v>12/2018</v>
      </c>
      <c r="C709" s="10">
        <v>1.3125</v>
      </c>
    </row>
    <row r="710" spans="1:3" x14ac:dyDescent="0.35">
      <c r="A710" s="9">
        <v>43466</v>
      </c>
      <c r="B710" s="9" t="str">
        <f t="shared" si="11"/>
        <v>01/2019</v>
      </c>
      <c r="C710" s="10">
        <v>1.3221000000000001</v>
      </c>
    </row>
    <row r="711" spans="1:3" x14ac:dyDescent="0.35">
      <c r="A711" s="9">
        <v>43497</v>
      </c>
      <c r="B711" s="9" t="str">
        <f t="shared" si="11"/>
        <v>02/2019</v>
      </c>
      <c r="C711" s="10">
        <v>1.2390000000000001</v>
      </c>
    </row>
    <row r="712" spans="1:3" x14ac:dyDescent="0.35">
      <c r="A712" s="9">
        <v>43525</v>
      </c>
      <c r="B712" s="9" t="str">
        <f t="shared" si="11"/>
        <v>03/2019</v>
      </c>
      <c r="C712" s="10">
        <v>1.19</v>
      </c>
    </row>
    <row r="713" spans="1:3" x14ac:dyDescent="0.35">
      <c r="A713" s="9">
        <v>43556</v>
      </c>
      <c r="B713" s="9" t="str">
        <f t="shared" si="11"/>
        <v>04/2019</v>
      </c>
      <c r="C713" s="10">
        <v>1.1906000000000001</v>
      </c>
    </row>
    <row r="714" spans="1:3" x14ac:dyDescent="0.35">
      <c r="A714" s="9">
        <v>43586</v>
      </c>
      <c r="B714" s="9" t="str">
        <f t="shared" si="11"/>
        <v>05/2019</v>
      </c>
      <c r="C714" s="10">
        <v>1.1299999999999999</v>
      </c>
    </row>
    <row r="715" spans="1:3" x14ac:dyDescent="0.35">
      <c r="A715" s="9">
        <v>43617</v>
      </c>
      <c r="B715" s="9" t="str">
        <f t="shared" si="11"/>
        <v>06/2019</v>
      </c>
      <c r="C715" s="10">
        <v>0.91900000000000004</v>
      </c>
    </row>
    <row r="716" spans="1:3" x14ac:dyDescent="0.35">
      <c r="A716" s="9">
        <v>43647</v>
      </c>
      <c r="B716" s="9" t="str">
        <f t="shared" si="11"/>
        <v>07/2019</v>
      </c>
      <c r="C716" s="10">
        <v>0.83040000000000003</v>
      </c>
    </row>
    <row r="717" spans="1:3" x14ac:dyDescent="0.35">
      <c r="A717" s="9">
        <v>43678</v>
      </c>
      <c r="B717" s="9" t="str">
        <f t="shared" si="11"/>
        <v>08/2019</v>
      </c>
      <c r="C717" s="10">
        <v>0.5776</v>
      </c>
    </row>
    <row r="718" spans="1:3" x14ac:dyDescent="0.35">
      <c r="A718" s="9">
        <v>43709</v>
      </c>
      <c r="B718" s="9" t="str">
        <f t="shared" si="11"/>
        <v>09/2019</v>
      </c>
      <c r="C718" s="10">
        <v>0.59809999999999997</v>
      </c>
    </row>
    <row r="719" spans="1:3" x14ac:dyDescent="0.35">
      <c r="A719" s="9">
        <v>43739</v>
      </c>
      <c r="B719" s="9" t="str">
        <f t="shared" si="11"/>
        <v>10/2019</v>
      </c>
      <c r="C719" s="10">
        <v>0.63729999999999998</v>
      </c>
    </row>
    <row r="720" spans="1:3" x14ac:dyDescent="0.35">
      <c r="A720" s="9">
        <v>43770</v>
      </c>
      <c r="B720" s="9" t="str">
        <f t="shared" si="11"/>
        <v>11/2019</v>
      </c>
      <c r="C720" s="10">
        <v>0.76500000000000001</v>
      </c>
    </row>
    <row r="721" spans="1:3" x14ac:dyDescent="0.35">
      <c r="A721" s="9">
        <v>43800</v>
      </c>
      <c r="B721" s="9" t="str">
        <f t="shared" si="11"/>
        <v>12/2019</v>
      </c>
      <c r="C721" s="10">
        <v>0.83079999999999998</v>
      </c>
    </row>
    <row r="722" spans="1:3" x14ac:dyDescent="0.35">
      <c r="A722" s="9">
        <v>43831</v>
      </c>
      <c r="B722" s="9" t="str">
        <f t="shared" si="11"/>
        <v>01/2020</v>
      </c>
      <c r="C722" s="10">
        <v>0.72350000000000003</v>
      </c>
    </row>
    <row r="723" spans="1:3" x14ac:dyDescent="0.35">
      <c r="A723" s="9">
        <v>43862</v>
      </c>
      <c r="B723" s="9" t="str">
        <f t="shared" si="11"/>
        <v>02/2020</v>
      </c>
      <c r="C723" s="10">
        <v>0.63300000000000001</v>
      </c>
    </row>
    <row r="724" spans="1:3" x14ac:dyDescent="0.35">
      <c r="A724" s="9">
        <v>43891</v>
      </c>
      <c r="B724" s="9" t="str">
        <f t="shared" si="11"/>
        <v>03/2020</v>
      </c>
      <c r="C724" s="10">
        <v>0.46089999999999998</v>
      </c>
    </row>
    <row r="725" spans="1:3" x14ac:dyDescent="0.35">
      <c r="A725" s="9">
        <v>43922</v>
      </c>
      <c r="B725" s="9" t="str">
        <f t="shared" si="11"/>
        <v>04/2020</v>
      </c>
      <c r="C725" s="10">
        <v>0.35770000000000002</v>
      </c>
    </row>
    <row r="726" spans="1:3" x14ac:dyDescent="0.35">
      <c r="A726" s="9">
        <v>43952</v>
      </c>
      <c r="B726" s="9" t="str">
        <f t="shared" si="11"/>
        <v>05/2020</v>
      </c>
      <c r="C726" s="10">
        <v>0.27429999999999999</v>
      </c>
    </row>
    <row r="727" spans="1:3" x14ac:dyDescent="0.35">
      <c r="A727" s="9">
        <v>43983</v>
      </c>
      <c r="B727" s="9" t="str">
        <f t="shared" si="11"/>
        <v>06/2020</v>
      </c>
      <c r="C727" s="10">
        <v>0.27800000000000002</v>
      </c>
    </row>
    <row r="728" spans="1:3" x14ac:dyDescent="0.35">
      <c r="A728" s="9">
        <v>44013</v>
      </c>
      <c r="B728" s="9" t="str">
        <f t="shared" si="11"/>
        <v>07/2020</v>
      </c>
      <c r="C728" s="10">
        <v>0.2094</v>
      </c>
    </row>
    <row r="729" spans="1:3" x14ac:dyDescent="0.35">
      <c r="A729" s="9">
        <v>44044</v>
      </c>
      <c r="B729" s="9" t="str">
        <f t="shared" si="11"/>
        <v>08/2020</v>
      </c>
      <c r="C729" s="10">
        <v>0.2717</v>
      </c>
    </row>
    <row r="730" spans="1:3" x14ac:dyDescent="0.35">
      <c r="A730" s="9">
        <v>44075</v>
      </c>
      <c r="B730" s="9" t="str">
        <f t="shared" si="11"/>
        <v>09/2020</v>
      </c>
      <c r="C730" s="10">
        <v>0.27300000000000002</v>
      </c>
    </row>
    <row r="731" spans="1:3" x14ac:dyDescent="0.35">
      <c r="A731" s="9">
        <v>44105</v>
      </c>
      <c r="B731" s="9" t="str">
        <f t="shared" si="11"/>
        <v>10/2020</v>
      </c>
      <c r="C731" s="10">
        <v>0.30580000000000002</v>
      </c>
    </row>
    <row r="732" spans="1:3" x14ac:dyDescent="0.35">
      <c r="A732" s="9">
        <v>44136</v>
      </c>
      <c r="B732" s="9" t="str">
        <f t="shared" si="11"/>
        <v>11/2020</v>
      </c>
      <c r="C732" s="10">
        <v>0.3836</v>
      </c>
    </row>
    <row r="733" spans="1:3" x14ac:dyDescent="0.35">
      <c r="A733" s="9">
        <v>44166</v>
      </c>
      <c r="B733" s="9" t="str">
        <f t="shared" si="11"/>
        <v>12/2020</v>
      </c>
      <c r="C733" s="10">
        <v>0.32240000000000002</v>
      </c>
    </row>
    <row r="734" spans="1:3" x14ac:dyDescent="0.35">
      <c r="A734" s="9">
        <v>44197</v>
      </c>
      <c r="B734" s="9" t="str">
        <f t="shared" si="11"/>
        <v>01/2021</v>
      </c>
      <c r="C734" s="10">
        <v>0.36720000000000003</v>
      </c>
    </row>
    <row r="735" spans="1:3" x14ac:dyDescent="0.35">
      <c r="A735" s="9">
        <v>44228</v>
      </c>
      <c r="B735" s="9" t="str">
        <f t="shared" si="11"/>
        <v>02/2021</v>
      </c>
      <c r="C735" s="10">
        <v>0.62219999999999998</v>
      </c>
    </row>
    <row r="736" spans="1:3" x14ac:dyDescent="0.35">
      <c r="A736" s="9">
        <v>44256</v>
      </c>
      <c r="B736" s="9" t="str">
        <f t="shared" si="11"/>
        <v>03/2021</v>
      </c>
      <c r="C736" s="10">
        <v>0.84560000000000002</v>
      </c>
    </row>
    <row r="737" spans="1:3" x14ac:dyDescent="0.35">
      <c r="A737" s="9">
        <v>44287</v>
      </c>
      <c r="B737" s="9" t="str">
        <f t="shared" si="11"/>
        <v>04/2021</v>
      </c>
      <c r="C737" s="10">
        <v>0.85150000000000003</v>
      </c>
    </row>
    <row r="738" spans="1:3" x14ac:dyDescent="0.35">
      <c r="A738" s="9">
        <v>44317</v>
      </c>
      <c r="B738" s="9" t="str">
        <f t="shared" si="11"/>
        <v>05/2021</v>
      </c>
      <c r="C738" s="10">
        <v>0.90580000000000005</v>
      </c>
    </row>
    <row r="739" spans="1:3" x14ac:dyDescent="0.35">
      <c r="A739" s="9">
        <v>44348</v>
      </c>
      <c r="B739" s="9" t="str">
        <f t="shared" si="11"/>
        <v>06/2021</v>
      </c>
      <c r="C739" s="10">
        <v>0.85489999999999999</v>
      </c>
    </row>
    <row r="740" spans="1:3" x14ac:dyDescent="0.35">
      <c r="A740" s="9">
        <v>44378</v>
      </c>
      <c r="B740" s="9" t="str">
        <f t="shared" si="11"/>
        <v>07/2021</v>
      </c>
      <c r="C740" s="10">
        <v>0.69789999999999996</v>
      </c>
    </row>
    <row r="741" spans="1:3" x14ac:dyDescent="0.35">
      <c r="A741" s="9">
        <v>44409</v>
      </c>
      <c r="B741" s="9" t="str">
        <f t="shared" si="11"/>
        <v>08/2021</v>
      </c>
      <c r="C741" s="10">
        <v>0.64400000000000002</v>
      </c>
    </row>
    <row r="742" spans="1:3" x14ac:dyDescent="0.35">
      <c r="A742" s="9">
        <v>44440</v>
      </c>
      <c r="B742" s="9" t="str">
        <f t="shared" si="11"/>
        <v>09/2021</v>
      </c>
      <c r="C742" s="10">
        <v>0.80230000000000001</v>
      </c>
    </row>
    <row r="743" spans="1:3" x14ac:dyDescent="0.35">
      <c r="A743" s="9">
        <v>44470</v>
      </c>
      <c r="B743" s="9" t="str">
        <f t="shared" si="11"/>
        <v>10/2021</v>
      </c>
      <c r="C743" s="10">
        <v>1.083</v>
      </c>
    </row>
    <row r="744" spans="1:3" x14ac:dyDescent="0.35">
      <c r="A744" s="9">
        <v>44501</v>
      </c>
      <c r="B744" s="9" t="str">
        <f t="shared" si="11"/>
        <v>11/2021</v>
      </c>
      <c r="C744" s="10">
        <v>0.93940000000000001</v>
      </c>
    </row>
    <row r="745" spans="1:3" x14ac:dyDescent="0.35">
      <c r="A745" s="9">
        <v>44531</v>
      </c>
      <c r="B745" s="9" t="str">
        <f t="shared" si="11"/>
        <v>12/2021</v>
      </c>
      <c r="C745" s="10">
        <v>0.83750000000000002</v>
      </c>
    </row>
    <row r="746" spans="1:3" x14ac:dyDescent="0.35">
      <c r="A746" s="9">
        <v>44562</v>
      </c>
      <c r="B746" s="9" t="str">
        <f t="shared" si="11"/>
        <v>01/2022</v>
      </c>
      <c r="C746" s="10">
        <v>1.2051000000000001</v>
      </c>
    </row>
    <row r="747" spans="1:3" x14ac:dyDescent="0.35">
      <c r="A747" s="9">
        <v>44593</v>
      </c>
      <c r="B747" s="9" t="str">
        <f t="shared" si="11"/>
        <v>02/2022</v>
      </c>
      <c r="C747" s="10">
        <v>1.4891000000000001</v>
      </c>
    </row>
    <row r="748" spans="1:3" x14ac:dyDescent="0.35">
      <c r="A748" s="9">
        <v>44621</v>
      </c>
      <c r="B748" s="9" t="str">
        <f t="shared" si="11"/>
        <v>03/2022</v>
      </c>
      <c r="C748" s="10">
        <v>1.5457000000000001</v>
      </c>
    </row>
    <row r="749" spans="1:3" x14ac:dyDescent="0.35">
      <c r="A749" s="9">
        <v>44652</v>
      </c>
      <c r="B749" s="9" t="str">
        <f t="shared" si="11"/>
        <v>04/2022</v>
      </c>
      <c r="C749" s="10">
        <v>1.8362000000000001</v>
      </c>
    </row>
    <row r="750" spans="1:3" x14ac:dyDescent="0.35">
      <c r="A750" s="9">
        <v>44682</v>
      </c>
      <c r="B750" s="9" t="str">
        <f t="shared" si="11"/>
        <v>05/2022</v>
      </c>
      <c r="C750" s="10">
        <v>1.9069</v>
      </c>
    </row>
    <row r="751" spans="1:3" x14ac:dyDescent="0.35">
      <c r="A751" s="9">
        <v>44713</v>
      </c>
      <c r="B751" s="9" t="str">
        <f t="shared" si="11"/>
        <v>06/2022</v>
      </c>
      <c r="C751" s="10">
        <v>2.3824000000000001</v>
      </c>
    </row>
    <row r="752" spans="1:3" x14ac:dyDescent="0.35">
      <c r="A752" s="9">
        <v>44743</v>
      </c>
      <c r="B752" s="9" t="str">
        <f t="shared" si="11"/>
        <v>07/2022</v>
      </c>
      <c r="C752" s="10">
        <v>2.1454</v>
      </c>
    </row>
    <row r="753" spans="1:3" x14ac:dyDescent="0.35">
      <c r="A753" s="9">
        <v>44774</v>
      </c>
      <c r="B753" s="9" t="str">
        <f t="shared" si="11"/>
        <v>08/2022</v>
      </c>
      <c r="C753" s="10">
        <v>2.3277999999999999</v>
      </c>
    </row>
    <row r="754" spans="1:3" x14ac:dyDescent="0.35">
      <c r="A754" s="9">
        <v>44805</v>
      </c>
      <c r="B754" s="9" t="str">
        <f t="shared" si="11"/>
        <v>09/2022</v>
      </c>
      <c r="C754" s="10">
        <v>3.5007000000000001</v>
      </c>
    </row>
    <row r="755" spans="1:3" x14ac:dyDescent="0.35">
      <c r="A755" s="9">
        <v>44835</v>
      </c>
      <c r="B755" s="9" t="str">
        <f t="shared" si="11"/>
        <v>10/2022</v>
      </c>
      <c r="C755" s="10">
        <v>4.1096000000000004</v>
      </c>
    </row>
    <row r="756" spans="1:3" x14ac:dyDescent="0.35">
      <c r="A756" s="9">
        <v>44866</v>
      </c>
      <c r="B756" s="9" t="str">
        <f t="shared" si="11"/>
        <v>11/2022</v>
      </c>
      <c r="C756" s="10">
        <v>3.4171</v>
      </c>
    </row>
    <row r="757" spans="1:3" x14ac:dyDescent="0.35">
      <c r="A757" s="9">
        <v>44896</v>
      </c>
      <c r="B757" s="9" t="str">
        <f t="shared" si="11"/>
        <v>12/2022</v>
      </c>
      <c r="C757" s="10">
        <v>3.5015000000000001</v>
      </c>
    </row>
    <row r="758" spans="1:3" x14ac:dyDescent="0.35">
      <c r="A758" s="9">
        <v>44927</v>
      </c>
      <c r="B758" s="9" t="str">
        <f t="shared" si="11"/>
        <v>01/2023</v>
      </c>
      <c r="C758" s="10">
        <v>3.5114999999999998</v>
      </c>
    </row>
    <row r="759" spans="1:3" x14ac:dyDescent="0.35">
      <c r="A759" s="9">
        <v>44958</v>
      </c>
      <c r="B759" s="9" t="str">
        <f t="shared" si="11"/>
        <v>02/2023</v>
      </c>
      <c r="C759" s="10">
        <v>3.5552999999999999</v>
      </c>
    </row>
    <row r="760" spans="1:3" x14ac:dyDescent="0.35">
      <c r="A760" s="9">
        <v>44986</v>
      </c>
      <c r="B760" s="9" t="str">
        <f t="shared" si="11"/>
        <v>03/2023</v>
      </c>
      <c r="C760" s="10">
        <v>3.5638000000000001</v>
      </c>
    </row>
    <row r="761" spans="1:3" x14ac:dyDescent="0.35">
      <c r="A761" s="9">
        <v>45017</v>
      </c>
      <c r="B761" s="9" t="str">
        <f t="shared" si="11"/>
        <v>04/2023</v>
      </c>
      <c r="C761" s="10">
        <v>3.6503000000000001</v>
      </c>
    </row>
    <row r="762" spans="1:3" x14ac:dyDescent="0.35">
      <c r="A762" s="9">
        <v>45047</v>
      </c>
      <c r="B762" s="9" t="str">
        <f t="shared" si="11"/>
        <v>05/2023</v>
      </c>
      <c r="C762" s="10">
        <v>3.9621</v>
      </c>
    </row>
    <row r="763" spans="1:3" x14ac:dyDescent="0.35">
      <c r="A763" s="9">
        <v>45078</v>
      </c>
      <c r="B763" s="9" t="str">
        <f t="shared" si="11"/>
        <v>06/2023</v>
      </c>
      <c r="C763" s="10">
        <v>4.3658999999999999</v>
      </c>
    </row>
    <row r="764" spans="1:3" x14ac:dyDescent="0.35">
      <c r="A764" s="9">
        <v>45108</v>
      </c>
      <c r="B764" s="9" t="str">
        <f t="shared" si="11"/>
        <v>07/2023</v>
      </c>
      <c r="C764" s="10">
        <v>4.4371999999999998</v>
      </c>
    </row>
    <row r="765" spans="1:3" x14ac:dyDescent="0.35">
      <c r="A765" s="9">
        <v>45139</v>
      </c>
      <c r="B765" s="9" t="str">
        <f t="shared" si="11"/>
        <v>08/2023</v>
      </c>
      <c r="C765" s="10">
        <v>4.5297999999999998</v>
      </c>
    </row>
    <row r="766" spans="1:3" x14ac:dyDescent="0.35">
      <c r="A766" s="9">
        <v>45170</v>
      </c>
      <c r="B766" s="9" t="str">
        <f t="shared" si="11"/>
        <v>09/2023</v>
      </c>
      <c r="C766" s="10">
        <v>4.4199000000000002</v>
      </c>
    </row>
    <row r="767" spans="1:3" x14ac:dyDescent="0.35">
      <c r="A767" s="9">
        <v>45200</v>
      </c>
      <c r="B767" s="9" t="str">
        <f t="shared" si="11"/>
        <v>10/2023</v>
      </c>
      <c r="C767" s="10">
        <v>4.5694999999999997</v>
      </c>
    </row>
    <row r="768" spans="1:3" x14ac:dyDescent="0.35">
      <c r="A768" s="9">
        <v>45231</v>
      </c>
      <c r="B768" s="9" t="str">
        <f t="shared" si="11"/>
        <v>11/2023</v>
      </c>
      <c r="C768" s="10">
        <v>4.2721</v>
      </c>
    </row>
    <row r="769" spans="1:3" x14ac:dyDescent="0.35">
      <c r="A769" s="9">
        <v>45261</v>
      </c>
      <c r="B769" s="9" t="str">
        <f t="shared" si="11"/>
        <v>12/2023</v>
      </c>
      <c r="C769" s="10">
        <v>3.8622000000000001</v>
      </c>
    </row>
    <row r="770" spans="1:3" x14ac:dyDescent="0.35">
      <c r="A770" s="9">
        <v>45292</v>
      </c>
      <c r="B770" s="9" t="str">
        <f t="shared" si="11"/>
        <v>01/2024</v>
      </c>
      <c r="C770" s="10">
        <v>3.9319000000000002</v>
      </c>
    </row>
    <row r="771" spans="1:3" x14ac:dyDescent="0.35">
      <c r="A771" s="9">
        <v>45323</v>
      </c>
      <c r="B771" s="9" t="str">
        <f t="shared" ref="B771:B802" si="12">TEXT(A771,"mm/YYYY")</f>
        <v>02/2024</v>
      </c>
      <c r="C771" s="10">
        <v>4.1230000000000002</v>
      </c>
    </row>
    <row r="772" spans="1:3" x14ac:dyDescent="0.35">
      <c r="A772" s="9">
        <v>45352</v>
      </c>
      <c r="B772" s="9" t="str">
        <f t="shared" si="12"/>
        <v>03/2024</v>
      </c>
      <c r="C772" s="10">
        <v>4.0330000000000004</v>
      </c>
    </row>
    <row r="773" spans="1:3" x14ac:dyDescent="0.35">
      <c r="A773" s="9">
        <v>45383</v>
      </c>
      <c r="B773" s="9" t="str">
        <f t="shared" si="12"/>
        <v>04/2024</v>
      </c>
      <c r="C773" s="10">
        <v>4.2172000000000001</v>
      </c>
    </row>
    <row r="774" spans="1:3" x14ac:dyDescent="0.35">
      <c r="A774" s="9">
        <v>45413</v>
      </c>
      <c r="B774" s="9" t="str">
        <f t="shared" si="12"/>
        <v>05/2024</v>
      </c>
      <c r="C774" s="10">
        <v>4.2229000000000001</v>
      </c>
    </row>
    <row r="775" spans="1:3" x14ac:dyDescent="0.35">
      <c r="A775" s="9">
        <v>45444</v>
      </c>
      <c r="B775" s="9" t="str">
        <f t="shared" si="12"/>
        <v>06/2024</v>
      </c>
      <c r="C775" s="10">
        <v>4.1643999999999997</v>
      </c>
    </row>
    <row r="776" spans="1:3" x14ac:dyDescent="0.35">
      <c r="A776" s="9">
        <v>45474</v>
      </c>
      <c r="B776" s="9" t="str">
        <f t="shared" si="12"/>
        <v>07/2024</v>
      </c>
      <c r="C776" s="10">
        <v>4.1386000000000003</v>
      </c>
    </row>
    <row r="777" spans="1:3" x14ac:dyDescent="0.35">
      <c r="A777" s="9">
        <v>45505</v>
      </c>
      <c r="B777" s="9" t="str">
        <f t="shared" si="12"/>
        <v>08/2024</v>
      </c>
      <c r="C777" s="10">
        <v>3.9443999999999999</v>
      </c>
    </row>
    <row r="778" spans="1:3" x14ac:dyDescent="0.35">
      <c r="A778" s="9">
        <v>45536</v>
      </c>
      <c r="B778" s="9" t="str">
        <f t="shared" si="12"/>
        <v>09/2024</v>
      </c>
      <c r="C778" s="10">
        <v>3.9053</v>
      </c>
    </row>
    <row r="779" spans="1:3" x14ac:dyDescent="0.35">
      <c r="A779" s="9">
        <v>45566</v>
      </c>
      <c r="B779" s="9" t="str">
        <f t="shared" si="12"/>
        <v>10/2024</v>
      </c>
      <c r="C779" s="10">
        <v>4.1993</v>
      </c>
    </row>
    <row r="780" spans="1:3" x14ac:dyDescent="0.35">
      <c r="A780" s="9">
        <v>45597</v>
      </c>
      <c r="B780" s="9" t="str">
        <f t="shared" si="12"/>
        <v>11/2024</v>
      </c>
      <c r="C780" s="10">
        <v>4.4164000000000003</v>
      </c>
    </row>
    <row r="781" spans="1:3" x14ac:dyDescent="0.35">
      <c r="A781" s="9">
        <v>45627</v>
      </c>
      <c r="B781" s="9" t="str">
        <f t="shared" si="12"/>
        <v>12/2024</v>
      </c>
      <c r="C781" s="10">
        <v>4.4344999999999999</v>
      </c>
    </row>
    <row r="782" spans="1:3" x14ac:dyDescent="0.35">
      <c r="A782" s="9">
        <v>45658</v>
      </c>
      <c r="B782" s="9" t="str">
        <f t="shared" si="12"/>
        <v>01/2025</v>
      </c>
      <c r="C782" s="10">
        <v>4.6627000000000001</v>
      </c>
    </row>
    <row r="783" spans="1:3" x14ac:dyDescent="0.35">
      <c r="A783" s="9">
        <v>45689</v>
      </c>
      <c r="B783" s="9" t="str">
        <f t="shared" si="12"/>
        <v>02/2025</v>
      </c>
      <c r="C783" s="10">
        <v>4.5063000000000004</v>
      </c>
    </row>
    <row r="784" spans="1:3" x14ac:dyDescent="0.35">
      <c r="A784" s="9">
        <v>45717</v>
      </c>
      <c r="B784" s="9" t="str">
        <f t="shared" si="12"/>
        <v>03/2025</v>
      </c>
      <c r="C784" s="10">
        <v>4.6448</v>
      </c>
    </row>
    <row r="785" spans="1:3" x14ac:dyDescent="0.35">
      <c r="A785" s="9">
        <v>45748</v>
      </c>
      <c r="B785" s="9" t="str">
        <f t="shared" si="12"/>
        <v>04/2025</v>
      </c>
      <c r="C785" s="10">
        <v>4.5762</v>
      </c>
    </row>
    <row r="786" spans="1:3" x14ac:dyDescent="0.35">
      <c r="A786" s="9">
        <v>45778</v>
      </c>
      <c r="B786" s="9" t="str">
        <f t="shared" si="12"/>
        <v>05/2025</v>
      </c>
      <c r="C786" s="10">
        <v>4.6003999999999996</v>
      </c>
    </row>
    <row r="787" spans="1:3" x14ac:dyDescent="0.35">
      <c r="A787" s="9">
        <v>45809</v>
      </c>
      <c r="B787" s="9" t="str">
        <f t="shared" si="12"/>
        <v>06/2025</v>
      </c>
      <c r="C787" s="10">
        <v>4.5247999999999999</v>
      </c>
    </row>
    <row r="788" spans="1:3" x14ac:dyDescent="0.35">
      <c r="A788" s="9">
        <v>45839</v>
      </c>
      <c r="B788" s="9" t="str">
        <f t="shared" si="12"/>
        <v>07/2025</v>
      </c>
      <c r="C788" s="10">
        <v>4.5923999999999996</v>
      </c>
    </row>
    <row r="789" spans="1:3" x14ac:dyDescent="0.35">
      <c r="A789" s="9">
        <v>45870</v>
      </c>
      <c r="B789" s="9" t="str">
        <f t="shared" si="12"/>
        <v>08/2025</v>
      </c>
      <c r="C789" s="10">
        <v>4.6368999999999998</v>
      </c>
    </row>
    <row r="790" spans="1:3" x14ac:dyDescent="0.35">
      <c r="A790" s="9">
        <v>45901</v>
      </c>
      <c r="B790" s="9" t="str">
        <f t="shared" si="12"/>
        <v>09/2025</v>
      </c>
      <c r="C790" s="10">
        <v>4.6885000000000003</v>
      </c>
    </row>
    <row r="791" spans="1:3" x14ac:dyDescent="0.35">
      <c r="A791" s="9">
        <v>45931</v>
      </c>
      <c r="B791" s="9" t="str">
        <f t="shared" si="12"/>
        <v>10/2025</v>
      </c>
      <c r="C791" s="10">
        <v>4.5720999999999998</v>
      </c>
    </row>
    <row r="792" spans="1:3" x14ac:dyDescent="0.35">
      <c r="A792" s="9">
        <v>45962</v>
      </c>
      <c r="B792" s="9" t="str">
        <f t="shared" si="12"/>
        <v>11/2025</v>
      </c>
      <c r="C792" s="10">
        <v>4.4984999999999999</v>
      </c>
    </row>
    <row r="793" spans="1:3" x14ac:dyDescent="0.35">
      <c r="A793" s="9">
        <v>45992</v>
      </c>
      <c r="B793" s="9" t="str">
        <f t="shared" si="12"/>
        <v>12/2025</v>
      </c>
      <c r="C793" s="10">
        <v>4.4825999999999997</v>
      </c>
    </row>
    <row r="794" spans="1:3" x14ac:dyDescent="0.35">
      <c r="A794" s="9">
        <v>46023</v>
      </c>
      <c r="B794" s="9" t="str">
        <f t="shared" si="12"/>
        <v>01/2026</v>
      </c>
      <c r="C794" s="10">
        <v>4.4509999999999996</v>
      </c>
    </row>
    <row r="795" spans="1:3" x14ac:dyDescent="0.35">
      <c r="A795" s="9">
        <v>46054</v>
      </c>
      <c r="B795" s="9" t="str">
        <f t="shared" si="12"/>
        <v>02/2026</v>
      </c>
      <c r="C795" s="10">
        <v>4.4324000000000003</v>
      </c>
    </row>
    <row r="796" spans="1:3" x14ac:dyDescent="0.35">
      <c r="A796" s="9">
        <v>46082</v>
      </c>
      <c r="B796" s="9" t="str">
        <f t="shared" si="12"/>
        <v>03/2026</v>
      </c>
      <c r="C796" s="10">
        <v>4.7007000000000003</v>
      </c>
    </row>
    <row r="797" spans="1:3" x14ac:dyDescent="0.35">
      <c r="A797" s="9">
        <v>46113</v>
      </c>
      <c r="B797" s="9" t="str">
        <f t="shared" si="12"/>
        <v>04/2026</v>
      </c>
      <c r="C797" s="10">
        <v>4.8207000000000004</v>
      </c>
    </row>
    <row r="798" spans="1:3" x14ac:dyDescent="0.35">
      <c r="A798" s="9">
        <v>46143</v>
      </c>
      <c r="B798" s="9" t="str">
        <f t="shared" si="12"/>
        <v>05/2026</v>
      </c>
      <c r="C798" s="10">
        <v>4.9416000000000002</v>
      </c>
    </row>
    <row r="799" spans="1:3" x14ac:dyDescent="0.35">
      <c r="A799" s="9">
        <v>46174</v>
      </c>
      <c r="B799" s="9" t="str">
        <f t="shared" si="12"/>
        <v>06/2026</v>
      </c>
      <c r="C799" s="10">
        <v>4.7960000000000003</v>
      </c>
    </row>
    <row r="800" spans="1:3" x14ac:dyDescent="0.35">
      <c r="A800" s="9">
        <v>46204</v>
      </c>
      <c r="B800" s="9" t="str">
        <f t="shared" si="12"/>
        <v>07/2026</v>
      </c>
      <c r="C800" s="10">
        <v>4.9318</v>
      </c>
    </row>
    <row r="801" spans="1:3" x14ac:dyDescent="0.35">
      <c r="A801" s="9">
        <v>46235</v>
      </c>
      <c r="B801" s="9" t="str">
        <f t="shared" si="12"/>
        <v>08/2026</v>
      </c>
      <c r="C801" s="10">
        <v>4.9885999999999999</v>
      </c>
    </row>
    <row r="802" spans="1:3" x14ac:dyDescent="0.35">
      <c r="A802" s="9">
        <v>46266</v>
      </c>
      <c r="B802" s="9" t="str">
        <f t="shared" si="12"/>
        <v>09/2026</v>
      </c>
      <c r="C802" s="10">
        <v>4.9936999999999996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41F8-E397-43D9-AAF7-2AEC5CCC1B74}">
  <sheetPr>
    <tabColor theme="8" tint="0.39997558519241921"/>
  </sheetPr>
  <dimension ref="A1:F108"/>
  <sheetViews>
    <sheetView zoomScale="85" zoomScaleNormal="85" workbookViewId="0"/>
  </sheetViews>
  <sheetFormatPr defaultRowHeight="14.5" outlineLevelRow="1" x14ac:dyDescent="0.35"/>
  <cols>
    <col min="1" max="1" width="85.7265625" customWidth="1"/>
    <col min="2" max="6" width="15.7265625" customWidth="1"/>
    <col min="8" max="8" width="10.1796875" bestFit="1" customWidth="1"/>
  </cols>
  <sheetData>
    <row r="1" spans="1:6" ht="15" customHeight="1" thickBot="1" x14ac:dyDescent="0.4">
      <c r="A1" s="26" t="s">
        <v>646</v>
      </c>
      <c r="B1" s="27"/>
      <c r="C1" s="27"/>
      <c r="D1" s="27"/>
      <c r="E1" s="27"/>
      <c r="F1" s="27"/>
    </row>
    <row r="2" spans="1:6" ht="15" customHeight="1" thickTop="1" x14ac:dyDescent="0.35">
      <c r="A2" s="28" t="s">
        <v>57</v>
      </c>
      <c r="B2" s="29" t="s">
        <v>58</v>
      </c>
    </row>
    <row r="3" spans="1:6" x14ac:dyDescent="0.35">
      <c r="A3" s="28" t="s">
        <v>59</v>
      </c>
      <c r="B3" s="28" t="s">
        <v>60</v>
      </c>
    </row>
    <row r="4" spans="1:6" x14ac:dyDescent="0.35">
      <c r="A4" s="28" t="s">
        <v>61</v>
      </c>
      <c r="B4" s="28" t="s">
        <v>60</v>
      </c>
    </row>
    <row r="5" spans="1:6" x14ac:dyDescent="0.35">
      <c r="A5" s="28" t="s">
        <v>62</v>
      </c>
      <c r="B5" s="28" t="s">
        <v>63</v>
      </c>
    </row>
    <row r="6" spans="1:6" x14ac:dyDescent="0.35">
      <c r="A6" s="28" t="s">
        <v>64</v>
      </c>
      <c r="B6" s="28" t="s">
        <v>65</v>
      </c>
    </row>
    <row r="7" spans="1:6" x14ac:dyDescent="0.35">
      <c r="A7" s="28" t="s">
        <v>66</v>
      </c>
      <c r="B7" s="28" t="s">
        <v>67</v>
      </c>
    </row>
    <row r="8" spans="1:6" x14ac:dyDescent="0.35">
      <c r="A8" s="28" t="s">
        <v>68</v>
      </c>
      <c r="B8" s="28" t="s">
        <v>69</v>
      </c>
    </row>
    <row r="9" spans="1:6" x14ac:dyDescent="0.35">
      <c r="A9" s="28" t="s">
        <v>70</v>
      </c>
      <c r="B9" s="28" t="s">
        <v>71</v>
      </c>
    </row>
    <row r="10" spans="1:6" x14ac:dyDescent="0.35">
      <c r="A10" s="28" t="s">
        <v>72</v>
      </c>
      <c r="B10" s="30">
        <v>46299.950985613403</v>
      </c>
    </row>
    <row r="11" spans="1:6" x14ac:dyDescent="0.35">
      <c r="A11" s="31" t="s">
        <v>73</v>
      </c>
      <c r="B11" s="32" t="s">
        <v>74</v>
      </c>
      <c r="C11" s="32" t="s">
        <v>75</v>
      </c>
      <c r="D11" s="32" t="s">
        <v>76</v>
      </c>
      <c r="E11" s="32" t="s">
        <v>77</v>
      </c>
      <c r="F11" s="32" t="s">
        <v>78</v>
      </c>
    </row>
    <row r="12" spans="1:6" ht="15" customHeight="1" outlineLevel="1" x14ac:dyDescent="0.35">
      <c r="A12" s="33" t="s">
        <v>79</v>
      </c>
      <c r="B12" s="34">
        <v>46112</v>
      </c>
      <c r="C12" s="34">
        <v>45747</v>
      </c>
      <c r="D12" s="34">
        <v>45382</v>
      </c>
      <c r="E12" s="34">
        <v>45016</v>
      </c>
      <c r="F12" s="34">
        <v>44651</v>
      </c>
    </row>
    <row r="13" spans="1:6" ht="15" customHeight="1" outlineLevel="1" x14ac:dyDescent="0.35">
      <c r="A13" s="33" t="s">
        <v>80</v>
      </c>
      <c r="B13" s="34">
        <v>46112</v>
      </c>
      <c r="C13" s="34">
        <v>45747</v>
      </c>
      <c r="D13" s="34">
        <v>45382</v>
      </c>
      <c r="E13" s="34">
        <v>45016</v>
      </c>
      <c r="F13" s="34">
        <v>44651</v>
      </c>
    </row>
    <row r="14" spans="1:6" ht="15" customHeight="1" outlineLevel="1" x14ac:dyDescent="0.35">
      <c r="A14" s="33" t="s">
        <v>81</v>
      </c>
      <c r="B14" s="35" t="s">
        <v>82</v>
      </c>
      <c r="C14" s="35" t="s">
        <v>82</v>
      </c>
      <c r="D14" s="35" t="s">
        <v>82</v>
      </c>
      <c r="E14" s="35" t="s">
        <v>82</v>
      </c>
      <c r="F14" s="35" t="s">
        <v>82</v>
      </c>
    </row>
    <row r="15" spans="1:6" ht="15" customHeight="1" outlineLevel="1" x14ac:dyDescent="0.35">
      <c r="A15" s="33" t="s">
        <v>83</v>
      </c>
      <c r="B15" s="35" t="s">
        <v>84</v>
      </c>
      <c r="C15" s="35" t="s">
        <v>84</v>
      </c>
      <c r="D15" s="35" t="s">
        <v>84</v>
      </c>
      <c r="E15" s="35" t="s">
        <v>84</v>
      </c>
      <c r="F15" s="35" t="s">
        <v>84</v>
      </c>
    </row>
    <row r="17" spans="1:6" x14ac:dyDescent="0.35">
      <c r="A17" s="36" t="s">
        <v>647</v>
      </c>
      <c r="B17" s="31"/>
      <c r="C17" s="31"/>
      <c r="D17" s="31"/>
      <c r="E17" s="31"/>
      <c r="F17" s="31"/>
    </row>
    <row r="18" spans="1:6" x14ac:dyDescent="0.35">
      <c r="A18" s="36" t="s">
        <v>86</v>
      </c>
      <c r="B18" s="37" t="s">
        <v>87</v>
      </c>
      <c r="C18" s="37" t="s">
        <v>88</v>
      </c>
      <c r="D18" s="37" t="s">
        <v>89</v>
      </c>
      <c r="E18" s="37" t="s">
        <v>90</v>
      </c>
      <c r="F18" s="37" t="s">
        <v>91</v>
      </c>
    </row>
    <row r="19" spans="1:6" ht="15" customHeight="1" x14ac:dyDescent="0.35">
      <c r="A19" s="38" t="s">
        <v>648</v>
      </c>
      <c r="B19" s="39"/>
      <c r="C19" s="39"/>
      <c r="D19" s="39"/>
      <c r="E19" s="39"/>
      <c r="F19" s="39"/>
    </row>
    <row r="20" spans="1:6" ht="15" customHeight="1" x14ac:dyDescent="0.35">
      <c r="A20" s="40" t="s">
        <v>95</v>
      </c>
      <c r="B20" s="41">
        <v>19646</v>
      </c>
      <c r="C20" s="41">
        <v>20370</v>
      </c>
      <c r="D20" s="41">
        <v>20835</v>
      </c>
      <c r="E20" s="41">
        <v>20669</v>
      </c>
      <c r="F20" s="41">
        <v>20845</v>
      </c>
    </row>
    <row r="21" spans="1:6" ht="15" customHeight="1" x14ac:dyDescent="0.35">
      <c r="A21" s="40" t="s">
        <v>102</v>
      </c>
      <c r="B21" s="45">
        <v>8319</v>
      </c>
      <c r="C21" s="45">
        <v>8710</v>
      </c>
      <c r="D21" s="45">
        <v>8385</v>
      </c>
      <c r="E21" s="45">
        <v>8107</v>
      </c>
      <c r="F21" s="45">
        <v>8489</v>
      </c>
    </row>
    <row r="22" spans="1:6" ht="15" customHeight="1" x14ac:dyDescent="0.35">
      <c r="A22" s="40" t="s">
        <v>114</v>
      </c>
      <c r="B22" s="45">
        <v>3377</v>
      </c>
      <c r="C22" s="45">
        <v>3326</v>
      </c>
      <c r="D22" s="45">
        <v>3308</v>
      </c>
      <c r="E22" s="45">
        <v>3186</v>
      </c>
      <c r="F22" s="45">
        <v>3172</v>
      </c>
    </row>
    <row r="23" spans="1:6" ht="15" customHeight="1" x14ac:dyDescent="0.35">
      <c r="A23" s="40" t="s">
        <v>217</v>
      </c>
      <c r="B23" s="45">
        <v>8230</v>
      </c>
      <c r="C23" s="45">
        <v>8209</v>
      </c>
      <c r="D23" s="45">
        <v>8100</v>
      </c>
      <c r="E23" s="45">
        <v>7928</v>
      </c>
      <c r="F23" s="45">
        <v>7577</v>
      </c>
    </row>
    <row r="24" spans="1:6" ht="15" customHeight="1" x14ac:dyDescent="0.35">
      <c r="A24" s="40" t="s">
        <v>154</v>
      </c>
      <c r="B24" s="45">
        <v>1077</v>
      </c>
      <c r="C24" s="45">
        <v>1054</v>
      </c>
      <c r="D24" s="45">
        <v>855</v>
      </c>
      <c r="E24" s="45">
        <v>1905</v>
      </c>
      <c r="F24" s="45">
        <v>1274</v>
      </c>
    </row>
    <row r="25" spans="1:6" ht="15" customHeight="1" x14ac:dyDescent="0.35">
      <c r="A25" s="38" t="s">
        <v>649</v>
      </c>
      <c r="B25" s="39"/>
      <c r="C25" s="39"/>
      <c r="D25" s="39"/>
      <c r="E25" s="39"/>
      <c r="F25" s="39"/>
    </row>
    <row r="26" spans="1:6" ht="15" customHeight="1" x14ac:dyDescent="0.35">
      <c r="A26" s="40" t="s">
        <v>275</v>
      </c>
      <c r="B26" s="45">
        <v>236</v>
      </c>
      <c r="C26" s="45">
        <v>183</v>
      </c>
      <c r="D26" s="45">
        <v>414</v>
      </c>
      <c r="E26" s="45">
        <v>392</v>
      </c>
      <c r="F26" s="45">
        <v>777</v>
      </c>
    </row>
    <row r="27" spans="1:6" ht="15" customHeight="1" x14ac:dyDescent="0.35">
      <c r="A27" s="40" t="s">
        <v>274</v>
      </c>
      <c r="B27" s="45">
        <v>1718</v>
      </c>
      <c r="C27" s="45">
        <v>2814</v>
      </c>
      <c r="D27" s="45">
        <v>2780</v>
      </c>
      <c r="E27" s="45">
        <v>3940</v>
      </c>
      <c r="F27" s="45">
        <v>3456</v>
      </c>
    </row>
    <row r="28" spans="1:6" ht="15" customHeight="1" x14ac:dyDescent="0.35">
      <c r="A28" s="40" t="s">
        <v>344</v>
      </c>
      <c r="B28" s="41">
        <v>49976</v>
      </c>
      <c r="C28" s="41">
        <v>50982</v>
      </c>
      <c r="D28" s="41">
        <v>51739</v>
      </c>
      <c r="E28" s="41">
        <v>52752</v>
      </c>
      <c r="F28" s="41">
        <v>49774</v>
      </c>
    </row>
    <row r="29" spans="1:6" ht="15" customHeight="1" x14ac:dyDescent="0.35">
      <c r="A29" s="40" t="s">
        <v>432</v>
      </c>
      <c r="B29" s="41">
        <v>22720</v>
      </c>
      <c r="C29" s="41">
        <v>23333</v>
      </c>
      <c r="D29" s="41">
        <v>23481</v>
      </c>
      <c r="E29" s="41">
        <v>23880</v>
      </c>
      <c r="F29" s="41">
        <v>21945</v>
      </c>
    </row>
    <row r="30" spans="1:6" ht="15" customHeight="1" x14ac:dyDescent="0.35">
      <c r="A30" s="52" t="s">
        <v>391</v>
      </c>
      <c r="B30" s="153">
        <v>12564</v>
      </c>
      <c r="C30" s="41">
        <v>12908</v>
      </c>
      <c r="D30" s="41">
        <v>12518</v>
      </c>
      <c r="E30" s="41">
        <v>14514</v>
      </c>
      <c r="F30" s="41">
        <v>15296</v>
      </c>
    </row>
    <row r="31" spans="1:6" ht="15" customHeight="1" x14ac:dyDescent="0.35">
      <c r="A31" s="38" t="s">
        <v>650</v>
      </c>
      <c r="B31" s="39"/>
      <c r="C31" s="39"/>
      <c r="D31" s="39"/>
      <c r="E31" s="39"/>
      <c r="F31" s="39"/>
    </row>
    <row r="32" spans="1:6" ht="15" customHeight="1" x14ac:dyDescent="0.35">
      <c r="A32" s="40" t="s">
        <v>506</v>
      </c>
      <c r="B32" s="45">
        <v>6098</v>
      </c>
      <c r="C32" s="45">
        <v>6165</v>
      </c>
      <c r="D32" s="45">
        <v>5228</v>
      </c>
      <c r="E32" s="45">
        <v>6056</v>
      </c>
      <c r="F32" s="45">
        <v>5161</v>
      </c>
    </row>
    <row r="33" spans="1:6" ht="15" customHeight="1" x14ac:dyDescent="0.35">
      <c r="A33" s="40" t="s">
        <v>492</v>
      </c>
      <c r="B33" s="45">
        <v>4940</v>
      </c>
      <c r="C33" s="45">
        <v>5094</v>
      </c>
      <c r="D33" s="45">
        <v>5398</v>
      </c>
      <c r="E33" s="45">
        <v>4818</v>
      </c>
      <c r="F33" s="45">
        <v>4405</v>
      </c>
    </row>
    <row r="34" spans="1:6" ht="15" customHeight="1" x14ac:dyDescent="0.35">
      <c r="A34" s="40" t="s">
        <v>508</v>
      </c>
      <c r="B34" s="45">
        <v>5129</v>
      </c>
      <c r="C34" s="45">
        <v>4901</v>
      </c>
      <c r="D34" s="45">
        <v>4967</v>
      </c>
      <c r="E34" s="45">
        <v>5307</v>
      </c>
      <c r="F34" s="45">
        <v>4605</v>
      </c>
    </row>
    <row r="35" spans="1:6" ht="15" customHeight="1" x14ac:dyDescent="0.35">
      <c r="A35" s="40" t="s">
        <v>544</v>
      </c>
      <c r="B35" s="45">
        <v>142</v>
      </c>
      <c r="C35" s="46">
        <v>-142</v>
      </c>
      <c r="D35" s="48">
        <v>-25</v>
      </c>
      <c r="E35" s="46">
        <v>-311</v>
      </c>
      <c r="F35" s="46">
        <v>-204</v>
      </c>
    </row>
    <row r="36" spans="1:6" ht="15" customHeight="1" x14ac:dyDescent="0.35">
      <c r="A36" s="40" t="s">
        <v>560</v>
      </c>
      <c r="B36" s="45">
        <v>122</v>
      </c>
      <c r="C36" s="45">
        <v>440</v>
      </c>
      <c r="D36" s="46">
        <v>-500</v>
      </c>
      <c r="E36" s="48">
        <v>-2</v>
      </c>
      <c r="F36" s="45">
        <v>326</v>
      </c>
    </row>
    <row r="37" spans="1:6" ht="15" customHeight="1" x14ac:dyDescent="0.35">
      <c r="A37" s="38" t="s">
        <v>651</v>
      </c>
      <c r="B37" s="39"/>
      <c r="C37" s="39"/>
      <c r="D37" s="39"/>
      <c r="E37" s="39"/>
      <c r="F37" s="39"/>
    </row>
    <row r="38" spans="1:6" ht="15" customHeight="1" x14ac:dyDescent="0.35">
      <c r="A38" s="40" t="s">
        <v>652</v>
      </c>
      <c r="B38" s="79">
        <v>3.9</v>
      </c>
      <c r="C38" s="79">
        <v>4.88</v>
      </c>
      <c r="D38" s="79">
        <v>7.02</v>
      </c>
      <c r="E38" s="79">
        <v>5.28</v>
      </c>
      <c r="F38" s="79">
        <v>1.27</v>
      </c>
    </row>
    <row r="39" spans="1:6" ht="15" customHeight="1" x14ac:dyDescent="0.35">
      <c r="A39" s="40" t="s">
        <v>653</v>
      </c>
      <c r="B39" s="79">
        <v>3.9</v>
      </c>
      <c r="C39" s="79">
        <v>4.88</v>
      </c>
      <c r="D39" s="79">
        <v>7.02</v>
      </c>
      <c r="E39" s="79">
        <v>5.28</v>
      </c>
      <c r="F39" s="79">
        <v>1.27</v>
      </c>
    </row>
    <row r="40" spans="1:6" ht="15" customHeight="1" x14ac:dyDescent="0.35">
      <c r="A40" s="40" t="s">
        <v>195</v>
      </c>
      <c r="B40" s="47">
        <v>0.11</v>
      </c>
      <c r="C40" s="47">
        <v>0.11</v>
      </c>
      <c r="D40" s="47">
        <v>0.09</v>
      </c>
      <c r="E40" s="47">
        <v>0.19</v>
      </c>
      <c r="F40" s="47">
        <v>0.13</v>
      </c>
    </row>
    <row r="41" spans="1:6" ht="15" customHeight="1" x14ac:dyDescent="0.35">
      <c r="A41" s="40" t="s">
        <v>193</v>
      </c>
      <c r="B41" s="45">
        <v>9939</v>
      </c>
      <c r="C41" s="45">
        <v>9960</v>
      </c>
      <c r="D41" s="45">
        <v>9998</v>
      </c>
      <c r="E41" s="41">
        <v>10057</v>
      </c>
      <c r="F41" s="41">
        <v>10136</v>
      </c>
    </row>
    <row r="42" spans="1:6" ht="15" customHeight="1" x14ac:dyDescent="0.35">
      <c r="A42" s="38" t="s">
        <v>654</v>
      </c>
      <c r="B42" s="39"/>
      <c r="C42" s="39"/>
      <c r="D42" s="39"/>
      <c r="E42" s="39"/>
      <c r="F42" s="39"/>
    </row>
    <row r="43" spans="1:6" ht="15" customHeight="1" x14ac:dyDescent="0.35">
      <c r="A43" s="40" t="s">
        <v>243</v>
      </c>
      <c r="B43" s="41">
        <v>19646</v>
      </c>
      <c r="C43" s="41">
        <v>20370</v>
      </c>
      <c r="D43" s="41">
        <v>20835</v>
      </c>
      <c r="E43" s="41">
        <v>20669</v>
      </c>
      <c r="F43" s="41">
        <v>20845</v>
      </c>
    </row>
    <row r="44" spans="1:6" ht="15" customHeight="1" x14ac:dyDescent="0.35">
      <c r="A44" s="40" t="s">
        <v>244</v>
      </c>
      <c r="B44" s="45">
        <v>3355</v>
      </c>
      <c r="C44" s="45">
        <v>3276</v>
      </c>
      <c r="D44" s="41"/>
      <c r="E44" s="41"/>
      <c r="F44" s="41"/>
    </row>
    <row r="45" spans="1:6" ht="15" customHeight="1" x14ac:dyDescent="0.35">
      <c r="A45" s="40" t="s">
        <v>245</v>
      </c>
      <c r="B45" s="45">
        <v>1793</v>
      </c>
      <c r="C45" s="45">
        <v>1835</v>
      </c>
      <c r="D45" s="41"/>
      <c r="E45" s="41"/>
      <c r="F45" s="41"/>
    </row>
    <row r="46" spans="1:6" ht="15" customHeight="1" x14ac:dyDescent="0.35">
      <c r="A46" s="40" t="s">
        <v>246</v>
      </c>
      <c r="B46" s="45">
        <v>8230</v>
      </c>
      <c r="C46" s="45">
        <v>8209</v>
      </c>
      <c r="D46" s="45">
        <v>8100</v>
      </c>
      <c r="E46" s="45">
        <v>7928</v>
      </c>
      <c r="F46" s="45">
        <v>7577</v>
      </c>
    </row>
    <row r="47" spans="1:6" ht="15" customHeight="1" x14ac:dyDescent="0.35">
      <c r="A47" s="40" t="s">
        <v>247</v>
      </c>
      <c r="B47" s="47">
        <v>0.18</v>
      </c>
      <c r="C47" s="47">
        <v>0.19</v>
      </c>
      <c r="D47" s="47">
        <v>0.19</v>
      </c>
      <c r="E47" s="47">
        <v>0.21</v>
      </c>
      <c r="F47" s="47">
        <v>0.2</v>
      </c>
    </row>
    <row r="48" spans="1:6" ht="15" customHeight="1" x14ac:dyDescent="0.35">
      <c r="A48" s="40" t="s">
        <v>248</v>
      </c>
      <c r="B48" s="47">
        <v>0.18</v>
      </c>
      <c r="C48" s="47">
        <v>0.18</v>
      </c>
      <c r="D48" s="47">
        <v>0.18</v>
      </c>
      <c r="E48" s="47">
        <v>0.22</v>
      </c>
      <c r="F48" s="47">
        <v>0.2</v>
      </c>
    </row>
    <row r="49" spans="1:6" ht="15" customHeight="1" x14ac:dyDescent="0.35">
      <c r="A49" s="40" t="s">
        <v>553</v>
      </c>
      <c r="B49" s="45">
        <v>1901</v>
      </c>
      <c r="C49" s="45">
        <v>2088</v>
      </c>
      <c r="D49" s="45">
        <v>986</v>
      </c>
      <c r="E49" s="45">
        <v>1300</v>
      </c>
      <c r="F49" s="41"/>
    </row>
    <row r="50" spans="1:6" ht="15" customHeight="1" x14ac:dyDescent="0.35">
      <c r="A50" s="38" t="s">
        <v>655</v>
      </c>
      <c r="B50" s="39"/>
      <c r="C50" s="39"/>
      <c r="D50" s="39"/>
      <c r="E50" s="39"/>
      <c r="F50" s="39"/>
    </row>
    <row r="51" spans="1:6" ht="15" customHeight="1" x14ac:dyDescent="0.35">
      <c r="A51" s="40" t="s">
        <v>656</v>
      </c>
      <c r="B51" s="79">
        <v>42.34</v>
      </c>
      <c r="C51" s="79">
        <v>42.76</v>
      </c>
      <c r="D51" s="79">
        <v>40.24</v>
      </c>
      <c r="E51" s="79">
        <v>39.22</v>
      </c>
      <c r="F51" s="79">
        <v>40.72</v>
      </c>
    </row>
    <row r="52" spans="1:6" ht="15" customHeight="1" x14ac:dyDescent="0.35">
      <c r="A52" s="40" t="s">
        <v>657</v>
      </c>
      <c r="B52" s="79">
        <v>41.89</v>
      </c>
      <c r="C52" s="79">
        <v>40.299999999999997</v>
      </c>
      <c r="D52" s="79">
        <v>38.880000000000003</v>
      </c>
      <c r="E52" s="79">
        <v>38.36</v>
      </c>
      <c r="F52" s="79">
        <v>36.35</v>
      </c>
    </row>
    <row r="53" spans="1:6" ht="15" customHeight="1" x14ac:dyDescent="0.35">
      <c r="A53" s="40" t="s">
        <v>658</v>
      </c>
      <c r="B53" s="79">
        <v>17.190000000000001</v>
      </c>
      <c r="C53" s="79">
        <v>16.329999999999998</v>
      </c>
      <c r="D53" s="79">
        <v>15.88</v>
      </c>
      <c r="E53" s="79">
        <v>15.41</v>
      </c>
      <c r="F53" s="79">
        <v>15.22</v>
      </c>
    </row>
    <row r="54" spans="1:6" ht="15" customHeight="1" x14ac:dyDescent="0.35">
      <c r="A54" s="40" t="s">
        <v>659</v>
      </c>
      <c r="B54" s="79">
        <v>8.3800000000000008</v>
      </c>
      <c r="C54" s="79">
        <v>6.59</v>
      </c>
      <c r="D54" s="79">
        <v>5.79</v>
      </c>
      <c r="E54" s="79">
        <v>8.65</v>
      </c>
      <c r="F54" s="79">
        <v>9.42</v>
      </c>
    </row>
    <row r="55" spans="1:6" ht="15" customHeight="1" x14ac:dyDescent="0.35">
      <c r="A55" s="40" t="s">
        <v>660</v>
      </c>
      <c r="B55" s="79">
        <v>21.81</v>
      </c>
      <c r="C55" s="79">
        <v>20.86</v>
      </c>
      <c r="D55" s="79">
        <v>27.42</v>
      </c>
      <c r="E55" s="80">
        <v>-9.84</v>
      </c>
      <c r="F55" s="79">
        <v>35.1</v>
      </c>
    </row>
    <row r="56" spans="1:6" ht="15" customHeight="1" x14ac:dyDescent="0.35">
      <c r="A56" s="40" t="s">
        <v>661</v>
      </c>
      <c r="B56" s="79">
        <v>5.48</v>
      </c>
      <c r="C56" s="79">
        <v>5.17</v>
      </c>
      <c r="D56" s="79">
        <v>4.0999999999999996</v>
      </c>
      <c r="E56" s="79">
        <v>9.2200000000000006</v>
      </c>
      <c r="F56" s="79">
        <v>6.11</v>
      </c>
    </row>
    <row r="57" spans="1:6" ht="15" customHeight="1" x14ac:dyDescent="0.35">
      <c r="A57" s="40" t="s">
        <v>561</v>
      </c>
      <c r="B57" s="45">
        <v>929</v>
      </c>
      <c r="C57" s="45">
        <v>1228</v>
      </c>
      <c r="D57" s="45">
        <v>259</v>
      </c>
      <c r="E57" s="45">
        <v>749</v>
      </c>
      <c r="F57" s="45">
        <v>554</v>
      </c>
    </row>
    <row r="58" spans="1:6" ht="15" customHeight="1" x14ac:dyDescent="0.35">
      <c r="A58" s="40" t="s">
        <v>662</v>
      </c>
      <c r="B58" s="79">
        <v>8.4600000000000009</v>
      </c>
      <c r="C58" s="79">
        <v>8.2899999999999991</v>
      </c>
      <c r="D58" s="79">
        <v>6.33</v>
      </c>
      <c r="E58" s="79">
        <v>12.78</v>
      </c>
      <c r="F58" s="79">
        <v>9.4499999999999993</v>
      </c>
    </row>
    <row r="59" spans="1:6" ht="15" customHeight="1" x14ac:dyDescent="0.35">
      <c r="A59" s="40" t="s">
        <v>663</v>
      </c>
      <c r="B59" s="79">
        <v>2.13</v>
      </c>
      <c r="C59" s="79">
        <v>2.0499999999999998</v>
      </c>
      <c r="D59" s="79">
        <v>1.64</v>
      </c>
      <c r="E59" s="79">
        <v>3.72</v>
      </c>
      <c r="F59" s="79">
        <v>2.5299999999999998</v>
      </c>
    </row>
    <row r="60" spans="1:6" ht="15" customHeight="1" x14ac:dyDescent="0.35">
      <c r="A60" s="40" t="s">
        <v>664</v>
      </c>
      <c r="B60" s="79">
        <v>5.12</v>
      </c>
      <c r="C60" s="79">
        <v>5.19</v>
      </c>
      <c r="D60" s="79">
        <v>4.26</v>
      </c>
      <c r="E60" s="79">
        <v>7.61</v>
      </c>
      <c r="F60" s="79">
        <v>4.93</v>
      </c>
    </row>
    <row r="61" spans="1:6" ht="15" customHeight="1" x14ac:dyDescent="0.35">
      <c r="A61" s="38" t="s">
        <v>665</v>
      </c>
      <c r="B61" s="39"/>
      <c r="C61" s="39"/>
      <c r="D61" s="39"/>
      <c r="E61" s="39"/>
      <c r="F61" s="39"/>
    </row>
    <row r="62" spans="1:6" ht="15" customHeight="1" x14ac:dyDescent="0.35">
      <c r="A62" s="40" t="s">
        <v>95</v>
      </c>
      <c r="B62" s="41">
        <v>19646</v>
      </c>
      <c r="C62" s="41">
        <v>20370</v>
      </c>
      <c r="D62" s="41">
        <v>20835</v>
      </c>
      <c r="E62" s="41">
        <v>20669</v>
      </c>
      <c r="F62" s="41">
        <v>20845</v>
      </c>
    </row>
    <row r="63" spans="1:6" ht="15" customHeight="1" x14ac:dyDescent="0.35">
      <c r="A63" s="40" t="s">
        <v>114</v>
      </c>
      <c r="B63" s="45">
        <v>3377</v>
      </c>
      <c r="C63" s="45">
        <v>3326</v>
      </c>
      <c r="D63" s="45">
        <v>3308</v>
      </c>
      <c r="E63" s="45">
        <v>3186</v>
      </c>
      <c r="F63" s="45">
        <v>3172</v>
      </c>
    </row>
    <row r="64" spans="1:6" ht="15" customHeight="1" x14ac:dyDescent="0.35">
      <c r="A64" s="40" t="s">
        <v>217</v>
      </c>
      <c r="B64" s="45">
        <v>8230</v>
      </c>
      <c r="C64" s="45">
        <v>8209</v>
      </c>
      <c r="D64" s="45">
        <v>8100</v>
      </c>
      <c r="E64" s="45">
        <v>7928</v>
      </c>
      <c r="F64" s="45">
        <v>7577</v>
      </c>
    </row>
    <row r="65" spans="1:6" ht="15" customHeight="1" x14ac:dyDescent="0.35">
      <c r="A65" s="40" t="s">
        <v>154</v>
      </c>
      <c r="B65" s="45">
        <v>1077</v>
      </c>
      <c r="C65" s="45">
        <v>1054</v>
      </c>
      <c r="D65" s="45">
        <v>855</v>
      </c>
      <c r="E65" s="45">
        <v>1905</v>
      </c>
      <c r="F65" s="45">
        <v>1274</v>
      </c>
    </row>
    <row r="66" spans="1:6" ht="15" customHeight="1" x14ac:dyDescent="0.35">
      <c r="A66" s="40" t="s">
        <v>195</v>
      </c>
      <c r="B66" s="47">
        <v>0.11</v>
      </c>
      <c r="C66" s="47">
        <v>0.11</v>
      </c>
      <c r="D66" s="47">
        <v>0.09</v>
      </c>
      <c r="E66" s="47">
        <v>0.19</v>
      </c>
      <c r="F66" s="47">
        <v>0.13</v>
      </c>
    </row>
    <row r="67" spans="1:6" ht="15" customHeight="1" x14ac:dyDescent="0.35">
      <c r="A67" s="40" t="s">
        <v>398</v>
      </c>
      <c r="B67" s="45">
        <v>9967.64</v>
      </c>
      <c r="C67" s="45">
        <v>9956.84</v>
      </c>
      <c r="D67" s="45">
        <v>9951.83</v>
      </c>
      <c r="E67" s="45">
        <v>9931.94</v>
      </c>
      <c r="F67" s="45">
        <v>9926.7000000000007</v>
      </c>
    </row>
    <row r="68" spans="1:6" ht="15" customHeight="1" x14ac:dyDescent="0.35">
      <c r="A68" s="38" t="s">
        <v>666</v>
      </c>
      <c r="B68" s="39"/>
      <c r="C68" s="39"/>
      <c r="D68" s="39"/>
      <c r="E68" s="39"/>
      <c r="F68" s="39"/>
    </row>
    <row r="69" spans="1:6" ht="15" customHeight="1" x14ac:dyDescent="0.35">
      <c r="A69" s="40" t="s">
        <v>667</v>
      </c>
      <c r="B69" s="79">
        <v>45.46</v>
      </c>
      <c r="C69" s="79">
        <v>45.77</v>
      </c>
      <c r="D69" s="79">
        <v>45.38</v>
      </c>
      <c r="E69" s="79">
        <v>45.27</v>
      </c>
      <c r="F69" s="79">
        <v>44.09</v>
      </c>
    </row>
    <row r="70" spans="1:6" ht="15" customHeight="1" x14ac:dyDescent="0.35">
      <c r="A70" s="40" t="s">
        <v>668</v>
      </c>
      <c r="B70" s="79">
        <v>64.39</v>
      </c>
      <c r="C70" s="79">
        <v>64.38</v>
      </c>
      <c r="D70" s="79">
        <v>65.23</v>
      </c>
      <c r="E70" s="79">
        <v>62.2</v>
      </c>
      <c r="F70" s="79">
        <v>58.93</v>
      </c>
    </row>
    <row r="71" spans="1:6" ht="15" customHeight="1" x14ac:dyDescent="0.35">
      <c r="A71" s="40" t="s">
        <v>669</v>
      </c>
      <c r="B71" s="79">
        <v>180.83</v>
      </c>
      <c r="C71" s="79">
        <v>180.76</v>
      </c>
      <c r="D71" s="79">
        <v>187.58</v>
      </c>
      <c r="E71" s="79">
        <v>164.53</v>
      </c>
      <c r="F71" s="79">
        <v>143.47</v>
      </c>
    </row>
    <row r="72" spans="1:6" ht="15" customHeight="1" x14ac:dyDescent="0.35">
      <c r="A72" s="40" t="s">
        <v>670</v>
      </c>
      <c r="B72" s="45">
        <v>2870</v>
      </c>
      <c r="C72" s="45">
        <v>3382</v>
      </c>
      <c r="D72" s="45">
        <v>3204.5</v>
      </c>
      <c r="E72" s="45">
        <v>2950</v>
      </c>
      <c r="F72" s="45">
        <v>2403.5</v>
      </c>
    </row>
    <row r="73" spans="1:6" ht="15" customHeight="1" x14ac:dyDescent="0.35">
      <c r="A73" s="40" t="s">
        <v>671</v>
      </c>
      <c r="B73" s="79">
        <v>134.93</v>
      </c>
      <c r="C73" s="79">
        <v>157.96</v>
      </c>
      <c r="D73" s="79">
        <v>150.30000000000001</v>
      </c>
      <c r="E73" s="79">
        <v>116.83</v>
      </c>
      <c r="F73" s="79">
        <v>138.61000000000001</v>
      </c>
    </row>
    <row r="74" spans="1:6" ht="15" customHeight="1" x14ac:dyDescent="0.35">
      <c r="A74" s="40" t="s">
        <v>672</v>
      </c>
      <c r="B74" s="47">
        <v>3.51</v>
      </c>
      <c r="C74" s="47">
        <v>3.21</v>
      </c>
      <c r="D74" s="47">
        <v>3.29</v>
      </c>
      <c r="E74" s="47">
        <v>3.6</v>
      </c>
      <c r="F74" s="47">
        <v>4.17</v>
      </c>
    </row>
    <row r="75" spans="1:6" ht="15" customHeight="1" x14ac:dyDescent="0.35">
      <c r="A75" s="40" t="s">
        <v>673</v>
      </c>
      <c r="B75" s="79">
        <v>131.02000000000001</v>
      </c>
      <c r="C75" s="79">
        <v>131.59</v>
      </c>
      <c r="D75" s="79">
        <v>109.2</v>
      </c>
      <c r="E75" s="79">
        <v>250.66</v>
      </c>
      <c r="F75" s="79">
        <v>168.74</v>
      </c>
    </row>
    <row r="76" spans="1:6" ht="15" customHeight="1" x14ac:dyDescent="0.35">
      <c r="A76" s="40" t="s">
        <v>674</v>
      </c>
      <c r="B76" s="47">
        <v>0.24</v>
      </c>
      <c r="C76" s="47">
        <v>0.24</v>
      </c>
      <c r="D76" s="47">
        <v>0.08</v>
      </c>
      <c r="E76" s="47">
        <v>0.6</v>
      </c>
      <c r="F76" s="47">
        <v>0.41</v>
      </c>
    </row>
    <row r="77" spans="1:6" ht="15" customHeight="1" x14ac:dyDescent="0.35">
      <c r="A77" s="52" t="s">
        <v>675</v>
      </c>
      <c r="B77" s="79">
        <v>76.319999999999993</v>
      </c>
      <c r="C77" s="79">
        <v>76</v>
      </c>
      <c r="D77" s="79">
        <v>91.58</v>
      </c>
      <c r="E77" s="79">
        <v>39.9</v>
      </c>
      <c r="F77" s="79">
        <v>59.26</v>
      </c>
    </row>
    <row r="78" spans="1:6" ht="15" customHeight="1" x14ac:dyDescent="0.35">
      <c r="A78" s="38" t="s">
        <v>676</v>
      </c>
      <c r="B78" s="39"/>
      <c r="C78" s="39"/>
      <c r="D78" s="39"/>
      <c r="E78" s="39"/>
      <c r="F78" s="39"/>
    </row>
    <row r="79" spans="1:6" ht="15" customHeight="1" x14ac:dyDescent="0.35">
      <c r="A79" s="40" t="s">
        <v>677</v>
      </c>
      <c r="B79" s="41">
        <v>20981.88</v>
      </c>
      <c r="C79" s="41">
        <v>16513.41</v>
      </c>
      <c r="D79" s="41">
        <v>10912.18</v>
      </c>
      <c r="E79" s="41">
        <v>14480.76</v>
      </c>
      <c r="F79" s="41">
        <v>18085.96</v>
      </c>
    </row>
    <row r="80" spans="1:6" ht="15" customHeight="1" x14ac:dyDescent="0.35">
      <c r="A80" s="40" t="s">
        <v>432</v>
      </c>
      <c r="B80" s="41">
        <v>22720</v>
      </c>
      <c r="C80" s="41">
        <v>23333</v>
      </c>
      <c r="D80" s="41">
        <v>23481</v>
      </c>
      <c r="E80" s="41">
        <v>23880</v>
      </c>
      <c r="F80" s="41">
        <v>21945</v>
      </c>
    </row>
    <row r="81" spans="1:6" ht="15" customHeight="1" x14ac:dyDescent="0.35">
      <c r="A81" s="40" t="s">
        <v>461</v>
      </c>
      <c r="B81" s="45">
        <v>1718</v>
      </c>
      <c r="C81" s="45">
        <v>2814</v>
      </c>
      <c r="D81" s="45">
        <v>2780</v>
      </c>
      <c r="E81" s="45">
        <v>3940</v>
      </c>
      <c r="F81" s="45">
        <v>3456</v>
      </c>
    </row>
    <row r="82" spans="1:6" ht="15" customHeight="1" x14ac:dyDescent="0.35">
      <c r="A82" s="40" t="s">
        <v>678</v>
      </c>
      <c r="B82" s="41">
        <v>41983.88</v>
      </c>
      <c r="C82" s="41">
        <v>37032.410000000003</v>
      </c>
      <c r="D82" s="41">
        <v>31613.18</v>
      </c>
      <c r="E82" s="41">
        <v>34420.76</v>
      </c>
      <c r="F82" s="41">
        <v>36574.959999999999</v>
      </c>
    </row>
    <row r="83" spans="1:6" ht="15" customHeight="1" x14ac:dyDescent="0.35">
      <c r="A83" s="38" t="s">
        <v>679</v>
      </c>
      <c r="B83" s="39"/>
      <c r="C83" s="39"/>
      <c r="D83" s="39"/>
      <c r="E83" s="39"/>
      <c r="F83" s="39"/>
    </row>
    <row r="84" spans="1:6" ht="15" customHeight="1" x14ac:dyDescent="0.35">
      <c r="A84" s="40" t="s">
        <v>680</v>
      </c>
      <c r="B84" s="47">
        <v>0.39</v>
      </c>
      <c r="C84" s="47">
        <v>0.4</v>
      </c>
      <c r="D84" s="47">
        <v>0.4</v>
      </c>
      <c r="E84" s="47">
        <v>0.4</v>
      </c>
      <c r="F84" s="47">
        <v>0.41</v>
      </c>
    </row>
    <row r="85" spans="1:6" ht="15" customHeight="1" x14ac:dyDescent="0.35">
      <c r="A85" s="40" t="s">
        <v>659</v>
      </c>
      <c r="B85" s="79">
        <v>8.3800000000000008</v>
      </c>
      <c r="C85" s="79">
        <v>6.59</v>
      </c>
      <c r="D85" s="79">
        <v>5.79</v>
      </c>
      <c r="E85" s="79">
        <v>8.65</v>
      </c>
      <c r="F85" s="79">
        <v>9.42</v>
      </c>
    </row>
    <row r="86" spans="1:6" ht="15" customHeight="1" x14ac:dyDescent="0.35">
      <c r="A86" s="40" t="s">
        <v>681</v>
      </c>
      <c r="B86" s="79">
        <v>3.26</v>
      </c>
      <c r="C86" s="79">
        <v>2.61</v>
      </c>
      <c r="D86" s="79">
        <v>2.31</v>
      </c>
      <c r="E86" s="79">
        <v>3.49</v>
      </c>
      <c r="F86" s="79">
        <v>3.9</v>
      </c>
    </row>
    <row r="87" spans="1:6" ht="15" customHeight="1" x14ac:dyDescent="0.35">
      <c r="A87" s="40" t="s">
        <v>682</v>
      </c>
      <c r="B87" s="47">
        <v>3.96</v>
      </c>
      <c r="C87" s="47">
        <v>4.04</v>
      </c>
      <c r="D87" s="47">
        <v>3.87</v>
      </c>
      <c r="E87" s="47">
        <v>3.44</v>
      </c>
      <c r="F87" s="47">
        <v>3.73</v>
      </c>
    </row>
    <row r="88" spans="1:6" ht="15" customHeight="1" x14ac:dyDescent="0.35">
      <c r="A88" s="40" t="s">
        <v>683</v>
      </c>
      <c r="B88" s="79">
        <v>12.92</v>
      </c>
      <c r="C88" s="79">
        <v>10.56</v>
      </c>
      <c r="D88" s="79">
        <v>8.93</v>
      </c>
      <c r="E88" s="79">
        <v>12</v>
      </c>
      <c r="F88" s="79">
        <v>14.55</v>
      </c>
    </row>
    <row r="89" spans="1:6" ht="15" customHeight="1" x14ac:dyDescent="0.35">
      <c r="A89" s="40" t="s">
        <v>684</v>
      </c>
      <c r="B89" s="47">
        <v>0.78</v>
      </c>
      <c r="C89" s="47">
        <v>0.79</v>
      </c>
      <c r="D89" s="47">
        <v>0.73</v>
      </c>
      <c r="E89" s="47">
        <v>1.1000000000000001</v>
      </c>
      <c r="F89" s="47">
        <v>0.65</v>
      </c>
    </row>
    <row r="90" spans="1:6" ht="15" customHeight="1" x14ac:dyDescent="0.35">
      <c r="A90" s="40" t="s">
        <v>662</v>
      </c>
      <c r="B90" s="79">
        <v>8.4600000000000009</v>
      </c>
      <c r="C90" s="79">
        <v>8.2899999999999991</v>
      </c>
      <c r="D90" s="79">
        <v>6.33</v>
      </c>
      <c r="E90" s="79">
        <v>12.78</v>
      </c>
      <c r="F90" s="79">
        <v>9.4499999999999993</v>
      </c>
    </row>
    <row r="91" spans="1:6" ht="15" customHeight="1" x14ac:dyDescent="0.35">
      <c r="A91" s="40" t="s">
        <v>674</v>
      </c>
      <c r="B91" s="47">
        <v>0.24</v>
      </c>
      <c r="C91" s="47">
        <v>0.24</v>
      </c>
      <c r="D91" s="47">
        <v>0.08</v>
      </c>
      <c r="E91" s="47">
        <v>0.6</v>
      </c>
      <c r="F91" s="47">
        <v>0.41</v>
      </c>
    </row>
    <row r="92" spans="1:6" ht="15" customHeight="1" x14ac:dyDescent="0.35">
      <c r="A92" s="40" t="s">
        <v>685</v>
      </c>
      <c r="B92" s="79">
        <v>2</v>
      </c>
      <c r="C92" s="79">
        <v>1.99</v>
      </c>
      <c r="D92" s="79">
        <v>0.53</v>
      </c>
      <c r="E92" s="79">
        <v>7.68</v>
      </c>
      <c r="F92" s="79">
        <v>3.85</v>
      </c>
    </row>
    <row r="93" spans="1:6" ht="15" customHeight="1" x14ac:dyDescent="0.35">
      <c r="A93" s="38" t="s">
        <v>686</v>
      </c>
      <c r="B93" s="39"/>
      <c r="C93" s="39"/>
      <c r="D93" s="39"/>
      <c r="E93" s="39"/>
      <c r="F93" s="39"/>
    </row>
    <row r="94" spans="1:6" ht="15" customHeight="1" x14ac:dyDescent="0.35">
      <c r="A94" s="40" t="s">
        <v>687</v>
      </c>
      <c r="B94" s="41">
        <v>15840</v>
      </c>
      <c r="C94" s="41">
        <v>12000</v>
      </c>
      <c r="D94" s="45">
        <v>9279.66</v>
      </c>
      <c r="E94" s="41">
        <v>20092.07</v>
      </c>
      <c r="F94" s="41">
        <v>12862.19</v>
      </c>
    </row>
    <row r="95" spans="1:6" ht="15" customHeight="1" x14ac:dyDescent="0.35">
      <c r="A95" s="40" t="s">
        <v>688</v>
      </c>
      <c r="B95" s="41">
        <v>241796.92</v>
      </c>
      <c r="C95" s="41">
        <v>230169.49</v>
      </c>
      <c r="D95" s="41">
        <v>220709.75</v>
      </c>
      <c r="E95" s="41">
        <v>211447.57</v>
      </c>
      <c r="F95" s="41">
        <v>210449.27</v>
      </c>
    </row>
    <row r="96" spans="1:6" ht="15" customHeight="1" x14ac:dyDescent="0.35">
      <c r="A96" s="40" t="s">
        <v>689</v>
      </c>
      <c r="B96" s="41">
        <v>647357.51</v>
      </c>
      <c r="C96" s="41">
        <v>597678.78</v>
      </c>
      <c r="D96" s="41">
        <v>564220.28</v>
      </c>
      <c r="E96" s="41">
        <v>543274.97</v>
      </c>
      <c r="F96" s="41">
        <v>505833.33</v>
      </c>
    </row>
    <row r="97" spans="1:6" ht="15" customHeight="1" x14ac:dyDescent="0.35">
      <c r="A97" s="38" t="s">
        <v>690</v>
      </c>
      <c r="B97" s="39"/>
      <c r="C97" s="39"/>
      <c r="D97" s="39"/>
      <c r="E97" s="39"/>
      <c r="F97" s="39"/>
    </row>
    <row r="98" spans="1:6" ht="15" customHeight="1" x14ac:dyDescent="0.35">
      <c r="A98" s="40" t="s">
        <v>691</v>
      </c>
      <c r="B98" s="47">
        <v>0.85</v>
      </c>
      <c r="C98" s="47">
        <v>0.81</v>
      </c>
      <c r="D98" s="47">
        <v>0.89</v>
      </c>
      <c r="E98" s="47">
        <v>0.91</v>
      </c>
      <c r="F98" s="47">
        <v>0.98</v>
      </c>
    </row>
    <row r="99" spans="1:6" ht="15" customHeight="1" x14ac:dyDescent="0.35">
      <c r="A99" s="40" t="s">
        <v>692</v>
      </c>
      <c r="B99" s="47">
        <v>0.8</v>
      </c>
      <c r="C99" s="47">
        <v>0.78</v>
      </c>
      <c r="D99" s="47">
        <v>0.85</v>
      </c>
      <c r="E99" s="47">
        <v>0.88</v>
      </c>
      <c r="F99" s="47">
        <v>0.95</v>
      </c>
    </row>
    <row r="100" spans="1:6" ht="15" customHeight="1" x14ac:dyDescent="0.35">
      <c r="A100" s="40" t="s">
        <v>693</v>
      </c>
      <c r="B100" s="48">
        <v>-0.03</v>
      </c>
      <c r="C100" s="48">
        <v>-0.04</v>
      </c>
      <c r="D100" s="48">
        <v>-0.02</v>
      </c>
      <c r="E100" s="48">
        <v>-0.02</v>
      </c>
      <c r="F100" s="81">
        <v>0</v>
      </c>
    </row>
    <row r="101" spans="1:6" ht="15" customHeight="1" x14ac:dyDescent="0.35">
      <c r="A101" s="38" t="s">
        <v>694</v>
      </c>
      <c r="B101" s="39"/>
      <c r="C101" s="39"/>
      <c r="D101" s="39"/>
      <c r="E101" s="39"/>
      <c r="F101" s="39"/>
    </row>
    <row r="102" spans="1:6" ht="15" customHeight="1" x14ac:dyDescent="0.35">
      <c r="A102" s="40" t="s">
        <v>695</v>
      </c>
      <c r="B102" s="47">
        <v>5.54</v>
      </c>
      <c r="C102" s="47">
        <v>5.0599999999999996</v>
      </c>
      <c r="D102" s="47">
        <v>4.8600000000000003</v>
      </c>
      <c r="E102" s="47">
        <v>5.2</v>
      </c>
      <c r="F102" s="47">
        <v>5.82</v>
      </c>
    </row>
    <row r="103" spans="1:6" ht="15" customHeight="1" x14ac:dyDescent="0.35">
      <c r="A103" s="40" t="s">
        <v>696</v>
      </c>
      <c r="B103" s="47">
        <v>66.069999999999993</v>
      </c>
      <c r="C103" s="47">
        <v>72.400000000000006</v>
      </c>
      <c r="D103" s="47">
        <v>75.25</v>
      </c>
      <c r="E103" s="47">
        <v>70.41</v>
      </c>
      <c r="F103" s="47">
        <v>62.88</v>
      </c>
    </row>
    <row r="104" spans="1:6" ht="15" customHeight="1" x14ac:dyDescent="0.35">
      <c r="A104" s="40" t="s">
        <v>697</v>
      </c>
      <c r="B104" s="47">
        <v>3</v>
      </c>
      <c r="C104" s="47">
        <v>2.97</v>
      </c>
      <c r="D104" s="47">
        <v>2.99</v>
      </c>
      <c r="E104" s="47">
        <v>3.01</v>
      </c>
      <c r="F104" s="47">
        <v>3.03</v>
      </c>
    </row>
    <row r="105" spans="1:6" ht="15" customHeight="1" x14ac:dyDescent="0.35">
      <c r="A105" s="40" t="s">
        <v>698</v>
      </c>
      <c r="B105" s="45">
        <v>122.01</v>
      </c>
      <c r="C105" s="45">
        <v>123.14</v>
      </c>
      <c r="D105" s="45">
        <v>122.22</v>
      </c>
      <c r="E105" s="45">
        <v>121.48</v>
      </c>
      <c r="F105" s="45">
        <v>120.96</v>
      </c>
    </row>
    <row r="106" spans="1:6" ht="15" customHeight="1" x14ac:dyDescent="0.35">
      <c r="A106" s="40" t="s">
        <v>699</v>
      </c>
      <c r="B106" s="47">
        <v>32.5</v>
      </c>
      <c r="C106" s="47">
        <v>31.51</v>
      </c>
      <c r="D106" s="47">
        <v>32.85</v>
      </c>
      <c r="E106" s="47">
        <v>38.71</v>
      </c>
      <c r="F106" s="47">
        <v>41.39</v>
      </c>
    </row>
    <row r="107" spans="1:6" ht="15" customHeight="1" x14ac:dyDescent="0.35">
      <c r="A107" s="40" t="s">
        <v>700</v>
      </c>
      <c r="B107" s="47">
        <v>11.26</v>
      </c>
      <c r="C107" s="47">
        <v>11.61</v>
      </c>
      <c r="D107" s="47">
        <v>11.14</v>
      </c>
      <c r="E107" s="47">
        <v>9.4499999999999993</v>
      </c>
      <c r="F107" s="47">
        <v>8.84</v>
      </c>
    </row>
    <row r="108" spans="1:6" ht="15" customHeight="1" x14ac:dyDescent="0.35">
      <c r="A108" s="40" t="s">
        <v>701</v>
      </c>
      <c r="B108" s="48">
        <v>-44.68</v>
      </c>
      <c r="C108" s="48">
        <v>-39.130000000000003</v>
      </c>
      <c r="D108" s="48">
        <v>-35.83</v>
      </c>
      <c r="E108" s="48">
        <v>-41.61</v>
      </c>
      <c r="F108" s="48">
        <v>-49.23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5</vt:i4>
      </vt:variant>
    </vt:vector>
  </HeadingPairs>
  <TitlesOfParts>
    <vt:vector size="21" baseType="lpstr">
      <vt:lpstr>Cover Page</vt:lpstr>
      <vt:lpstr>Investment recommendation</vt:lpstr>
      <vt:lpstr>Inputs</vt:lpstr>
      <vt:lpstr>DDM</vt:lpstr>
      <vt:lpstr>FCFF</vt:lpstr>
      <vt:lpstr>RES.INC</vt:lpstr>
      <vt:lpstr>COMPS</vt:lpstr>
      <vt:lpstr>Cost of Equity</vt:lpstr>
      <vt:lpstr>Cost of Capital</vt:lpstr>
      <vt:lpstr>3-Statement</vt:lpstr>
      <vt:lpstr>Debt Structure</vt:lpstr>
      <vt:lpstr>Hist - BS</vt:lpstr>
      <vt:lpstr>Hist - IS</vt:lpstr>
      <vt:lpstr>Hist - CS</vt:lpstr>
      <vt:lpstr>FRED YTM</vt:lpstr>
      <vt:lpstr>FInancial Summary</vt:lpstr>
      <vt:lpstr>base_year</vt:lpstr>
      <vt:lpstr>bs_check</vt:lpstr>
      <vt:lpstr>circularity</vt:lpstr>
      <vt:lpstr>company_name</vt:lpstr>
      <vt:lpstr>money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OPEOLUWA KUKU</dc:creator>
  <cp:lastModifiedBy>OPEOLUWA KUKU</cp:lastModifiedBy>
  <cp:lastPrinted>2026-10-24T14:58:13Z</cp:lastPrinted>
  <dcterms:created xsi:type="dcterms:W3CDTF">2026-09-30T18:37:00Z</dcterms:created>
  <dcterms:modified xsi:type="dcterms:W3CDTF">2026-10-24T21:53:27Z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owerlinkCOMAddIn.COMAddIn.WebAddinBridge.Options">
    <vt:lpwstr>{"port":57285,"pid":6688,"hostInfo":{"id":"bd630018-c8f1-4992-bc02-b0417da53206"},"wsAddinLogger":true,"wsAddinLogLevel":"Info","version":"1.8.48"}</vt:lpwstr>
  </property>
</Properties>
</file>